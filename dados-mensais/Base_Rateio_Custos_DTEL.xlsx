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801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REEMBOLSO GERAL" sheetId="6" state="visible" r:id="rId8"/>
  </sheets>
  <definedNames>
    <definedName function="false" hidden="true" localSheetId="0" name="_xlnm._FilterDatabase" vbProcedure="false">PARÂMETROS!$A$38:$J$638</definedName>
    <definedName function="false" hidden="true" localSheetId="5" name="_xlnm._FilterDatabase" vbProcedure="false">'REEMBOLSO GERAL'!$A$4:$H$4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<sst xmlns="http://schemas.openxmlformats.org/spreadsheetml/2006/main" count="26437" uniqueCount="659">
  <si>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</si>
  <si>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</si>
  <si>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</si>
  <si>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</si>
  <si>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</si>
  <si>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</si>
  <si>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</si>
  <si>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</si>
  <si>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</si>
  <si>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</si>
  <si>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</si>
  <si>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</si>
  <si>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</si>
  <si>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</si>
  <si>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</si>
  <si>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</si>
  <si>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</si>
  <si>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</si>
  <si>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</si>
  <si>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</si>
  <si>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</si>
  <si>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</si>
  <si>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</si>
  <si>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</si>
  <si>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</si>
  <si>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</si>
  <si>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</si>
  <si>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</si>
  <si>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</si>
  <si>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</si>
  <si>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</si>
  <si>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</si>
  <si>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</si>
  <si>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</si>
  <si>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</si>
  <si>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</si>
  <si>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</si>
  <si>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</si>
  <si>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</si>
  <si>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</si>
  <si>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</si>
  <si>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</si>
  <si>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</si>
  <si>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</si>
  <si>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</si>
  <si>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</si>
  <si>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</si>
  <si>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</si>
  <si>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</si>
  <si>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</si>
  <si>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</si>
  <si>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</si>
  <si>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</si>
  <si>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</si>
  <si>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</si>
  <si>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</si>
  <si>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</si>
  <si>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</si>
  <si>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</si>
  <si>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</si>
  <si>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</si>
  <si>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</si>
  <si>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</si>
  <si>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</si>
  <si>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</si>
  <si>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</si>
  <si>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</si>
  <si>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</si>
  <si>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</si>
  <si>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</si>
  <si>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</si>
  <si>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</si>
  <si>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</si>
  <si>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</si>
  <si>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</si>
  <si>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</si>
  <si>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</si>
  <si>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</si>
  <si>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</si>
  <si>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</si>
  <si>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</si>
  <si>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</si>
  <si>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</si>
  <si>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</si>
  <si>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</si>
  <si>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</si>
  <si>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</si>
  <si>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</si>
  <si>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</si>
  <si>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</si>
  <si>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</si>
  <si>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</si>
  <si>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</si>
  <si>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</si>
  <si>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</si>
  <si>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</si>
  <si>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</si>
  <si>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</si>
  <si>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</si>
  <si>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</si>
  <si>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</si>
  <si>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</si>
  <si>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</si>
  <si>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</si>
  <si>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</si>
  <si>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</si>
  <si>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</si>
  <si>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</si>
  <si>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</si>
  <si>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</si>
  <si>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</si>
  <si>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</si>
  <si>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</si>
  <si>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</si>
  <si>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</si>
  <si>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</si>
  <si>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</si>
  <si>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</si>
  <si>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</si>
  <si>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</si>
  <si>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</si>
  <si>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</si>
  <si>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</si>
  <si>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</si>
  <si>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</si>
  <si>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</si>
  <si>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</si>
  <si>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</si>
  <si>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</si>
  <si>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</si>
  <si>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</si>
  <si>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</si>
  <si>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</si>
  <si>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</si>
  <si>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Vendas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</si>
  <si>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</si>
  <si>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</si>
  <si>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</si>
  <si>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</si>
  <si>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</si>
  <si>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</si>
  <si>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</si>
  <si>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</si>
  <si>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</si>
  <si>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</si>
  <si>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</si>
  <si>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</si>
  <si>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</si>
  <si>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</si>
  <si>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</si>
  <si>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</si>
  <si>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</si>
  <si>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</si>
  <si>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</si>
  <si>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</si>
  <si>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</si>
  <si>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</si>
  <si>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</si>
  <si>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</si>
  <si>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</si>
  <si>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</si>
  <si>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</si>
  <si>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</si>
  <si>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</si>
  <si>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</si>
  <si>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</si>
  <si>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</si>
  <si>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</si>
  <si>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</si>
  <si>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</si>
  <si>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</si>
  <si>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</si>
  <si>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</si>
  <si>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</si>
  <si>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</si>
  <si>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</si>
  <si>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</si>
  <si>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</si>
  <si>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</si>
  <si>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</si>
  <si>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</si>
  <si>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</si>
  <si>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</si>
  <si>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</si>
  <si>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</si>
  <si>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</si>
  <si>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</si>
  <si>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</si>
  <si>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</si>
  <si>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</si>
  <si>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</si>
  <si>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</si>
  <si>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</si>
  <si>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</si>
  <si>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</si>
  <si>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</si>
  <si>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</si>
  <si>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</si>
  <si>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</si>
  <si>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</si>
  <si>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</si>
  <si>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</si>
  <si>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</si>
  <si>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</si>
  <si>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</si>
  <si>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</si>
  <si>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</si>
  <si>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</si>
  <si>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</si>
  <si>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</si>
  <si>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</si>
  <si>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</si>
  <si>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</si>
  <si>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</si>
  <si>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</si>
  <si>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</si>
  <si>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</si>
  <si>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</si>
  <si>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</si>
  <si>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</si>
  <si>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</si>
  <si>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</si>
  <si>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</si>
  <si>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</si>
  <si>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</si>
  <si>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</si>
  <si>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</si>
  <si>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</si>
  <si>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</si>
  <si>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</si>
  <si>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</si>
  <si>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</si>
  <si>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</si>
  <si>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</si>
  <si>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</si>
  <si>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</si>
  <si>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</si>
  <si>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</si>
  <si>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</si>
  <si>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</si>
  <si>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</si>
  <si>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</si>
  <si>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</si>
  <si>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</si>
  <si>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</si>
  <si>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</si>
  <si>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</si>
  <si>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</si>
  <si>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</si>
  <si>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</si>
  <si>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</si>
  <si>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</si>
  <si>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</si>
  <si>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</si>
  <si>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</si>
  <si>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</si>
  <si>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</si>
  <si>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</si>
  <si>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Instalações - corredores e alojamentos (rateio)</t>
  </si>
  <si>
    <t xml:space="preserve">Setembro/2026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</si>
  <si>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</si>
  <si>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</si>
  <si>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</si>
  <si>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</si>
  <si>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</si>
  <si>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</si>
  <si>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</si>
  <si>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</si>
  <si>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</si>
  <si>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</si>
  <si>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</si>
  <si>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</si>
  <si>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</si>
  <si>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</si>
  <si>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</si>
  <si>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</si>
  <si>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</si>
  <si>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</si>
  <si>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</si>
  <si>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</si>
  <si>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</si>
  <si>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</si>
  <si>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</si>
  <si>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</si>
  <si>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</si>
  <si>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</si>
  <si>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</si>
  <si>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</si>
  <si>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</si>
  <si>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</si>
  <si>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</si>
  <si>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</si>
  <si>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</si>
  <si>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</si>
  <si>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</si>
  <si>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</si>
  <si>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</si>
  <si>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</si>
  <si>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</si>
  <si>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</si>
  <si>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</si>
  <si>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</si>
  <si>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</si>
  <si>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</si>
  <si>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</si>
  <si>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</si>
  <si>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</si>
  <si>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</si>
  <si>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</si>
  <si>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</si>
  <si>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</si>
  <si>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</si>
  <si>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</si>
  <si>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</si>
  <si>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</si>
  <si>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</si>
  <si>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</si>
  <si>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</si>
  <si>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</si>
  <si>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</si>
  <si>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</si>
  <si>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</si>
  <si>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</si>
  <si>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</si>
  <si>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</si>
  <si>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</si>
  <si>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</si>
  <si>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</si>
  <si>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</si>
  <si>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</si>
  <si>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</si>
  <si>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</si>
  <si>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</si>
  <si>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</si>
  <si>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</si>
  <si>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</si>
  <si>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</si>
  <si>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</si>
  <si>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</si>
  <si>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</si>
  <si>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</si>
  <si>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</si>
  <si>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</si>
  <si>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</si>
  <si>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</si>
  <si>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</si>
  <si>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</si>
  <si>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</si>
  <si>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</si>
  <si>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</si>
  <si>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</si>
  <si>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</si>
  <si>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</si>
  <si>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</si>
  <si>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</si>
  <si>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</si>
  <si>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</si>
  <si>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</si>
  <si>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</si>
  <si>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</si>
  <si>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</si>
  <si>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</si>
  <si>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</si>
  <si>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</si>
  <si>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</si>
  <si>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</si>
  <si>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</si>
  <si>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</si>
  <si>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</si>
  <si>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</si>
  <si>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</si>
  <si>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</si>
  <si>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</si>
  <si>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</si>
  <si>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</si>
  <si>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</si>
  <si>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</si>
  <si>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</si>
  <si>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</si>
  <si>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</si>
  <si>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</si>
  <si>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</si>
  <si>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</si>
  <si>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</si>
  <si>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</si>
  <si>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</si>
  <si>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</si>
  <si>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</si>
  <si>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</si>
  <si>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</si>
  <si>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</si>
  <si>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</si>
  <si>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</si>
  <si>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</si>
  <si>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</si>
  <si>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</si>
  <si>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</si>
  <si>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</si>
  <si>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</si>
  <si>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</si>
  <si>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</si>
  <si>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</si>
  <si>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</si>
  <si>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</si>
  <si>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</si>
  <si>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</si>
  <si>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</si>
  <si>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</si>
  <si>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</si>
  <si>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</si>
  <si>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</si>
  <si>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</si>
  <si>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</si>
  <si>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</si>
  <si>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</si>
  <si>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</si>
  <si>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</si>
  <si>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</si>
  <si>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</si>
  <si>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</si>
  <si>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</si>
  <si>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</si>
  <si>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</si>
  <si>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</si>
  <si>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</si>
  <si>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</si>
  <si>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</si>
  <si>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</si>
  <si>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</si>
  <si>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</si>
  <si>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</si>
  <si>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</si>
  <si>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</si>
  <si>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</si>
  <si>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</si>
  <si>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</si>
  <si>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</si>
  <si>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</si>
  <si>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</si>
  <si>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</si>
  <si>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</si>
  <si>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</si>
  <si>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</si>
  <si>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</si>
  <si>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</si>
  <si>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</si>
  <si>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</si>
  <si>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</si>
  <si>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</si>
  <si>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</si>
  <si>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</si>
  <si>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</si>
  <si>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</si>
  <si>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</si>
  <si>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</si>
  <si>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</si>
  <si>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</si>
  <si>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</si>
  <si>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</si>
  <si>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</si>
  <si>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</si>
  <si>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</si>
  <si>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</si>
  <si>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</si>
  <si>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</si>
  <si>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</si>
  <si>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</si>
  <si>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</si>
  <si>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</si>
  <si>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</si>
  <si>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</si>
  <si>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</si>
  <si>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</si>
  <si>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</si>
  <si>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</si>
  <si>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</si>
  <si>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</si>
  <si>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</si>
  <si>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</si>
  <si>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</si>
  <si>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</si>
  <si>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</si>
  <si>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</si>
  <si>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</si>
  <si>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</si>
  <si>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</si>
  <si>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</si>
  <si>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</si>
  <si>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</si>
  <si>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</si>
  <si>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</si>
  <si>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</si>
  <si>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</si>
  <si>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</si>
  <si>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</si>
  <si>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</si>
  <si>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</si>
  <si>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</si>
  <si>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</si>
  <si>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</si>
  <si>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</si>
  <si>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</si>
  <si>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</si>
  <si>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</si>
  <si>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</si>
  <si>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</si>
  <si>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</si>
  <si>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</si>
  <si>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</si>
  <si>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</si>
  <si>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</si>
  <si>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</si>
  <si>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</si>
  <si>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</si>
  <si>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</si>
  <si>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</si>
  <si>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</si>
  <si>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</si>
  <si>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</si>
  <si>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</si>
  <si>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</si>
  <si>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</si>
  <si>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</si>
  <si>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</si>
  <si>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</si>
  <si>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</si>
  <si>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</si>
  <si>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</si>
  <si>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</si>
  <si>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</si>
  <si>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</si>
  <si>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</si>
  <si>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</si>
  <si>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</si>
  <si>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</si>
  <si>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</si>
  <si>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</si>
  <si>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</si>
  <si>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</si>
  <si>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</si>
  <si>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</si>
  <si>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</si>
  <si>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</si>
  <si>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</si>
  <si>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</si>
  <si>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</si>
  <si>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</si>
  <si>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</si>
  <si>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</si>
  <si>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</si>
  <si>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</si>
  <si>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</si>
  <si>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</si>
  <si>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</si>
  <si>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</si>
  <si>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</si>
  <si>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</si>
  <si>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</si>
  <si>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</si>
  <si>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</si>
  <si>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</si>
  <si>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</si>
  <si>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</si>
  <si>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</si>
  <si>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</si>
  <si>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</si>
  <si>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</si>
  <si>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</si>
  <si>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</si>
  <si>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</si>
  <si>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</si>
  <si>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</si>
  <si>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</si>
  <si>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</si>
  <si>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</si>
  <si>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</si>
  <si>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</si>
  <si>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</si>
  <si>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</si>
  <si>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</si>
  <si>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</si>
  <si>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</si>
  <si>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</si>
  <si>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</si>
  <si>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</si>
  <si>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</si>
  <si>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</si>
  <si>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</si>
  <si>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</si>
  <si>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</si>
  <si>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</si>
  <si>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</si>
  <si>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</si>
  <si>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</si>
  <si>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</si>
  <si>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</si>
  <si>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</si>
  <si>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</si>
  <si>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</si>
  <si>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</si>
  <si>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</si>
  <si>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</si>
  <si>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</si>
  <si>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</si>
  <si>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</si>
  <si>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</si>
  <si>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</si>
  <si>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</si>
  <si>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</si>
  <si>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</si>
  <si>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</si>
  <si>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</si>
  <si>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</si>
  <si>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</si>
  <si>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</si>
  <si>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</si>
  <si>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</si>
  <si>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</si>
  <si>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</si>
  <si>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</si>
  <si>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</si>
  <si>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</si>
  <si>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</si>
  <si>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</si>
  <si>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</si>
  <si>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</si>
  <si>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</si>
  <si>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</si>
  <si>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</si>
  <si>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</si>
  <si>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</si>
  <si>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</si>
  <si>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</si>
  <si>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</si>
  <si>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</si>
  <si>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</si>
  <si>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</si>
  <si>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</si>
  <si>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</si>
  <si>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</si>
  <si>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Custo do departamento de RH</t>
  </si>
  <si>
    <t xml:space="preserve">Cálculo por número de funcionários ativos</t>
  </si>
  <si>
    <t xml:space="preserve">Custo do departamento de DP</t>
  </si>
  <si>
    <t xml:space="preserve">SST Administrativo</t>
  </si>
  <si>
    <t xml:space="preserve">Cálculo por número de funcionários ativos — taxa corrigida em 15/09/2026 (estava desatualizada, de antes da correção do custo de Segurança do Trabalho de Julho; agora bate com a aba SETORES)</t>
  </si>
  <si>
    <t xml:space="preserve">Setor de TIC</t>
  </si>
  <si>
    <t xml:space="preserve">Setor de Marketing</t>
  </si>
  <si>
    <t xml:space="preserve">Custo do departamento Administrativo</t>
  </si>
  <si>
    <t xml:space="preserve">Cálculo por número de funcionários ativos (sem quantidade exata para H&amp;A)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</si>
  <si>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</si>
  <si>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</si>
  <si>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</si>
  <si>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Mensalidade recebida pela H&amp;A (parcela agosto)</t>
  </si>
  <si>
    <t xml:space="preserve">Logistica</t>
  </si>
  <si>
    <t xml:space="preserve">Administração da Engenharia</t>
  </si>
  <si>
    <t xml:space="preserve">Cálculo por número de clientes ativos (apenas Engenharia — Projetista cobrado em linha própria)</t>
  </si>
  <si>
    <t xml:space="preserve">Taxa de administração de 6% e 1% de utilização da marca (7% sobre a receita recebida) — valores informados pela Débora (11/09/2026)</t>
  </si>
  <si>
    <t xml:space="preserve">Cálculo por número de vendas do setor (rateio uniforme por empresa) — critério alterado de Clientes para Vendas a pedido da Débora (11/09/2026)</t>
  </si>
  <si>
    <t xml:space="preserve">Cálculo por número de funcionários ativos — criado em 15/09/2026 (linha não existia para Maio/Junho; quantidade PARÂMETROS, exceto H&amp;A=37 fixo a pedido da Débora)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</si>
</sst>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3082" headerRowCount="1" totalsRowCount="0" totalsRowShown="0">
  <autoFilter ref="A4:H3082">
    <filterColumn colId="0">
      <filters>
        <filter val="Administrativo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73463.7007</v>
      </c>
      <c r="F151" s="21" t="n">
        <f aca="false">IFERROR(D151*E151,0)</f>
        <v>2430.02597481819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2430.02597481819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73463.7007</v>
      </c>
      <c r="F152" s="22" t="n">
        <f aca="false">IFERROR(D152*E152,0)</f>
        <v>5059.12932973009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5059.12932973009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73463.7007</v>
      </c>
      <c r="F153" s="21" t="n">
        <f aca="false">IFERROR(D153*E153,0)</f>
        <v>5444.84175366167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5444.84175366167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73463.7007</v>
      </c>
      <c r="F154" s="22" t="n">
        <f aca="false">IFERROR(D154*E154,0)</f>
        <v>1396.55798459683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1396.55798459683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73463.7007</v>
      </c>
      <c r="F155" s="21" t="n">
        <f aca="false">IFERROR(D155*E155,0)</f>
        <v>2425.87852939957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2425.87852939957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73463.7007</v>
      </c>
      <c r="F156" s="22" t="n">
        <f aca="false">IFERROR(D156*E156,0)</f>
        <v>1790.56529936564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1790.56529936564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73463.7007</v>
      </c>
      <c r="F157" s="21" t="n">
        <f aca="false">IFERROR(D157*E157,0)</f>
        <v>1807.90916202532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1807.90916202532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73463.7007</v>
      </c>
      <c r="F158" s="22" t="n">
        <f aca="false">IFERROR(D158*E158,0)</f>
        <v>53108.7926664027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53108.7926664027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72365.3092</v>
      </c>
      <c r="F351" s="21" t="n">
        <f aca="false">IFERROR(D351*E351,0)</f>
        <v>2375.27448700915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2375.27448700915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72365.3092</v>
      </c>
      <c r="F352" s="22" t="n">
        <f aca="false">IFERROR(D352*E352,0)</f>
        <v>5069.01730491985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5069.01730491985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72365.3092</v>
      </c>
      <c r="F353" s="21" t="n">
        <f aca="false">IFERROR(D353*E353,0)</f>
        <v>5420.39150849174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5420.39150849174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72365.3092</v>
      </c>
      <c r="F354" s="22" t="n">
        <f aca="false">IFERROR(D354*E354,0)</f>
        <v>1380.5337384687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1380.5337384687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72365.3092</v>
      </c>
      <c r="F355" s="21" t="n">
        <f aca="false">IFERROR(D355*E355,0)</f>
        <v>2419.14898390295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2419.14898390295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72365.3092</v>
      </c>
      <c r="F356" s="22" t="n">
        <f aca="false">IFERROR(D356*E356,0)</f>
        <v>1789.02043368683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1789.02043368683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72365.3092</v>
      </c>
      <c r="F357" s="21" t="n">
        <f aca="false">IFERROR(D357*E357,0)</f>
        <v>1808.68831160474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1808.68831160474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72365.3092</v>
      </c>
      <c r="F358" s="22" t="n">
        <f aca="false">IFERROR(D358*E358,0)</f>
        <v>52103.2344319161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52103.2344319161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89561.189</v>
      </c>
      <c r="F551" s="21" t="n">
        <f aca="false">IFERROR(D551*E551,0)</f>
        <v>2928.31497750272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2928.31497750272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89561.189</v>
      </c>
      <c r="F552" s="22" t="n">
        <f aca="false">IFERROR(D552*E552,0)</f>
        <v>6013.98021335941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6013.98021335941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89561.189</v>
      </c>
      <c r="F553" s="21" t="n">
        <f aca="false">IFERROR(D553*E553,0)</f>
        <v>6529.14673717933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6529.14673717933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89561.189</v>
      </c>
      <c r="F554" s="22" t="n">
        <f aca="false">IFERROR(D554*E554,0)</f>
        <v>1673.51334096808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1673.51334096808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89561.189</v>
      </c>
      <c r="F555" s="21" t="n">
        <f aca="false">IFERROR(D555*E555,0)</f>
        <v>2919.42513239797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2919.42513239797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89561.189</v>
      </c>
      <c r="F556" s="22" t="n">
        <f aca="false">IFERROR(D556*E556,0)</f>
        <v>2135.78528641478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2135.78528641478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89561.189</v>
      </c>
      <c r="F557" s="21" t="n">
        <f aca="false">IFERROR(D557*E557,0)</f>
        <v>2136.22977867002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2136.22977867002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89561.189</v>
      </c>
      <c r="F558" s="22" t="n">
        <f aca="false">IFERROR(D558*E558,0)</f>
        <v>65224.7935335077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65224.7935335077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28257.9892</v>
      </c>
      <c r="F684" s="26" t="n">
        <f aca="false">IFERROR(D684*E684,0)</f>
        <v>939.249403608737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939.249403608737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28257.9892</v>
      </c>
      <c r="F685" s="26" t="n">
        <f aca="false">IFERROR(D685*E685,0)</f>
        <v>939.249403608737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939.249403608737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28257.9892</v>
      </c>
      <c r="F686" s="26" t="n">
        <f aca="false">IFERROR(D686*E686,0)</f>
        <v>1127.09928433048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1127.09928433048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28257.9892</v>
      </c>
      <c r="F687" s="26" t="n">
        <f aca="false">IFERROR(D687*E687,0)</f>
        <v>295.192669705603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295.192669705603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28257.9892</v>
      </c>
      <c r="F688" s="26" t="n">
        <f aca="false">IFERROR(D688*E688,0)</f>
        <v>1127.09928433048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1127.09928433048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28257.9892</v>
      </c>
      <c r="F689" s="26" t="n">
        <f aca="false">IFERROR(D689*E689,0)</f>
        <v>483.042550427351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483.042550427351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28257.9892</v>
      </c>
      <c r="F690" s="26" t="n">
        <f aca="false">IFERROR(D690*E690,0)</f>
        <v>536.713944919278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536.713944919278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28257.9892</v>
      </c>
      <c r="F691" s="26" t="n">
        <f aca="false">IFERROR(D691*E691,0)</f>
        <v>22810.3426590693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22810.3426590693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45940.5807</v>
      </c>
      <c r="F692" s="26" t="n">
        <f aca="false">IFERROR(D692*E692,0)</f>
        <v>1489.01786825548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1489.01786825548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45940.5807</v>
      </c>
      <c r="F693" s="26" t="n">
        <f aca="false">IFERROR(D693*E693,0)</f>
        <v>1401.42858188751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1401.42858188751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45940.5807</v>
      </c>
      <c r="F694" s="26" t="n">
        <f aca="false">IFERROR(D694*E694,0)</f>
        <v>1839.37501372736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1839.37501372736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45940.5807</v>
      </c>
      <c r="F695" s="26" t="n">
        <f aca="false">IFERROR(D695*E695,0)</f>
        <v>481.741075023832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481.741075023832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45940.5807</v>
      </c>
      <c r="F696" s="26" t="n">
        <f aca="false">IFERROR(D696*E696,0)</f>
        <v>1839.37501372736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1839.37501372736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45940.5807</v>
      </c>
      <c r="F697" s="26" t="n">
        <f aca="false">IFERROR(D697*E697,0)</f>
        <v>788.303577311726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788.303577311726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45940.5807</v>
      </c>
      <c r="F698" s="26" t="n">
        <f aca="false">IFERROR(D698*E698,0)</f>
        <v>744.508934127741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744.508934127741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45940.5807</v>
      </c>
      <c r="F699" s="26" t="n">
        <f aca="false">IFERROR(D699*E699,0)</f>
        <v>37356.830635939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37356.830635939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120488.6945</v>
      </c>
      <c r="F700" s="26" t="n">
        <f aca="false">IFERROR(D700*E700,0)</f>
        <v>3758.36294770642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3758.36294770642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120488.6945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120488.6945</v>
      </c>
      <c r="F702" s="26" t="n">
        <f aca="false">IFERROR(D702*E702,0)</f>
        <v>5195.38407477064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5195.38407477064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120488.6945</v>
      </c>
      <c r="F703" s="26" t="n">
        <f aca="false">IFERROR(D703*E703,0)</f>
        <v>1215.94095366972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1215.94095366972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120488.6945</v>
      </c>
      <c r="F704" s="26" t="n">
        <f aca="false">IFERROR(D704*E704,0)</f>
        <v>5527.00433486239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5527.00433486239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120488.6945</v>
      </c>
      <c r="F705" s="26" t="n">
        <f aca="false">IFERROR(D705*E705,0)</f>
        <v>1989.72156055046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1989.72156055046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120488.6945</v>
      </c>
      <c r="F706" s="26" t="n">
        <f aca="false">IFERROR(D706*E706,0)</f>
        <v>2652.96208073395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2652.96208073395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120488.6945</v>
      </c>
      <c r="F707" s="26" t="n">
        <f aca="false">IFERROR(D707*E707,0)</f>
        <v>100149.318547706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100149.318547706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42793.8</v>
      </c>
      <c r="F909" s="21" t="n">
        <f aca="false">IFERROR(D909*E909,0)</f>
        <v>1442.66566211898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1442.66566211898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42793.8</v>
      </c>
      <c r="F910" s="22" t="n">
        <f aca="false">IFERROR(D910*E910,0)</f>
        <v>2932.2119896536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2932.2119896536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42793.8</v>
      </c>
      <c r="F911" s="21" t="n">
        <f aca="false">IFERROR(D911*E911,0)</f>
        <v>3189.83860932191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3189.83860932191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42793.8</v>
      </c>
      <c r="F912" s="22" t="n">
        <f aca="false">IFERROR(D912*E912,0)</f>
        <v>810.644839478623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810.644839478623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42793.8</v>
      </c>
      <c r="F913" s="21" t="n">
        <f aca="false">IFERROR(D913*E913,0)</f>
        <v>1432.6818167064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1432.6818167064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42793.8</v>
      </c>
      <c r="F914" s="22" t="n">
        <f aca="false">IFERROR(D914*E914,0)</f>
        <v>1039.40512349749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1039.40512349749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42793.8</v>
      </c>
      <c r="F915" s="21" t="n">
        <f aca="false">IFERROR(D915*E915,0)</f>
        <v>1040.92440432114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1040.92440432114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42793.8</v>
      </c>
      <c r="F916" s="22" t="n">
        <f aca="false">IFERROR(D916*E916,0)</f>
        <v>30905.4275549019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30905.4275549019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38135.14</v>
      </c>
      <c r="F917" s="21" t="n">
        <f aca="false">IFERROR(D917*E917,0)</f>
        <v>1087.50399239544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1087.50399239544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38135.14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38135.14</v>
      </c>
      <c r="F919" s="21" t="n">
        <f aca="false">IFERROR(D919*E919,0)</f>
        <v>1631.25598859316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1631.25598859316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38135.14</v>
      </c>
      <c r="F920" s="22" t="n">
        <f aca="false">IFERROR(D920*E920,0)</f>
        <v>362.501330798479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362.501330798479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38135.14</v>
      </c>
      <c r="F921" s="21" t="n">
        <f aca="false">IFERROR(D921*E921,0)</f>
        <v>1667.506121673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1667.506121673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38135.14</v>
      </c>
      <c r="F922" s="22" t="n">
        <f aca="false">IFERROR(D922*E922,0)</f>
        <v>616.252262357415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616.252262357415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38135.14</v>
      </c>
      <c r="F923" s="21" t="n">
        <f aca="false">IFERROR(D923*E923,0)</f>
        <v>833.753060836502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833.753060836502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38135.14</v>
      </c>
      <c r="F924" s="22" t="n">
        <f aca="false">IFERROR(D924*E924,0)</f>
        <v>31936.367243346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31936.367243346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52085.15</v>
      </c>
      <c r="F925" s="21" t="n">
        <f aca="false">IFERROR(D925*E925,0)</f>
        <v>1485.31796577947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1485.31796577947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52085.15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52085.15</v>
      </c>
      <c r="F927" s="21" t="n">
        <f aca="false">IFERROR(D927*E927,0)</f>
        <v>2227.9769486692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2227.9769486692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52085.15</v>
      </c>
      <c r="F928" s="22" t="n">
        <f aca="false">IFERROR(D928*E928,0)</f>
        <v>495.105988593156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495.105988593156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52085.15</v>
      </c>
      <c r="F929" s="21" t="n">
        <f aca="false">IFERROR(D929*E929,0)</f>
        <v>2277.48754752852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2277.48754752852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52085.15</v>
      </c>
      <c r="F930" s="22" t="n">
        <f aca="false">IFERROR(D930*E930,0)</f>
        <v>841.680180608365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841.680180608365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52085.15</v>
      </c>
      <c r="F931" s="21" t="n">
        <f aca="false">IFERROR(D931*E931,0)</f>
        <v>1138.74377376426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1138.74377376426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52085.15</v>
      </c>
      <c r="F932" s="22" t="n">
        <f aca="false">IFERROR(D932*E932,0)</f>
        <v>43618.837595057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43618.837595057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63678.03</v>
      </c>
      <c r="F933" s="21" t="n">
        <f aca="false">IFERROR(D933*E933,0)</f>
        <v>2146.71534924177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2146.71534924177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63678.03</v>
      </c>
      <c r="F934" s="22" t="n">
        <f aca="false">IFERROR(D934*E934,0)</f>
        <v>4363.19006593295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4363.19006593295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63678.03</v>
      </c>
      <c r="F935" s="21" t="n">
        <f aca="false">IFERROR(D935*E935,0)</f>
        <v>4746.54362687021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4746.54362687021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63678.03</v>
      </c>
      <c r="F936" s="22" t="n">
        <f aca="false">IFERROR(D936*E936,0)</f>
        <v>1206.2557288127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1206.2557288127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63678.03</v>
      </c>
      <c r="F937" s="21" t="n">
        <f aca="false">IFERROR(D937*E937,0)</f>
        <v>2131.85918765532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2131.85918765532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63678.03</v>
      </c>
      <c r="F938" s="22" t="n">
        <f aca="false">IFERROR(D938*E938,0)</f>
        <v>1546.65560516306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1546.65560516306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63678.03</v>
      </c>
      <c r="F939" s="21" t="n">
        <f aca="false">IFERROR(D939*E939,0)</f>
        <v>1548.91632540447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1548.91632540447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63678.03</v>
      </c>
      <c r="F940" s="22" t="n">
        <f aca="false">IFERROR(D940*E940,0)</f>
        <v>45987.8941109195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45987.8941109195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22892.43</v>
      </c>
      <c r="F941" s="21" t="n">
        <f aca="false">IFERROR(D941*E941,0)</f>
        <v>771.75017604098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771.75017604098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22892.43</v>
      </c>
      <c r="F942" s="22" t="n">
        <f aca="false">IFERROR(D942*E942,0)</f>
        <v>1568.57903991479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1568.57903991479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22892.43</v>
      </c>
      <c r="F943" s="21" t="n">
        <f aca="false">IFERROR(D943*E943,0)</f>
        <v>1706.39571795912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1706.39571795912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22892.43</v>
      </c>
      <c r="F944" s="22" t="n">
        <f aca="false">IFERROR(D944*E944,0)</f>
        <v>433.652310442765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433.652310442765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22892.43</v>
      </c>
      <c r="F945" s="21" t="n">
        <f aca="false">IFERROR(D945*E945,0)</f>
        <v>766.409344372876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766.409344372876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22892.43</v>
      </c>
      <c r="F946" s="22" t="n">
        <f aca="false">IFERROR(D946*E946,0)</f>
        <v>556.027018664097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556.027018664097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22892.43</v>
      </c>
      <c r="F947" s="21" t="n">
        <f aca="false">IFERROR(D947*E947,0)</f>
        <v>556.839753917939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556.839753917939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22892.43</v>
      </c>
      <c r="F948" s="22" t="n">
        <f aca="false">IFERROR(D948*E948,0)</f>
        <v>16532.7766386874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16532.7766386874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34255.66</v>
      </c>
      <c r="F949" s="21" t="n">
        <f aca="false">IFERROR(D949*E949,0)</f>
        <v>1154.8276716539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1154.8276716539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34255.66</v>
      </c>
      <c r="F950" s="22" t="n">
        <f aca="false">IFERROR(D950*E950,0)</f>
        <v>2347.18246487802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2347.18246487802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34255.66</v>
      </c>
      <c r="F951" s="21" t="n">
        <f aca="false">IFERROR(D951*E951,0)</f>
        <v>2553.40789684029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2553.40789684029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34255.66</v>
      </c>
      <c r="F952" s="22" t="n">
        <f aca="false">IFERROR(D952*E952,0)</f>
        <v>648.906477151697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648.906477151697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34255.66</v>
      </c>
      <c r="F953" s="21" t="n">
        <f aca="false">IFERROR(D953*E953,0)</f>
        <v>1146.83578465284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1146.83578465284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34255.66</v>
      </c>
      <c r="F954" s="22" t="n">
        <f aca="false">IFERROR(D954*E954,0)</f>
        <v>832.024931480449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832.024931480449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34255.66</v>
      </c>
      <c r="F955" s="21" t="n">
        <f aca="false">IFERROR(D955*E955,0)</f>
        <v>833.241088198002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833.241088198002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34255.66</v>
      </c>
      <c r="F956" s="22" t="n">
        <f aca="false">IFERROR(D956*E956,0)</f>
        <v>24739.2336851448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24739.2336851448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153752.07</v>
      </c>
      <c r="F957" s="21" t="n">
        <f aca="false">IFERROR(D957*E957,0)</f>
        <v>5183.29365162043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5183.29365162043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153752.07</v>
      </c>
      <c r="F958" s="22" t="n">
        <f aca="false">IFERROR(D958*E958,0)</f>
        <v>10535.0229025714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10535.0229025714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153752.07</v>
      </c>
      <c r="F959" s="21" t="n">
        <f aca="false">IFERROR(D959*E959,0)</f>
        <v>11460.6389044479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11460.6389044479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153752.07</v>
      </c>
      <c r="F960" s="22" t="n">
        <f aca="false">IFERROR(D960*E960,0)</f>
        <v>2912.5322384237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2912.5322384237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153752.07</v>
      </c>
      <c r="F961" s="21" t="n">
        <f aca="false">IFERROR(D961*E961,0)</f>
        <v>5147.42310731856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5147.42310731856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153752.07</v>
      </c>
      <c r="F962" s="22" t="n">
        <f aca="false">IFERROR(D962*E962,0)</f>
        <v>3734.43557960136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3734.43557960136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153752.07</v>
      </c>
      <c r="F963" s="21" t="n">
        <f aca="false">IFERROR(D963*E963,0)</f>
        <v>3739.89414069077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3739.89414069077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153752.07</v>
      </c>
      <c r="F964" s="22" t="n">
        <f aca="false">IFERROR(D964*E964,0)</f>
        <v>111038.829475326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111038.829475326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45092.33</v>
      </c>
      <c r="F965" s="21" t="n">
        <f aca="false">IFERROR(D965*E965,0)</f>
        <v>1520.15376330071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1520.15376330071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45092.33</v>
      </c>
      <c r="F966" s="22" t="n">
        <f aca="false">IFERROR(D966*E966,0)</f>
        <v>3089.70623472131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3089.70623472131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45092.33</v>
      </c>
      <c r="F967" s="21" t="n">
        <f aca="false">IFERROR(D967*E967,0)</f>
        <v>3361.17043165796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3361.17043165796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45092.33</v>
      </c>
      <c r="F968" s="22" t="n">
        <f aca="false">IFERROR(D968*E968,0)</f>
        <v>854.185994573211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854.185994573211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45092.33</v>
      </c>
      <c r="F969" s="21" t="n">
        <f aca="false">IFERROR(D969*E969,0)</f>
        <v>1509.63366805295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1509.63366805295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45092.33</v>
      </c>
      <c r="F970" s="22" t="n">
        <f aca="false">IFERROR(D970*E970,0)</f>
        <v>1095.23339438048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1095.23339438048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45092.33</v>
      </c>
      <c r="F971" s="21" t="n">
        <f aca="false">IFERROR(D971*E971,0)</f>
        <v>1096.83427843993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1096.83427843993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45092.33</v>
      </c>
      <c r="F972" s="22" t="n">
        <f aca="false">IFERROR(D972*E972,0)</f>
        <v>32565.4122348735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32565.4122348735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44389.35</v>
      </c>
      <c r="F973" s="21" t="n">
        <f aca="false">IFERROR(D973*E973,0)</f>
        <v>1496.45488385657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1496.45488385657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44389.35</v>
      </c>
      <c r="F974" s="22" t="n">
        <f aca="false">IFERROR(D974*E974,0)</f>
        <v>3041.53836029822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3041.53836029822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44389.35</v>
      </c>
      <c r="F975" s="21" t="n">
        <f aca="false">IFERROR(D975*E975,0)</f>
        <v>3308.77048714307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3308.77048714307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44389.35</v>
      </c>
      <c r="F976" s="22" t="n">
        <f aca="false">IFERROR(D976*E976,0)</f>
        <v>840.869413450322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840.869413450322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44389.35</v>
      </c>
      <c r="F977" s="21" t="n">
        <f aca="false">IFERROR(D977*E977,0)</f>
        <v>1486.09879469493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1486.09879469493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44389.35</v>
      </c>
      <c r="F978" s="22" t="n">
        <f aca="false">IFERROR(D978*E978,0)</f>
        <v>1078.15893467566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1078.15893467566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44389.35</v>
      </c>
      <c r="F979" s="21" t="n">
        <f aca="false">IFERROR(D979*E979,0)</f>
        <v>1079.73486128721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1079.73486128721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44389.35</v>
      </c>
      <c r="F980" s="22" t="n">
        <f aca="false">IFERROR(D980*E980,0)</f>
        <v>32057.724264594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32057.724264594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39588.01</v>
      </c>
      <c r="F981" s="21" t="n">
        <f aca="false">IFERROR(D981*E981,0)</f>
        <v>1334.59198899427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1334.59198899427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39588.01</v>
      </c>
      <c r="F982" s="22" t="n">
        <f aca="false">IFERROR(D982*E982,0)</f>
        <v>2712.55269615053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2712.55269615053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39588.01</v>
      </c>
      <c r="F983" s="21" t="n">
        <f aca="false">IFERROR(D983*E983,0)</f>
        <v>2950.87986493889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2950.87986493889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39588.01</v>
      </c>
      <c r="F984" s="22" t="n">
        <f aca="false">IFERROR(D984*E984,0)</f>
        <v>749.917418217782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749.917418217782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39588.01</v>
      </c>
      <c r="F985" s="21" t="n">
        <f aca="false">IFERROR(D985*E985,0)</f>
        <v>1325.35605827459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1325.35605827459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39588.01</v>
      </c>
      <c r="F986" s="22" t="n">
        <f aca="false">IFERROR(D986*E986,0)</f>
        <v>961.540700360096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961.540700360096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39588.01</v>
      </c>
      <c r="F987" s="21" t="n">
        <f aca="false">IFERROR(D987*E987,0)</f>
        <v>962.946168078308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962.946168078308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39588.01</v>
      </c>
      <c r="F988" s="22" t="n">
        <f aca="false">IFERROR(D988*E988,0)</f>
        <v>28590.2251049855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28590.2251049855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18057.48</v>
      </c>
      <c r="F989" s="21" t="n">
        <f aca="false">IFERROR(D989*E989,0)</f>
        <v>608.754220013187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608.754220013187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18057.48</v>
      </c>
      <c r="F990" s="22" t="n">
        <f aca="false">IFERROR(D990*E990,0)</f>
        <v>1237.29043363595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1237.29043363595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18057.48</v>
      </c>
      <c r="F991" s="21" t="n">
        <f aca="false">IFERROR(D991*E991,0)</f>
        <v>1345.99981518487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1345.99981518487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18057.48</v>
      </c>
      <c r="F992" s="22" t="n">
        <f aca="false">IFERROR(D992*E992,0)</f>
        <v>342.06363949891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342.06363949891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18057.48</v>
      </c>
      <c r="F993" s="21" t="n">
        <f aca="false">IFERROR(D993*E993,0)</f>
        <v>604.541388040777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604.541388040777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18057.48</v>
      </c>
      <c r="F994" s="22" t="n">
        <f aca="false">IFERROR(D994*E994,0)</f>
        <v>438.592441649338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438.592441649338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18057.48</v>
      </c>
      <c r="F995" s="21" t="n">
        <f aca="false">IFERROR(D995*E995,0)</f>
        <v>439.233524775574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439.233524775574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18057.48</v>
      </c>
      <c r="F996" s="22" t="n">
        <f aca="false">IFERROR(D996*E996,0)</f>
        <v>13041.0045372014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13041.0045372014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28551.52</v>
      </c>
      <c r="F997" s="21" t="n">
        <f aca="false">IFERROR(D997*E997,0)</f>
        <v>962.529560480803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962.529560480803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28551.52</v>
      </c>
      <c r="F998" s="22" t="n">
        <f aca="false">IFERROR(D998*E998,0)</f>
        <v>1956.33734949536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1956.33734949536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28551.52</v>
      </c>
      <c r="F999" s="21" t="n">
        <f aca="false">IFERROR(D999*E999,0)</f>
        <v>2128.22279981742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2128.22279981742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28551.52</v>
      </c>
      <c r="F1000" s="22" t="n">
        <f aca="false">IFERROR(D1000*E1000,0)</f>
        <v>540.852701729472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540.852701729472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28551.52</v>
      </c>
      <c r="F1001" s="21" t="n">
        <f aca="false">IFERROR(D1001*E1001,0)</f>
        <v>955.868456256023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955.868456256023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28551.52</v>
      </c>
      <c r="F1002" s="22" t="n">
        <f aca="false">IFERROR(D1002*E1002,0)</f>
        <v>693.478872445098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693.478872445098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28551.52</v>
      </c>
      <c r="F1003" s="21" t="n">
        <f aca="false">IFERROR(D1003*E1003,0)</f>
        <v>694.492518740173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694.492518740173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28551.52</v>
      </c>
      <c r="F1004" s="22" t="n">
        <f aca="false">IFERROR(D1004*E1004,0)</f>
        <v>20619.7377410357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20619.7377410357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25352.14</v>
      </c>
      <c r="F1005" s="21" t="n">
        <f aca="false">IFERROR(D1005*E1005,0)</f>
        <v>854.671981437338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854.671981437338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25352.14</v>
      </c>
      <c r="F1006" s="22" t="n">
        <f aca="false">IFERROR(D1006*E1006,0)</f>
        <v>1737.11726631841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1737.11726631841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25352.14</v>
      </c>
      <c r="F1007" s="21" t="n">
        <f aca="false">IFERROR(D1007*E1007,0)</f>
        <v>1889.74185515038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1889.74185515038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25352.14</v>
      </c>
      <c r="F1008" s="22" t="n">
        <f aca="false">IFERROR(D1008*E1008,0)</f>
        <v>480.246705381143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480.246705381143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25352.14</v>
      </c>
      <c r="F1009" s="21" t="n">
        <f aca="false">IFERROR(D1009*E1009,0)</f>
        <v>848.757296444692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848.757296444692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25352.14</v>
      </c>
      <c r="F1010" s="22" t="n">
        <f aca="false">IFERROR(D1010*E1010,0)</f>
        <v>615.770139777857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615.770139777857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25352.14</v>
      </c>
      <c r="F1011" s="21" t="n">
        <f aca="false">IFERROR(D1011*E1011,0)</f>
        <v>616.670200537607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616.670200537607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25352.14</v>
      </c>
      <c r="F1012" s="22" t="n">
        <f aca="false">IFERROR(D1012*E1012,0)</f>
        <v>18309.1645549526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18309.1645549526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52370.99</v>
      </c>
      <c r="F1013" s="21" t="n">
        <f aca="false">IFERROR(D1013*E1013,0)</f>
        <v>1493.46929657795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1493.46929657795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52370.99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52370.99</v>
      </c>
      <c r="F1015" s="21" t="n">
        <f aca="false">IFERROR(D1015*E1015,0)</f>
        <v>2240.20394486692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2240.20394486692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52370.99</v>
      </c>
      <c r="F1016" s="22" t="n">
        <f aca="false">IFERROR(D1016*E1016,0)</f>
        <v>497.823098859316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497.823098859316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52370.99</v>
      </c>
      <c r="F1017" s="21" t="n">
        <f aca="false">IFERROR(D1017*E1017,0)</f>
        <v>2289.98625475285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2289.98625475285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52370.99</v>
      </c>
      <c r="F1018" s="22" t="n">
        <f aca="false">IFERROR(D1018*E1018,0)</f>
        <v>846.299268060837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846.299268060837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52370.99</v>
      </c>
      <c r="F1019" s="21" t="n">
        <f aca="false">IFERROR(D1019*E1019,0)</f>
        <v>1144.99312737643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1144.99312737643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52370.99</v>
      </c>
      <c r="F1020" s="22" t="n">
        <f aca="false">IFERROR(D1020*E1020,0)</f>
        <v>43858.2150095057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43858.2150095057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66790.15</v>
      </c>
      <c r="F1021" s="21" t="n">
        <f aca="false">IFERROR(D1021*E1021,0)</f>
        <v>2251.63121697013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2251.63121697013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66790.15</v>
      </c>
      <c r="F1022" s="22" t="n">
        <f aca="false">IFERROR(D1022*E1022,0)</f>
        <v>4576.43113303241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4576.43113303241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66790.15</v>
      </c>
      <c r="F1023" s="21" t="n">
        <f aca="false">IFERROR(D1023*E1023,0)</f>
        <v>4978.52023406198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4978.52023406198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66790.15</v>
      </c>
      <c r="F1024" s="22" t="n">
        <f aca="false">IFERROR(D1024*E1024,0)</f>
        <v>1265.20875513516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1265.20875513516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66790.15</v>
      </c>
      <c r="F1025" s="21" t="n">
        <f aca="false">IFERROR(D1025*E1025,0)</f>
        <v>2236.04899401532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2236.04899401532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66790.15</v>
      </c>
      <c r="F1026" s="22" t="n">
        <f aca="false">IFERROR(D1026*E1026,0)</f>
        <v>1622.24490718669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1622.24490718669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66790.15</v>
      </c>
      <c r="F1027" s="21" t="n">
        <f aca="false">IFERROR(D1027*E1027,0)</f>
        <v>1624.61611502764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1624.61611502764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66790.15</v>
      </c>
      <c r="F1028" s="22" t="n">
        <f aca="false">IFERROR(D1028*E1028,0)</f>
        <v>48235.4486445707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48235.4486445707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161427.31</v>
      </c>
      <c r="F1029" s="21" t="n">
        <f aca="false">IFERROR(D1029*E1029,0)</f>
        <v>5442.04153557843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5442.04153557843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161427.31</v>
      </c>
      <c r="F1030" s="22" t="n">
        <f aca="false">IFERROR(D1030*E1030,0)</f>
        <v>11060.9269062231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11060.9269062231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161427.31</v>
      </c>
      <c r="F1031" s="21" t="n">
        <f aca="false">IFERROR(D1031*E1031,0)</f>
        <v>12032.7492776284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12032.7492776284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161427.31</v>
      </c>
      <c r="F1032" s="22" t="n">
        <f aca="false">IFERROR(D1032*E1032,0)</f>
        <v>3057.92464801948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3057.92464801948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161427.31</v>
      </c>
      <c r="F1033" s="21" t="n">
        <f aca="false">IFERROR(D1033*E1033,0)</f>
        <v>5404.38034848101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5404.38034848101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161427.31</v>
      </c>
      <c r="F1034" s="22" t="n">
        <f aca="false">IFERROR(D1034*E1034,0)</f>
        <v>3920.85706542577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3920.85706542577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161427.31</v>
      </c>
      <c r="F1035" s="21" t="n">
        <f aca="false">IFERROR(D1035*E1035,0)</f>
        <v>3926.58811563625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3926.58811563625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161427.31</v>
      </c>
      <c r="F1036" s="22" t="n">
        <f aca="false">IFERROR(D1036*E1036,0)</f>
        <v>116581.842103008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116581.842103008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120030.14</v>
      </c>
      <c r="F1037" s="21" t="n">
        <f aca="false">IFERROR(D1037*E1037,0)</f>
        <v>4046.45909915302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4046.45909915302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120030.14</v>
      </c>
      <c r="F1038" s="22" t="n">
        <f aca="false">IFERROR(D1038*E1038,0)</f>
        <v>8224.41137799868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8224.41137799868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120030.14</v>
      </c>
      <c r="F1039" s="21" t="n">
        <f aca="false">IFERROR(D1039*E1039,0)</f>
        <v>8947.01510158746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8947.01510158746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120030.14</v>
      </c>
      <c r="F1040" s="22" t="n">
        <f aca="false">IFERROR(D1040*E1040,0)</f>
        <v>2273.73623218542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2273.73623218542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120030.14</v>
      </c>
      <c r="F1041" s="21" t="n">
        <f aca="false">IFERROR(D1041*E1041,0)</f>
        <v>4018.45592199625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4018.45592199625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120030.14</v>
      </c>
      <c r="F1042" s="22" t="n">
        <f aca="false">IFERROR(D1042*E1042,0)</f>
        <v>2915.3742479079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2915.3742479079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120030.14</v>
      </c>
      <c r="F1043" s="21" t="n">
        <f aca="false">IFERROR(D1043*E1043,0)</f>
        <v>2919.63560095349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2919.63560095349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120030.14</v>
      </c>
      <c r="F1044" s="22" t="n">
        <f aca="false">IFERROR(D1044*E1044,0)</f>
        <v>86685.0524182178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86685.0524182178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106442.35</v>
      </c>
      <c r="F1045" s="21" t="n">
        <f aca="false">IFERROR(D1045*E1045,0)</f>
        <v>3588.38718085916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3588.38718085916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106442.35</v>
      </c>
      <c r="F1046" s="22" t="n">
        <f aca="false">IFERROR(D1046*E1046,0)</f>
        <v>7293.38209920373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7293.38209920373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106442.35</v>
      </c>
      <c r="F1047" s="21" t="n">
        <f aca="false">IFERROR(D1047*E1047,0)</f>
        <v>7934.18480473703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7934.18480473703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106442.35</v>
      </c>
      <c r="F1048" s="22" t="n">
        <f aca="false">IFERROR(D1048*E1048,0)</f>
        <v>2016.34212735203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2016.34212735203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106442.35</v>
      </c>
      <c r="F1049" s="21" t="n">
        <f aca="false">IFERROR(D1049*E1049,0)</f>
        <v>3563.55405157986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3563.55405157986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106442.35</v>
      </c>
      <c r="F1050" s="22" t="n">
        <f aca="false">IFERROR(D1050*E1050,0)</f>
        <v>2585.34469822995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2585.34469822995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106442.35</v>
      </c>
      <c r="F1051" s="21" t="n">
        <f aca="false">IFERROR(D1051*E1051,0)</f>
        <v>2589.1236526855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2589.1236526855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106442.35</v>
      </c>
      <c r="F1052" s="22" t="n">
        <f aca="false">IFERROR(D1052*E1052,0)</f>
        <v>76872.0313853527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76872.0313853527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30578.52</v>
      </c>
      <c r="F1053" s="21" t="n">
        <f aca="false">IFERROR(D1053*E1053,0)</f>
        <v>1030.86383547193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1030.86383547193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30578.52</v>
      </c>
      <c r="F1054" s="22" t="n">
        <f aca="false">IFERROR(D1054*E1054,0)</f>
        <v>2095.22648070193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2095.22648070193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30578.52</v>
      </c>
      <c r="F1055" s="21" t="n">
        <f aca="false">IFERROR(D1055*E1055,0)</f>
        <v>2279.31484728914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2279.31484728914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30578.52</v>
      </c>
      <c r="F1056" s="22" t="n">
        <f aca="false">IFERROR(D1056*E1056,0)</f>
        <v>579.250252066745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579.250252066745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30578.52</v>
      </c>
      <c r="F1057" s="21" t="n">
        <f aca="false">IFERROR(D1057*E1057,0)</f>
        <v>1023.72982969012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1023.72982969012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30578.52</v>
      </c>
      <c r="F1058" s="22" t="n">
        <f aca="false">IFERROR(D1058*E1058,0)</f>
        <v>742.712036719582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742.712036719582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30578.52</v>
      </c>
      <c r="F1059" s="21" t="n">
        <f aca="false">IFERROR(D1059*E1059,0)</f>
        <v>743.797646295075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743.797646295075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30578.52</v>
      </c>
      <c r="F1060" s="22" t="n">
        <f aca="false">IFERROR(D1060*E1060,0)</f>
        <v>22083.6250717655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22083.6250717655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98357.6</v>
      </c>
      <c r="F1061" s="21" t="n">
        <f aca="false">IFERROR(D1061*E1061,0)</f>
        <v>3315.83388547954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3315.83388547954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98357.6</v>
      </c>
      <c r="F1062" s="22" t="n">
        <f aca="false">IFERROR(D1062*E1062,0)</f>
        <v>6739.41865395344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6739.41865395344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98357.6</v>
      </c>
      <c r="F1063" s="21" t="n">
        <f aca="false">IFERROR(D1063*E1063,0)</f>
        <v>7331.54966374195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7331.54966374195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98357.6</v>
      </c>
      <c r="F1064" s="22" t="n">
        <f aca="false">IFERROR(D1064*E1064,0)</f>
        <v>1863.19235177765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1863.19235177765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98357.6</v>
      </c>
      <c r="F1065" s="21" t="n">
        <f aca="false">IFERROR(D1065*E1065,0)</f>
        <v>3292.88693817518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3292.88693817518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98357.6</v>
      </c>
      <c r="F1066" s="22" t="n">
        <f aca="false">IFERROR(D1066*E1066,0)</f>
        <v>2388.97675305574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2388.97675305574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98357.6</v>
      </c>
      <c r="F1067" s="21" t="n">
        <f aca="false">IFERROR(D1067*E1067,0)</f>
        <v>2392.46867981945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2392.46867981945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98357.6</v>
      </c>
      <c r="F1068" s="22" t="n">
        <f aca="false">IFERROR(D1068*E1068,0)</f>
        <v>71033.273073997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71033.273073997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130683.26</v>
      </c>
      <c r="F1069" s="21" t="n">
        <f aca="false">IFERROR(D1069*E1069,0)</f>
        <v>4405.59734858244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4405.59734858244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130683.26</v>
      </c>
      <c r="F1070" s="22" t="n">
        <f aca="false">IFERROR(D1070*E1070,0)</f>
        <v>8954.35838413552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8954.35838413552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130683.26</v>
      </c>
      <c r="F1071" s="21" t="n">
        <f aca="false">IFERROR(D1071*E1071,0)</f>
        <v>9741.09586762692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9741.09586762692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130683.26</v>
      </c>
      <c r="F1072" s="22" t="n">
        <f aca="false">IFERROR(D1072*E1072,0)</f>
        <v>2475.53875386722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2475.53875386722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130683.26</v>
      </c>
      <c r="F1073" s="21" t="n">
        <f aca="false">IFERROR(D1073*E1073,0)</f>
        <v>4375.10878561647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4375.10878561647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130683.26</v>
      </c>
      <c r="F1074" s="22" t="n">
        <f aca="false">IFERROR(D1074*E1074,0)</f>
        <v>3174.12452269615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3174.12452269615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130683.26</v>
      </c>
      <c r="F1075" s="21" t="n">
        <f aca="false">IFERROR(D1075*E1075,0)</f>
        <v>3178.76408662575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3178.76408662575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130683.26</v>
      </c>
      <c r="F1076" s="22" t="n">
        <f aca="false">IFERROR(D1076*E1076,0)</f>
        <v>94378.6722508495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94378.6722508495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32336.41</v>
      </c>
      <c r="F1077" s="21" t="n">
        <f aca="false">IFERROR(D1077*E1077,0)</f>
        <v>1090.12586737333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1090.12586737333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32336.41</v>
      </c>
      <c r="F1078" s="22" t="n">
        <f aca="false">IFERROR(D1078*E1078,0)</f>
        <v>2215.67631536238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2215.67631536238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32336.41</v>
      </c>
      <c r="F1079" s="21" t="n">
        <f aca="false">IFERROR(D1079*E1079,0)</f>
        <v>2410.34750606076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2410.34750606076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32336.41</v>
      </c>
      <c r="F1080" s="22" t="n">
        <f aca="false">IFERROR(D1080*E1080,0)</f>
        <v>612.550039813359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612.550039813359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32336.41</v>
      </c>
      <c r="F1081" s="21" t="n">
        <f aca="false">IFERROR(D1081*E1081,0)</f>
        <v>1082.58174372369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1082.58174372369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32336.41</v>
      </c>
      <c r="F1082" s="22" t="n">
        <f aca="false">IFERROR(D1082*E1082,0)</f>
        <v>785.408873002992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785.408873002992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32336.41</v>
      </c>
      <c r="F1083" s="21" t="n">
        <f aca="false">IFERROR(D1083*E1083,0)</f>
        <v>786.556891819242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786.556891819242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32336.41</v>
      </c>
      <c r="F1084" s="22" t="n">
        <f aca="false">IFERROR(D1084*E1084,0)</f>
        <v>23353.1627628442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23353.1627628442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113758.95</v>
      </c>
      <c r="F1085" s="21" t="n">
        <f aca="false">IFERROR(D1085*E1085,0)</f>
        <v>3835.04458411523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3835.04458411523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113758.95</v>
      </c>
      <c r="F1086" s="22" t="n">
        <f aca="false">IFERROR(D1086*E1086,0)</f>
        <v>7794.71225084952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7794.71225084952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113758.95</v>
      </c>
      <c r="F1087" s="21" t="n">
        <f aca="false">IFERROR(D1087*E1087,0)</f>
        <v>8479.56224653852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8479.56224653852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113758.95</v>
      </c>
      <c r="F1088" s="22" t="n">
        <f aca="false">IFERROR(D1088*E1088,0)</f>
        <v>2154.94080362124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2154.94080362124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113758.95</v>
      </c>
      <c r="F1089" s="21" t="n">
        <f aca="false">IFERROR(D1089*E1089,0)</f>
        <v>3808.5044831871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3808.5044831871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113758.95</v>
      </c>
      <c r="F1090" s="22" t="n">
        <f aca="false">IFERROR(D1090*E1090,0)</f>
        <v>2763.05529010499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2763.05529010499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113758.95</v>
      </c>
      <c r="F1091" s="21" t="n">
        <f aca="false">IFERROR(D1091*E1091,0)</f>
        <v>2767.09400111579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2767.09400111579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113758.95</v>
      </c>
      <c r="F1092" s="22" t="n">
        <f aca="false">IFERROR(D1092*E1092,0)</f>
        <v>82156.0363404676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82156.0363404676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197379.45</v>
      </c>
      <c r="F1093" s="21" t="n">
        <f aca="false">IFERROR(D1093*E1093,0)</f>
        <v>6654.06098366892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6654.06098366892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197379.45</v>
      </c>
      <c r="F1094" s="22" t="n">
        <f aca="false">IFERROR(D1094*E1094,0)</f>
        <v>13524.3514200943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13524.3514200943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197379.45</v>
      </c>
      <c r="F1095" s="21" t="n">
        <f aca="false">IFERROR(D1095*E1095,0)</f>
        <v>14712.6123479738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14712.6123479738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197379.45</v>
      </c>
      <c r="F1096" s="22" t="n">
        <f aca="false">IFERROR(D1096*E1096,0)</f>
        <v>3738.96762058122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3738.96762058122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197379.45</v>
      </c>
      <c r="F1097" s="21" t="n">
        <f aca="false">IFERROR(D1097*E1097,0)</f>
        <v>6608.01211873003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6608.01211873003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197379.45</v>
      </c>
      <c r="F1098" s="22" t="n">
        <f aca="false">IFERROR(D1098*E1098,0)</f>
        <v>4794.08726505046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4794.08726505046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197379.45</v>
      </c>
      <c r="F1099" s="21" t="n">
        <f aca="false">IFERROR(D1099*E1099,0)</f>
        <v>4801.09470101943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4801.09470101943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197379.45</v>
      </c>
      <c r="F1100" s="22" t="n">
        <f aca="false">IFERROR(D1100*E1100,0)</f>
        <v>142546.263542882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142546.263542882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72836.39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72836.39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72836.39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72836.39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72836.39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72836.39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72836.39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72836.39</v>
      </c>
      <c r="F1116" s="26" t="n">
        <f aca="false">IFERROR(D1116*E1116,0)</f>
        <v>52602.00717173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52602.00717173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25080.33</v>
      </c>
      <c r="F1117" s="26" t="n">
        <f aca="false">IFERROR(D1117*E1117,0)</f>
        <v>715.218536121673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715.218536121673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25080.33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25080.33</v>
      </c>
      <c r="F1119" s="26" t="n">
        <f aca="false">IFERROR(D1119*E1119,0)</f>
        <v>1072.82780418251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1072.82780418251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25080.33</v>
      </c>
      <c r="F1120" s="26" t="n">
        <f aca="false">IFERROR(D1120*E1120,0)</f>
        <v>238.406178707224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238.406178707224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25080.33</v>
      </c>
      <c r="F1121" s="26" t="n">
        <f aca="false">IFERROR(D1121*E1121,0)</f>
        <v>1096.66842205323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1096.66842205323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25080.33</v>
      </c>
      <c r="F1122" s="26" t="n">
        <f aca="false">IFERROR(D1122*E1122,0)</f>
        <v>405.290503802281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405.290503802281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25080.33</v>
      </c>
      <c r="F1123" s="26" t="n">
        <f aca="false">IFERROR(D1123*E1123,0)</f>
        <v>548.334211026616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548.334211026616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25080.33</v>
      </c>
      <c r="F1124" s="26" t="n">
        <f aca="false">IFERROR(D1124*E1124,0)</f>
        <v>21003.5843441065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21003.5843441065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11275.91</v>
      </c>
      <c r="F1125" s="26" t="n">
        <f aca="false">IFERROR(D1125*E1125,0)</f>
        <v>380.133761576305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380.133761576305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11275.91</v>
      </c>
      <c r="F1126" s="26" t="n">
        <f aca="false">IFERROR(D1126*E1126,0)</f>
        <v>772.620297712634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772.620297712634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11275.91</v>
      </c>
      <c r="F1127" s="26" t="n">
        <f aca="false">IFERROR(D1127*E1127,0)</f>
        <v>840.503369021656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840.503369021656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11275.91</v>
      </c>
      <c r="F1128" s="26" t="n">
        <f aca="false">IFERROR(D1128*E1128,0)</f>
        <v>213.600060100421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213.600060100421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11275.91</v>
      </c>
      <c r="F1129" s="26" t="n">
        <f aca="false">IFERROR(D1129*E1129,0)</f>
        <v>377.503078105188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377.503078105188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11275.91</v>
      </c>
      <c r="F1130" s="26" t="n">
        <f aca="false">IFERROR(D1130*E1130,0)</f>
        <v>273.877024851651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273.877024851651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11275.91</v>
      </c>
      <c r="F1131" s="26" t="n">
        <f aca="false">IFERROR(D1131*E1131,0)</f>
        <v>274.277346249429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274.277346249429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11275.91</v>
      </c>
      <c r="F1132" s="26" t="n">
        <f aca="false">IFERROR(D1132*E1132,0)</f>
        <v>8143.39506238272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8143.39506238272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14564.37</v>
      </c>
      <c r="F1133" s="26" t="n">
        <f aca="false">IFERROR(D1133*E1133,0)</f>
        <v>490.994407820662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490.994407820662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14564.37</v>
      </c>
      <c r="F1134" s="26" t="n">
        <f aca="false">IFERROR(D1134*E1134,0)</f>
        <v>997.944102551098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997.944102551098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14564.37</v>
      </c>
      <c r="F1135" s="26" t="n">
        <f aca="false">IFERROR(D1135*E1135,0)</f>
        <v>1085.62431348582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1085.62431348582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14564.37</v>
      </c>
      <c r="F1136" s="26" t="n">
        <f aca="false">IFERROR(D1136*E1136,0)</f>
        <v>275.89350281483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275.89350281483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14564.37</v>
      </c>
      <c r="F1137" s="26" t="n">
        <f aca="false">IFERROR(D1137*E1137,0)</f>
        <v>487.596522645433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487.596522645433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14564.37</v>
      </c>
      <c r="F1138" s="26" t="n">
        <f aca="false">IFERROR(D1138*E1138,0)</f>
        <v>353.749393569001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353.749393569001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14564.37</v>
      </c>
      <c r="F1139" s="26" t="n">
        <f aca="false">IFERROR(D1139*E1139,0)</f>
        <v>354.266463052188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354.266463052188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14564.37</v>
      </c>
      <c r="F1140" s="26" t="n">
        <f aca="false">IFERROR(D1140*E1140,0)</f>
        <v>10518.301294061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10518.301294061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110884.26</v>
      </c>
      <c r="F1141" s="26" t="n">
        <f aca="false">IFERROR(D1141*E1141,0)</f>
        <v>3738.13296251965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3738.13296251965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110884.26</v>
      </c>
      <c r="F1142" s="26" t="n">
        <f aca="false">IFERROR(D1142*E1142,0)</f>
        <v>7597.73978089973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7597.73978089973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110884.26</v>
      </c>
      <c r="F1143" s="26" t="n">
        <f aca="false">IFERROR(D1143*E1143,0)</f>
        <v>8265.28360916975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8265.28360916975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110884.26</v>
      </c>
      <c r="F1144" s="26" t="n">
        <f aca="false">IFERROR(D1144*E1144,0)</f>
        <v>2100.48542425318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2100.48542425318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110884.26</v>
      </c>
      <c r="F1145" s="26" t="n">
        <f aca="false">IFERROR(D1145*E1145,0)</f>
        <v>3712.26353025308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3712.26353025308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110884.26</v>
      </c>
      <c r="F1146" s="26" t="n">
        <f aca="false">IFERROR(D1146*E1146,0)</f>
        <v>2693.23285053507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2693.23285053507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110884.26</v>
      </c>
      <c r="F1147" s="26" t="n">
        <f aca="false">IFERROR(D1147*E1147,0)</f>
        <v>2697.16950327129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2697.16950327129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110884.26</v>
      </c>
      <c r="F1148" s="26" t="n">
        <f aca="false">IFERROR(D1148*E1148,0)</f>
        <v>80079.9523390982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80079.9523390982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15660.47</v>
      </c>
      <c r="F1149" s="26" t="n">
        <f aca="false">IFERROR(D1149*E1149,0)</f>
        <v>527.946158594107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527.946158594107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15660.47</v>
      </c>
      <c r="F1150" s="26" t="n">
        <f aca="false">IFERROR(D1150*E1150,0)</f>
        <v>1073.04838312116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1073.04838312116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15660.47</v>
      </c>
      <c r="F1151" s="26" t="n">
        <f aca="false">IFERROR(D1151*E1151,0)</f>
        <v>1167.32731952123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1167.32731952123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15660.47</v>
      </c>
      <c r="F1152" s="26" t="n">
        <f aca="false">IFERROR(D1152*E1152,0)</f>
        <v>296.656973423949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296.656973423949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15660.47</v>
      </c>
      <c r="F1153" s="26" t="n">
        <f aca="false">IFERROR(D1153*E1153,0)</f>
        <v>524.292551960238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524.292551960238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15660.47</v>
      </c>
      <c r="F1154" s="26" t="n">
        <f aca="false">IFERROR(D1154*E1154,0)</f>
        <v>380.372221078257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380.372221078257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15660.47</v>
      </c>
      <c r="F1155" s="26" t="n">
        <f aca="false">IFERROR(D1155*E1155,0)</f>
        <v>380.928204696455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380.928204696455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15660.47</v>
      </c>
      <c r="F1156" s="26" t="n">
        <f aca="false">IFERROR(D1156*E1156,0)</f>
        <v>11309.8981876046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11309.8981876046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190414.42</v>
      </c>
      <c r="F1157" s="26" t="n">
        <f aca="false">IFERROR(D1157*E1157,0)</f>
        <v>6419.25571709692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6419.25571709692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190414.42</v>
      </c>
      <c r="F1158" s="26" t="n">
        <f aca="false">IFERROR(D1158*E1158,0)</f>
        <v>13047.1106872242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13047.1106872242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190414.42</v>
      </c>
      <c r="F1159" s="26" t="n">
        <f aca="false">IFERROR(D1159*E1159,0)</f>
        <v>14193.4408416088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14193.4408416088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190414.42</v>
      </c>
      <c r="F1160" s="26" t="n">
        <f aca="false">IFERROR(D1160*E1160,0)</f>
        <v>3607.02875031699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3607.02875031699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190414.42</v>
      </c>
      <c r="F1161" s="26" t="n">
        <f aca="false">IFERROR(D1161*E1161,0)</f>
        <v>6374.83180209971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6374.83180209971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190414.42</v>
      </c>
      <c r="F1162" s="26" t="n">
        <f aca="false">IFERROR(D1162*E1162,0)</f>
        <v>4624.91584612264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4624.91584612264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190414.42</v>
      </c>
      <c r="F1163" s="26" t="n">
        <f aca="false">IFERROR(D1163*E1163,0)</f>
        <v>4631.67600710047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4631.67600710047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190414.42</v>
      </c>
      <c r="F1164" s="26" t="n">
        <f aca="false">IFERROR(D1164*E1164,0)</f>
        <v>137516.16034843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137516.16034843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64644.56</v>
      </c>
      <c r="F1165" s="26" t="n">
        <f aca="false">IFERROR(D1165*E1165,0)</f>
        <v>2179.29903291576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2179.29903291576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64644.56</v>
      </c>
      <c r="F1166" s="26" t="n">
        <f aca="false">IFERROR(D1166*E1166,0)</f>
        <v>4429.41626819496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4429.41626819496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64644.56</v>
      </c>
      <c r="F1167" s="26" t="n">
        <f aca="false">IFERROR(D1167*E1167,0)</f>
        <v>4818.58851914591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4818.58851914591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64644.56</v>
      </c>
      <c r="F1168" s="26" t="n">
        <f aca="false">IFERROR(D1168*E1168,0)</f>
        <v>1224.5647492012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1224.5647492012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64644.56</v>
      </c>
      <c r="F1169" s="26" t="n">
        <f aca="false">IFERROR(D1169*E1169,0)</f>
        <v>2164.21737870873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2164.21737870873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64644.56</v>
      </c>
      <c r="F1170" s="26" t="n">
        <f aca="false">IFERROR(D1170*E1170,0)</f>
        <v>1570.13134777096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1570.13134777096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64644.56</v>
      </c>
      <c r="F1171" s="26" t="n">
        <f aca="false">IFERROR(D1171*E1171,0)</f>
        <v>1572.42638210681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1572.42638210681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64644.56</v>
      </c>
      <c r="F1172" s="26" t="n">
        <f aca="false">IFERROR(D1172*E1172,0)</f>
        <v>46685.9163219557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46685.9163219557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43587.29</v>
      </c>
      <c r="F1173" s="26" t="n">
        <f aca="false">IFERROR(D1173*E1173,0)</f>
        <v>1469.41581695998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1469.41581695998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43587.29</v>
      </c>
      <c r="F1174" s="26" t="n">
        <f aca="false">IFERROR(D1174*E1174,0)</f>
        <v>2986.58156869706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2986.58156869706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43587.29</v>
      </c>
      <c r="F1175" s="26" t="n">
        <f aca="false">IFERROR(D1175*E1175,0)</f>
        <v>3248.98514545823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3248.98514545823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43587.29</v>
      </c>
      <c r="F1176" s="26" t="n">
        <f aca="false">IFERROR(D1176*E1176,0)</f>
        <v>825.675955520617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825.675955520617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43587.29</v>
      </c>
      <c r="F1177" s="26" t="n">
        <f aca="false">IFERROR(D1177*E1177,0)</f>
        <v>1459.24684936857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1459.24684936857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43587.29</v>
      </c>
      <c r="F1178" s="26" t="n">
        <f aca="false">IFERROR(D1178*E1178,0)</f>
        <v>1058.67795207182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1058.67795207182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43587.29</v>
      </c>
      <c r="F1179" s="26" t="n">
        <f aca="false">IFERROR(D1179*E1179,0)</f>
        <v>1060.22540366181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1060.22540366181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43587.29</v>
      </c>
      <c r="F1180" s="26" t="n">
        <f aca="false">IFERROR(D1180*E1180,0)</f>
        <v>31478.4813082619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31478.4813082619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35882.67</v>
      </c>
      <c r="F1181" s="26" t="n">
        <f aca="false">IFERROR(D1181*E1181,0)</f>
        <v>1209.6774737029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1209.6774737029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35882.67</v>
      </c>
      <c r="F1182" s="26" t="n">
        <f aca="false">IFERROR(D1182*E1182,0)</f>
        <v>2458.66446061774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2458.66446061774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35882.67</v>
      </c>
      <c r="F1183" s="26" t="n">
        <f aca="false">IFERROR(D1183*E1183,0)</f>
        <v>2674.68479479637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2674.68479479637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35882.67</v>
      </c>
      <c r="F1184" s="26" t="n">
        <f aca="false">IFERROR(D1184*E1184,0)</f>
        <v>679.726999289953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679.726999289953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35882.67</v>
      </c>
      <c r="F1185" s="26" t="n">
        <f aca="false">IFERROR(D1185*E1185,0)</f>
        <v>1201.30600329665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1201.30600329665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35882.67</v>
      </c>
      <c r="F1186" s="26" t="n">
        <f aca="false">IFERROR(D1186*E1186,0)</f>
        <v>871.542864685297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871.542864685297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35882.67</v>
      </c>
      <c r="F1187" s="26" t="n">
        <f aca="false">IFERROR(D1187*E1187,0)</f>
        <v>872.816784094943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872.816784094943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35882.67</v>
      </c>
      <c r="F1188" s="26" t="n">
        <f aca="false">IFERROR(D1188*E1188,0)</f>
        <v>25914.2506195162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25914.2506195162</v>
      </c>
      <c r="J1188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89</v>
      </c>
      <c r="B1" s="2"/>
      <c r="C1" s="2"/>
      <c r="D1" s="2"/>
      <c r="E1" s="2"/>
    </row>
    <row r="2" customFormat="false" ht="15" hidden="false" customHeight="true" outlineLevel="0" collapsed="false">
      <c r="A2" s="5" t="s">
        <v>90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96</v>
      </c>
      <c r="C6" s="29" t="s">
        <v>97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98</v>
      </c>
      <c r="C7" s="29" t="s">
        <v>99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IFERROR(D7/IF(B7="Clientes",SUMIFS(PARÂMETROS!$B$8:$B$907,PARÂMETROS!$G$8:$G$907,F7),SUMIFS(PARÂMETROS!$C$8:$C$907,PARÂMETROS!$G$8:$G$907,F7)),0)</f>
        <v>28.3282883608737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98</v>
      </c>
      <c r="C8" s="29" t="s">
        <v>100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96</v>
      </c>
      <c r="C9" s="29" t="s">
        <v>101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IFERROR(D9/IF(B9="Clientes",SUMIFS(PARÂMETROS!$B$8:$B$907,PARÂMETROS!$G$8:$G$907,F9),SUMIFS(PARÂMETROS!$C$8:$C$907,PARÂMETROS!$G$8:$G$907,F9)),0)</f>
        <v>0.105568736012168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96</v>
      </c>
      <c r="C10" s="29" t="s">
        <v>102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96</v>
      </c>
      <c r="C11" s="29" t="s">
        <v>103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96</v>
      </c>
      <c r="C12" s="29" t="s">
        <v>104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96</v>
      </c>
      <c r="C13" s="29" t="s">
        <v>105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96</v>
      </c>
      <c r="C14" s="29" t="s">
        <v>106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96</v>
      </c>
      <c r="C15" s="29" t="s">
        <v>107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96</v>
      </c>
      <c r="C16" s="29" t="s">
        <v>108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IFERROR(D16/IF(B16="Clientes",SUMIFS(PARÂMETROS!$B$8:$B$907,PARÂMETROS!$G$8:$G$907,F16),SUMIFS(PARÂMETROS!$C$8:$C$907,PARÂMETROS!$G$8:$G$907,F16)),0)</f>
        <v>0.0950854396452147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96</v>
      </c>
      <c r="C17" s="29" t="s">
        <v>109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IFERROR(D17/IF(B17="Clientes",SUMIFS(PARÂMETROS!$B$8:$B$907,PARÂMETROS!$G$8:$G$907,F17),SUMIFS(PARÂMETROS!$C$8:$C$907,PARÂMETROS!$G$8:$G$907,F17)),0)</f>
        <v>0.145293801710045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96</v>
      </c>
      <c r="C18" s="29" t="s">
        <v>110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IFERROR(D18/IF(B18="Clientes",SUMIFS(PARÂMETROS!$B$8:$B$907,PARÂMETROS!$G$8:$G$907,F18),SUMIFS(PARÂMETROS!$C$8:$C$907,PARÂMETROS!$G$8:$G$907,F18)),0)</f>
        <v>0.114933189774574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98</v>
      </c>
      <c r="C19" s="29" t="s">
        <v>111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IFERROR(D19/IF(B19="Clientes",SUMIFS(PARÂMETROS!$B$8:$B$907,PARÂMETROS!$G$8:$G$907,F19),SUMIFS(PARÂMETROS!$C$8:$C$907,PARÂMETROS!$G$8:$G$907,F19)),0)</f>
        <v>49.6814849002849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96</v>
      </c>
      <c r="C20" s="29" t="s">
        <v>112</v>
      </c>
      <c r="D20" s="21" t="n">
        <f aca="false">SUMIFS('CUSTOS MENSAIS'!$F:$F,'CUSTOS MENSAIS'!$A:$A,A20,'CUSTOS MENSAIS'!$H:$H,F20)</f>
        <v>72365.3092</v>
      </c>
      <c r="E20" s="21" t="n">
        <f aca="false">IFERROR(D20/IF(B20="Clientes",SUMIFS(PARÂMETROS!$B$8:$B$907,PARÂMETROS!$G$8:$G$907,F20),SUMIFS(PARÂMETROS!$C$8:$C$907,PARÂMETROS!$G$8:$G$907,F20)),0)</f>
        <v>0.378228421498273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96</v>
      </c>
      <c r="C21" s="29" t="s">
        <v>113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96</v>
      </c>
      <c r="C22" s="29" t="s">
        <v>114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96</v>
      </c>
      <c r="C23" s="29" t="s">
        <v>115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IFERROR(D23/IF(B23="Clientes",SUMIFS(PARÂMETROS!$B$8:$B$907,PARÂMETROS!$G$8:$G$907,F23),SUMIFS(PARÂMETROS!$C$8:$C$907,PARÂMETROS!$G$8:$G$907,F23)),0)</f>
        <v>0.626366628803044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96</v>
      </c>
      <c r="C24" s="29" t="s">
        <v>116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IFERROR(D24/IF(B24="Clientes",SUMIFS(PARÂMETROS!$B$8:$B$907,PARÂMETROS!$G$8:$G$907,F24),SUMIFS(PARÂMETROS!$C$8:$C$907,PARÂMETROS!$G$8:$G$907,F24)),0)</f>
        <v>0.155138279547581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96</v>
      </c>
      <c r="C25" s="29" t="s">
        <v>117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IFERROR(D25/IF(B25="Clientes",SUMIFS(PARÂMETROS!$B$8:$B$907,PARÂMETROS!$G$8:$G$907,F25),SUMIFS(PARÂMETROS!$C$8:$C$907,PARÂMETROS!$G$8:$G$907,F25)),0)</f>
        <v>0.305046267385157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96</v>
      </c>
      <c r="C26" s="29" t="s">
        <v>118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96</v>
      </c>
      <c r="C27" s="29" t="s">
        <v>119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96</v>
      </c>
      <c r="C28" s="29" t="s">
        <v>120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IFERROR(D28/IF(B28="Clientes",SUMIFS(PARÂMETROS!$B$8:$B$907,PARÂMETROS!$G$8:$G$907,F28),SUMIFS(PARÂMETROS!$C$8:$C$907,PARÂMETROS!$G$8:$G$907,F28)),0)</f>
        <v>0.608591120437785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96</v>
      </c>
      <c r="C29" s="29" t="s">
        <v>121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IFERROR(D29/IF(B29="Clientes",SUMIFS(PARÂMETROS!$B$8:$B$907,PARÂMETROS!$G$8:$G$907,F29),SUMIFS(PARÂMETROS!$C$8:$C$907,PARÂMETROS!$G$8:$G$907,F29)),0)</f>
        <v>0.601612108118562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98</v>
      </c>
      <c r="C30" s="29" t="s">
        <v>122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96</v>
      </c>
      <c r="C31" s="29" t="s">
        <v>123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96</v>
      </c>
      <c r="C32" s="29" t="s">
        <v>124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IFERROR(D32/IF(B32="Clientes",SUMIFS(PARÂMETROS!$B$8:$B$907,PARÂMETROS!$G$8:$G$907,F32),SUMIFS(PARÂMETROS!$C$8:$C$907,PARÂMETROS!$G$8:$G$907,F32)),0)</f>
        <v>0.0660206348293759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96</v>
      </c>
      <c r="C33" s="29" t="s">
        <v>125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7" t="s">
        <v>87</v>
      </c>
      <c r="B34" s="28" t="s">
        <v>96</v>
      </c>
      <c r="C34" s="29" t="s">
        <v>126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96</v>
      </c>
      <c r="C35" s="29" t="s">
        <v>127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IFERROR(D35/IF(B35="Clientes",SUMIFS(PARÂMETROS!$B$8:$B$907,PARÂMETROS!$G$8:$G$907,F35),SUMIFS(PARÂMETROS!$C$8:$C$907,PARÂMETROS!$G$8:$G$907,F35)),0)</f>
        <v>0.4347261411092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96</v>
      </c>
      <c r="C36" s="29" t="s">
        <v>128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96</v>
      </c>
      <c r="C37" s="29" t="s">
        <v>129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IFERROR(D37/IF(B37="Clientes",SUMIFS(PARÂMETROS!$B$8:$B$907,PARÂMETROS!$G$8:$G$907,F37),SUMIFS(PARÂMETROS!$C$8:$C$907,PARÂMETROS!$G$8:$G$907,F37)),0)</f>
        <v>0.763226883816712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96</v>
      </c>
      <c r="C38" s="29" t="s">
        <v>130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IFERROR(D38/IF(B38="Clientes",SUMIFS(PARÂMETROS!$B$8:$B$907,PARÂMETROS!$G$8:$G$907,F38),SUMIFS(PARÂMETROS!$C$8:$C$907,PARÂMETROS!$G$8:$G$907,F38)),0)</f>
        <v>0.385789616729474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96</v>
      </c>
      <c r="C39" s="29" t="s">
        <v>131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98</v>
      </c>
      <c r="C40" s="29" t="s">
        <v>132</v>
      </c>
      <c r="D40" s="21" t="n">
        <f aca="false">SUMIFS('CUSTOS MENSAIS'!$F:$F,'CUSTOS MENSAIS'!$A:$A,A40,'CUSTOS MENSAIS'!$H:$H,F40)</f>
        <v>28257.9892</v>
      </c>
      <c r="E40" s="21" t="n">
        <f aca="false">IFERROR(D40/G40,0)</f>
        <v>33.2446931764706</v>
      </c>
      <c r="F40" s="11" t="s">
        <v>20</v>
      </c>
      <c r="G40" s="31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7" t="s">
        <v>133</v>
      </c>
      <c r="B41" s="32"/>
      <c r="C41" s="33"/>
      <c r="D41" s="34" t="n">
        <f aca="false">SUM(D5:D40)+D114+D117+D120+D123</f>
        <v>2151632.52007533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96</v>
      </c>
      <c r="C42" s="29" t="s">
        <v>97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IFERROR(D42/IF(B42="Clientes",SUMIFS(PARÂMETROS!$B$8:$B$907,PARÂMETROS!$G$8:$G$907,F42),SUMIFS(PARÂMETROS!$C$8:$C$907,PARÂMETROS!$G$8:$G$907,F42)),0)</f>
        <v>0.358975437146831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98</v>
      </c>
      <c r="C43" s="29" t="s">
        <v>99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IFERROR(D43/IF(B43="Clientes",SUMIFS(PARÂMETROS!$B$8:$B$907,PARÂMETROS!$G$8:$G$907,F43),SUMIFS(PARÂMETROS!$C$8:$C$907,PARÂMETROS!$G$8:$G$907,F43)),0)</f>
        <v>34.364036564347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98</v>
      </c>
      <c r="C44" s="29" t="s">
        <v>100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IFERROR(D44/IF(B44="Clientes",SUMIFS(PARÂMETROS!$B$8:$B$907,PARÂMETROS!$G$8:$G$907,F44),SUMIFS(PARÂMETROS!$C$8:$C$907,PARÂMETROS!$G$8:$G$907,F44)),0)</f>
        <v>52.064704957102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96</v>
      </c>
      <c r="C45" s="29" t="s">
        <v>101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IFERROR(D45/IF(B45="Clientes",SUMIFS(PARÂMETROS!$B$8:$B$907,PARÂMETROS!$G$8:$G$907,F45),SUMIFS(PARÂMETROS!$C$8:$C$907,PARÂMETROS!$G$8:$G$907,F45)),0)</f>
        <v>0.121785195875654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96</v>
      </c>
      <c r="C46" s="29" t="s">
        <v>102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IFERROR(D46/IF(B46="Clientes",SUMIFS(PARÂMETROS!$B$8:$B$907,PARÂMETROS!$G$8:$G$907,F46),SUMIFS(PARÂMETROS!$C$8:$C$907,PARÂMETROS!$G$8:$G$907,F46)),0)</f>
        <v>0.0861250796795369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96</v>
      </c>
      <c r="C47" s="29" t="s">
        <v>103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IFERROR(D47/IF(B47="Clientes",SUMIFS(PARÂMETROS!$B$8:$B$907,PARÂMETROS!$G$8:$G$907,F47),SUMIFS(PARÂMETROS!$C$8:$C$907,PARÂMETROS!$G$8:$G$907,F47)),0)</f>
        <v>0.362500195028818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96</v>
      </c>
      <c r="C48" s="29" t="s">
        <v>104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IFERROR(D48/IF(B48="Clientes",SUMIFS(PARÂMETROS!$B$8:$B$907,PARÂMETROS!$G$8:$G$907,F48),SUMIFS(PARÂMETROS!$C$8:$C$907,PARÂMETROS!$G$8:$G$907,F48)),0)</f>
        <v>0.889338668086613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96</v>
      </c>
      <c r="C49" s="29" t="s">
        <v>105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IFERROR(D49/IF(B49="Clientes",SUMIFS(PARÂMETROS!$B$8:$B$907,PARÂMETROS!$G$8:$G$907,F49),SUMIFS(PARÂMETROS!$C$8:$C$907,PARÂMETROS!$G$8:$G$907,F49)),0)</f>
        <v>0.219040643240968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96</v>
      </c>
      <c r="C50" s="29" t="s">
        <v>106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IFERROR(D50/IF(B50="Clientes",SUMIFS(PARÂMETROS!$B$8:$B$907,PARÂMETROS!$G$8:$G$907,F50),SUMIFS(PARÂMETROS!$C$8:$C$907,PARÂMETROS!$G$8:$G$907,F50)),0)</f>
        <v>0.261868009402442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96</v>
      </c>
      <c r="C51" s="29" t="s">
        <v>107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IFERROR(D51/IF(B51="Clientes",SUMIFS(PARÂMETROS!$B$8:$B$907,PARÂMETROS!$G$8:$G$907,F51),SUMIFS(PARÂMETROS!$C$8:$C$907,PARÂMETROS!$G$8:$G$907,F51)),0)</f>
        <v>0.193641774947009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96</v>
      </c>
      <c r="C52" s="29" t="s">
        <v>108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IFERROR(D52/IF(B52="Clientes",SUMIFS(PARÂMETROS!$B$8:$B$907,PARÂMETROS!$G$8:$G$907,F52),SUMIFS(PARÂMETROS!$C$8:$C$907,PARÂMETROS!$G$8:$G$907,F52)),0)</f>
        <v>0.0926479707456773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96</v>
      </c>
      <c r="C53" s="29" t="s">
        <v>109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IFERROR(D53/IF(B53="Clientes",SUMIFS(PARÂMETROS!$B$8:$B$907,PARÂMETROS!$G$8:$G$907,F53),SUMIFS(PARÂMETROS!$C$8:$C$907,PARÂMETROS!$G$8:$G$907,F53)),0)</f>
        <v>0.146782423739836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96</v>
      </c>
      <c r="C54" s="29" t="s">
        <v>110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IFERROR(D54/IF(B54="Clientes",SUMIFS(PARÂMETROS!$B$8:$B$907,PARÂMETROS!$G$8:$G$907,F54),SUMIFS(PARÂMETROS!$C$8:$C$907,PARÂMETROS!$G$8:$G$907,F54)),0)</f>
        <v>0.122716188931601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98</v>
      </c>
      <c r="C55" s="29" t="s">
        <v>111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IFERROR(D55/IF(B55="Clientes",SUMIFS(PARÂMETROS!$B$8:$B$907,PARÂMETROS!$G$8:$G$907,F55),SUMIFS(PARÂMETROS!$C$8:$C$907,PARÂMETROS!$G$8:$G$907,F55)),0)</f>
        <v>48.1177222116301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96</v>
      </c>
      <c r="C56" s="29" t="s">
        <v>112</v>
      </c>
      <c r="D56" s="21" t="n">
        <f aca="false">SUMIFS('CUSTOS MENSAIS'!$F:$F,'CUSTOS MENSAIS'!$A:$A,A56,'CUSTOS MENSAIS'!$H:$H,F56)</f>
        <v>73463.7007</v>
      </c>
      <c r="E56" s="21" t="n">
        <f aca="false">IFERROR(D56/IF(B56="Clientes",SUMIFS(PARÂMETROS!$B$8:$B$907,PARÂMETROS!$G$8:$G$907,F56),SUMIFS(PARÂMETROS!$C$8:$C$907,PARÂMETROS!$G$8:$G$907,F56)),0)</f>
        <v>0.377040492601736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96</v>
      </c>
      <c r="C57" s="29" t="s">
        <v>113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IFERROR(D57/IF(B57="Clientes",SUMIFS(PARÂMETROS!$B$8:$B$907,PARÂMETROS!$G$8:$G$907,F57),SUMIFS(PARÂMETROS!$C$8:$C$907,PARÂMETROS!$G$8:$G$907,F57)),0)</f>
        <v>0.9487933874966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7" t="s">
        <v>47</v>
      </c>
      <c r="B58" s="28" t="s">
        <v>96</v>
      </c>
      <c r="C58" s="29" t="s">
        <v>114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IFERROR(D58/IF(B58="Clientes",SUMIFS(PARÂMETROS!$B$8:$B$907,PARÂMETROS!$G$8:$G$907,F58),SUMIFS(PARÂMETROS!$C$8:$C$907,PARÂMETROS!$G$8:$G$907,F58)),0)</f>
        <v>0.655237242292513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96</v>
      </c>
      <c r="C59" s="29" t="s">
        <v>115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IFERROR(D59/IF(B59="Clientes",SUMIFS(PARÂMETROS!$B$8:$B$907,PARÂMETROS!$G$8:$G$907,F59),SUMIFS(PARÂMETROS!$C$8:$C$907,PARÂMETROS!$G$8:$G$907,F59)),0)</f>
        <v>0.682766929050569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96</v>
      </c>
      <c r="C60" s="29" t="s">
        <v>116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IFERROR(D60/IF(B60="Clientes",SUMIFS(PARÂMETROS!$B$8:$B$907,PARÂMETROS!$G$8:$G$907,F60),SUMIFS(PARÂMETROS!$C$8:$C$907,PARÂMETROS!$G$8:$G$907,F60)),0)</f>
        <v>0.170637154237001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96</v>
      </c>
      <c r="C61" s="29" t="s">
        <v>117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IFERROR(D61/IF(B61="Clientes",SUMIFS(PARÂMETROS!$B$8:$B$907,PARÂMETROS!$G$8:$G$907,F61),SUMIFS(PARÂMETROS!$C$8:$C$907,PARÂMETROS!$G$8:$G$907,F61)),0)</f>
        <v>0.340289469983525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96</v>
      </c>
      <c r="C62" s="29" t="s">
        <v>118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IFERROR(D62/IF(B62="Clientes",SUMIFS(PARÂMETROS!$B$8:$B$907,PARÂMETROS!$G$8:$G$907,F62),SUMIFS(PARÂMETROS!$C$8:$C$907,PARÂMETROS!$G$8:$G$907,F62)),0)</f>
        <v>0.79749623090614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96</v>
      </c>
      <c r="C63" s="29" t="s">
        <v>119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IFERROR(D63/IF(B63="Clientes",SUMIFS(PARÂMETROS!$B$8:$B$907,PARÂMETROS!$G$8:$G$907,F63),SUMIFS(PARÂMETROS!$C$8:$C$907,PARÂMETROS!$G$8:$G$907,F63)),0)</f>
        <v>0.180603426584481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96</v>
      </c>
      <c r="C64" s="29" t="s">
        <v>120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IFERROR(D64/IF(B64="Clientes",SUMIFS(PARÂMETROS!$B$8:$B$907,PARÂMETROS!$G$8:$G$907,F64),SUMIFS(PARÂMETROS!$C$8:$C$907,PARÂMETROS!$G$8:$G$907,F64)),0)</f>
        <v>0.651569129432415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134</v>
      </c>
      <c r="C65" s="29" t="s">
        <v>121</v>
      </c>
      <c r="D65" s="21" t="n">
        <f aca="false">SUMIFS('CUSTOS MENSAIS'!$F:$F,'CUSTOS MENSAIS'!$A:$A,A65,'CUSTOS MENSAIS'!$H:$H,F65)</f>
        <v>143614.95804</v>
      </c>
      <c r="E65" s="21" t="n">
        <f aca="false">IFERROR(D65/G65,0)</f>
        <v>997.3260975</v>
      </c>
      <c r="F65" s="11" t="s">
        <v>11</v>
      </c>
      <c r="G65" s="31" t="n">
        <v>144</v>
      </c>
    </row>
    <row r="66" customFormat="false" ht="15" hidden="false" customHeight="true" outlineLevel="0" collapsed="false">
      <c r="A66" s="27" t="s">
        <v>55</v>
      </c>
      <c r="B66" s="28" t="s">
        <v>98</v>
      </c>
      <c r="C66" s="29" t="s">
        <v>122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96</v>
      </c>
      <c r="C67" s="29" t="s">
        <v>123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IFERROR(D67/IF(B67="Clientes",SUMIFS(PARÂMETROS!$B$8:$B$907,PARÂMETROS!$G$8:$G$907,F67),SUMIFS(PARÂMETROS!$C$8:$C$907,PARÂMETROS!$G$8:$G$907,F67)),0)</f>
        <v>0.179592651067783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96</v>
      </c>
      <c r="C68" s="29" t="s">
        <v>124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IFERROR(D68/IF(B68="Clientes",SUMIFS(PARÂMETROS!$B$8:$B$907,PARÂMETROS!$G$8:$G$907,F68),SUMIFS(PARÂMETROS!$C$8:$C$907,PARÂMETROS!$G$8:$G$907,F68)),0)</f>
        <v>0.0797915757815267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96</v>
      </c>
      <c r="C69" s="29" t="s">
        <v>125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IFERROR(D69/IF(B69="Clientes",SUMIFS(PARÂMETROS!$B$8:$B$907,PARÂMETROS!$G$8:$G$907,F69),SUMIFS(PARÂMETROS!$C$8:$C$907,PARÂMETROS!$G$8:$G$907,F69)),0)</f>
        <v>0.293099708996474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96</v>
      </c>
      <c r="C70" s="29" t="s">
        <v>126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IFERROR(D70/IF(B70="Clientes",SUMIFS(PARÂMETROS!$B$8:$B$907,PARÂMETROS!$G$8:$G$907,F70),SUMIFS(PARÂMETROS!$C$8:$C$907,PARÂMETROS!$G$8:$G$907,F70)),0)</f>
        <v>0.165505113968682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96</v>
      </c>
      <c r="C71" s="29" t="s">
        <v>127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IFERROR(D71/IF(B71="Clientes",SUMIFS(PARÂMETROS!$B$8:$B$907,PARÂMETROS!$G$8:$G$907,F71),SUMIFS(PARÂMETROS!$C$8:$C$907,PARÂMETROS!$G$8:$G$907,F71)),0)</f>
        <v>0.486320943015659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7" t="s">
        <v>81</v>
      </c>
      <c r="B72" s="28" t="s">
        <v>96</v>
      </c>
      <c r="C72" s="29" t="s">
        <v>128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IFERROR(D72/IF(B72="Clientes",SUMIFS(PARÂMETROS!$B$8:$B$907,PARÂMETROS!$G$8:$G$907,F72),SUMIFS(PARÂMETROS!$C$8:$C$907,PARÂMETROS!$G$8:$G$907,F72)),0)</f>
        <v>0.0686566760314715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7" t="s">
        <v>84</v>
      </c>
      <c r="B73" s="28" t="s">
        <v>96</v>
      </c>
      <c r="C73" s="29" t="s">
        <v>129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IFERROR(D73/IF(B73="Clientes",SUMIFS(PARÂMETROS!$B$8:$B$907,PARÂMETROS!$G$8:$G$907,F73),SUMIFS(PARÂMETROS!$C$8:$C$907,PARÂMETROS!$G$8:$G$907,F73)),0)</f>
        <v>0.835122534553461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96</v>
      </c>
      <c r="C74" s="29" t="s">
        <v>130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IFERROR(D74/IF(B74="Clientes",SUMIFS(PARÂMETROS!$B$8:$B$907,PARÂMETROS!$G$8:$G$907,F74),SUMIFS(PARÂMETROS!$C$8:$C$907,PARÂMETROS!$G$8:$G$907,F74)),0)</f>
        <v>0.547023654942697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96</v>
      </c>
      <c r="C75" s="29" t="s">
        <v>131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IFERROR(D75/IF(B75="Clientes",SUMIFS(PARÂMETROS!$B$8:$B$907,PARÂMETROS!$G$8:$G$907,F75),SUMIFS(PARÂMETROS!$C$8:$C$907,PARÂMETROS!$G$8:$G$907,F75)),0)</f>
        <v>0.150676625241861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98</v>
      </c>
      <c r="C76" s="29" t="s">
        <v>132</v>
      </c>
      <c r="D76" s="21" t="n">
        <f aca="false">SUMIFS('CUSTOS MENSAIS'!$F:$F,'CUSTOS MENSAIS'!$A:$A,A76,'CUSTOS MENSAIS'!$H:$H,F76)</f>
        <v>45940.5807</v>
      </c>
      <c r="E76" s="21" t="n">
        <f aca="false">IFERROR(D76/G76,0)</f>
        <v>53.857656154748</v>
      </c>
      <c r="F76" s="11" t="s">
        <v>11</v>
      </c>
      <c r="G76" s="31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7" t="s">
        <v>135</v>
      </c>
      <c r="B77" s="32"/>
      <c r="C77" s="33"/>
      <c r="D77" s="34" t="n">
        <f aca="false">SUM(D42:D76)+D115+D118+D121+D124</f>
        <v>2491377.98134119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96</v>
      </c>
      <c r="C78" s="29" t="s">
        <v>97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98</v>
      </c>
      <c r="C79" s="29" t="s">
        <v>99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98</v>
      </c>
      <c r="C80" s="29" t="s">
        <v>100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96</v>
      </c>
      <c r="C81" s="29" t="s">
        <v>101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IFERROR(D81/IF(B81="Clientes",SUMIFS(PARÂMETROS!$B$8:$B$907,PARÂMETROS!$G$8:$G$907,F81),SUMIFS(PARÂMETROS!$C$8:$C$907,PARÂMETROS!$G$8:$G$907,F81)),0)</f>
        <v>0.135504839680184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96</v>
      </c>
      <c r="C82" s="29" t="s">
        <v>102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96</v>
      </c>
      <c r="C83" s="29" t="s">
        <v>103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7" t="s">
        <v>37</v>
      </c>
      <c r="B84" s="28" t="s">
        <v>96</v>
      </c>
      <c r="C84" s="29" t="s">
        <v>104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96</v>
      </c>
      <c r="C85" s="29" t="s">
        <v>105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96</v>
      </c>
      <c r="C86" s="29" t="s">
        <v>106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96</v>
      </c>
      <c r="C87" s="29" t="s">
        <v>107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96</v>
      </c>
      <c r="C88" s="29" t="s">
        <v>108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96</v>
      </c>
      <c r="C89" s="29" t="s">
        <v>109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96</v>
      </c>
      <c r="C90" s="29" t="s">
        <v>110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IFERROR(D90/IF(B90="Clientes",SUMIFS(PARÂMETROS!$B$8:$B$907,PARÂMETROS!$G$8:$G$907,F90),SUMIFS(PARÂMETROS!$C$8:$C$907,PARÂMETROS!$G$8:$G$907,F90)),0)</f>
        <v>0.138633956355371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98</v>
      </c>
      <c r="C91" s="29" t="s">
        <v>111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IFERROR(D91/IF(B91="Clientes",SUMIFS(PARÂMETROS!$B$8:$B$907,PARÂMETROS!$G$8:$G$907,F91),SUMIFS(PARÂMETROS!$C$8:$C$907,PARÂMETROS!$G$8:$G$907,F91)),0)</f>
        <v>60.0816569724771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96</v>
      </c>
      <c r="C92" s="29" t="s">
        <v>112</v>
      </c>
      <c r="D92" s="21" t="n">
        <f aca="false">SUMIFS('CUSTOS MENSAIS'!$F:$F,'CUSTOS MENSAIS'!$A:$A,A92,'CUSTOS MENSAIS'!$H:$H,F92)</f>
        <v>89561.189</v>
      </c>
      <c r="E92" s="21" t="n">
        <f aca="false">IFERROR(D92/IF(B92="Clientes",SUMIFS(PARÂMETROS!$B$8:$B$907,PARÂMETROS!$G$8:$G$907,F92),SUMIFS(PARÂMETROS!$C$8:$C$907,PARÂMETROS!$G$8:$G$907,F92)),0)</f>
        <v>0.444492255237207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96</v>
      </c>
      <c r="C93" s="29" t="s">
        <v>113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96</v>
      </c>
      <c r="C94" s="29" t="s">
        <v>114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96</v>
      </c>
      <c r="C95" s="29" t="s">
        <v>115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IFERROR(D95/IF(B95="Clientes",SUMIFS(PARÂMETROS!$B$8:$B$907,PARÂMETROS!$G$8:$G$907,F95),SUMIFS(PARÂMETROS!$C$8:$C$907,PARÂMETROS!$G$8:$G$907,F95)),0)</f>
        <v>0.713317605064246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96</v>
      </c>
      <c r="C96" s="29" t="s">
        <v>116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96</v>
      </c>
      <c r="C97" s="29" t="s">
        <v>117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IFERROR(D97/IF(B97="Clientes",SUMIFS(PARÂMETROS!$B$8:$B$907,PARÂMETROS!$G$8:$G$907,F97),SUMIFS(PARÂMETROS!$C$8:$C$907,PARÂMETROS!$G$8:$G$907,F97)),0)</f>
        <v>0.581586901648213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96</v>
      </c>
      <c r="C98" s="29" t="s">
        <v>118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96</v>
      </c>
      <c r="C99" s="29" t="s">
        <v>119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96</v>
      </c>
      <c r="C100" s="29" t="s">
        <v>120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134</v>
      </c>
      <c r="C101" s="29" t="s">
        <v>121</v>
      </c>
      <c r="D101" s="21" t="n">
        <f aca="false">SUMIFS('CUSTOS MENSAIS'!$F:$F,'CUSTOS MENSAIS'!$A:$A,A101,'CUSTOS MENSAIS'!$H:$H,F101)</f>
        <v>125647.894012</v>
      </c>
      <c r="E101" s="21" t="n">
        <f aca="false">IFERROR(D101/G101,0)</f>
        <v>1697.94451367568</v>
      </c>
      <c r="F101" s="11" t="s">
        <v>21</v>
      </c>
      <c r="G101" s="31" t="n">
        <v>74</v>
      </c>
    </row>
    <row r="102" customFormat="false" ht="14.25" hidden="false" customHeight="true" outlineLevel="0" collapsed="false">
      <c r="A102" s="27" t="s">
        <v>55</v>
      </c>
      <c r="B102" s="28" t="s">
        <v>98</v>
      </c>
      <c r="C102" s="29" t="s">
        <v>122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96</v>
      </c>
      <c r="C103" s="29" t="s">
        <v>123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96</v>
      </c>
      <c r="C104" s="29" t="s">
        <v>124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96</v>
      </c>
      <c r="C105" s="29" t="s">
        <v>125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96</v>
      </c>
      <c r="C106" s="29" t="s">
        <v>126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96</v>
      </c>
      <c r="C107" s="29" t="s">
        <v>127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IFERROR(D107/IF(B107="Clientes",SUMIFS(PARÂMETROS!$B$8:$B$907,PARÂMETROS!$G$8:$G$907,F107),SUMIFS(PARÂMETROS!$C$8:$C$907,PARÂMETROS!$G$8:$G$907,F107)),0)</f>
        <v>0.39039808527428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96</v>
      </c>
      <c r="C108" s="29" t="s">
        <v>128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96</v>
      </c>
      <c r="C109" s="29" t="s">
        <v>129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IFERROR(D109/IF(B109="Clientes",SUMIFS(PARÂMETROS!$B$8:$B$907,PARÂMETROS!$G$8:$G$907,F109),SUMIFS(PARÂMETROS!$C$8:$C$907,PARÂMETROS!$G$8:$G$907,F109)),0)</f>
        <v>0.894133881910358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96</v>
      </c>
      <c r="C110" s="29" t="s">
        <v>130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IFERROR(D110/IF(B110="Clientes",SUMIFS(PARÂMETROS!$B$8:$B$907,PARÂMETROS!$G$8:$G$907,F110),SUMIFS(PARÂMETROS!$C$8:$C$907,PARÂMETROS!$G$8:$G$907,F110)),0)</f>
        <v>0.376515725268126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96</v>
      </c>
      <c r="C111" s="29" t="s">
        <v>131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98</v>
      </c>
      <c r="C112" s="29" t="s">
        <v>132</v>
      </c>
      <c r="D112" s="21" t="n">
        <f aca="false">SUMIFS('CUSTOS MENSAIS'!$F:$F,'CUSTOS MENSAIS'!$A:$A,A112,'CUSTOS MENSAIS'!$H:$H,F112)</f>
        <v>120488.6945</v>
      </c>
      <c r="E112" s="21" t="n">
        <f aca="false">IFERROR(D112/G112,0)</f>
        <v>132.989729028698</v>
      </c>
      <c r="F112" s="11" t="s">
        <v>21</v>
      </c>
      <c r="G112" s="31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7" t="s">
        <v>136</v>
      </c>
      <c r="B113" s="32"/>
      <c r="C113" s="33"/>
      <c r="D113" s="34" t="n">
        <f aca="false">SUM(D78:D112)+D116+D119+D122+D125</f>
        <v>2684845.16846245</v>
      </c>
      <c r="E113" s="34"/>
      <c r="F113" s="32"/>
      <c r="G113" s="35"/>
    </row>
    <row r="114" customFormat="false" ht="14.25" hidden="false" customHeight="true" outlineLevel="0" collapsed="false">
      <c r="A114" s="27" t="s">
        <v>137</v>
      </c>
      <c r="B114" s="28" t="s">
        <v>96</v>
      </c>
      <c r="C114" s="29" t="s">
        <v>138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IFERROR(D114/IF(B114="Clientes",SUMIFS(PARÂMETROS!$B$8:$B$907,PARÂMETROS!$G$8:$G$907,F114),SUMIFS(PARÂMETROS!$C$8:$C$907,PARÂMETROS!$G$8:$G$907,F114)),0)</f>
        <v>0.0406303950827641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137</v>
      </c>
      <c r="B115" s="28" t="s">
        <v>96</v>
      </c>
      <c r="C115" s="29" t="s">
        <v>138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IFERROR(D115/IF(B115="Clientes",SUMIFS(PARÂMETROS!$B$8:$B$907,PARÂMETROS!$G$8:$G$907,F115),SUMIFS(PARÂMETROS!$C$8:$C$907,PARÂMETROS!$G$8:$G$907,F115)),0)</f>
        <v>0.0436334607863767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137</v>
      </c>
      <c r="B116" s="28" t="s">
        <v>96</v>
      </c>
      <c r="C116" s="29" t="s">
        <v>138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139</v>
      </c>
      <c r="B117" s="28" t="s">
        <v>98</v>
      </c>
      <c r="C117" s="29" t="s">
        <v>140</v>
      </c>
      <c r="D117" s="21" t="n">
        <f aca="false">SUMIFS('CUSTOS MENSAIS'!$F:$F,'CUSTOS MENSAIS'!$A:$A,A117,'CUSTOS MENSAIS'!$H:$H,F117)</f>
        <v>15250.17</v>
      </c>
      <c r="E117" s="21" t="n">
        <f aca="false">IFERROR(D117/IF(B117="Clientes",SUMIFS(PARÂMETROS!$B$8:$B$907,PARÂMETROS!$G$8:$G$907,F117),SUMIFS(PARÂMETROS!$C$8:$C$907,PARÂMETROS!$G$8:$G$907,F117)),0)</f>
        <v>14.4825925925926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139</v>
      </c>
      <c r="B118" s="28" t="s">
        <v>98</v>
      </c>
      <c r="C118" s="29" t="s">
        <v>140</v>
      </c>
      <c r="D118" s="21" t="n">
        <f aca="false">SUMIFS('CUSTOS MENSAIS'!$F:$F,'CUSTOS MENSAIS'!$A:$A,A118,'CUSTOS MENSAIS'!$H:$H,F118)</f>
        <v>23164.05</v>
      </c>
      <c r="E118" s="21" t="n">
        <f aca="false">IFERROR(D118/IF(B118="Clientes",SUMIFS(PARÂMETROS!$B$8:$B$907,PARÂMETROS!$G$8:$G$907,F118),SUMIFS(PARÂMETROS!$C$8:$C$907,PARÂMETROS!$G$8:$G$907,F118)),0)</f>
        <v>22.0820305052431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139</v>
      </c>
      <c r="B119" s="28" t="s">
        <v>98</v>
      </c>
      <c r="C119" s="29" t="s">
        <v>140</v>
      </c>
      <c r="D119" s="21" t="n">
        <f aca="false">SUMIFS('CUSTOS MENSAIS'!$F:$F,'CUSTOS MENSAIS'!$A:$A,A119,'CUSTOS MENSAIS'!$H:$H,F119)</f>
        <v>25265.37</v>
      </c>
      <c r="E119" s="21" t="n">
        <f aca="false">IFERROR(D119/IF(B119="Clientes",SUMIFS(PARÂMETROS!$B$8:$B$907,PARÂMETROS!$G$8:$G$907,F119),SUMIFS(PARÂMETROS!$C$8:$C$907,PARÂMETROS!$G$8:$G$907,F119)),0)</f>
        <v>23.1792385321101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141</v>
      </c>
      <c r="B120" s="28" t="s">
        <v>96</v>
      </c>
      <c r="C120" s="29" t="s">
        <v>142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IFERROR(D120/IF(B120="Clientes",SUMIFS(PARÂMETROS!$B$8:$B$907,PARÂMETROS!$G$8:$G$907,F120),SUMIFS(PARÂMETROS!$C$8:$C$907,PARÂMETROS!$G$8:$G$907,F120)),0)</f>
        <v>0.0959225828032635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141</v>
      </c>
      <c r="B121" s="28" t="s">
        <v>96</v>
      </c>
      <c r="C121" s="29" t="s">
        <v>142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IFERROR(D121/IF(B121="Clientes",SUMIFS(PARÂMETROS!$B$8:$B$907,PARÂMETROS!$G$8:$G$907,F121),SUMIFS(PARÂMETROS!$C$8:$C$907,PARÂMETROS!$G$8:$G$907,F121)),0)</f>
        <v>0.105895207936646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141</v>
      </c>
      <c r="B122" s="28" t="s">
        <v>96</v>
      </c>
      <c r="C122" s="29" t="s">
        <v>142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IFERROR(D122/IF(B122="Clientes",SUMIFS(PARÂMETROS!$B$8:$B$907,PARÂMETROS!$G$8:$G$907,F122),SUMIFS(PARÂMETROS!$C$8:$C$907,PARÂMETROS!$G$8:$G$907,F122)),0)</f>
        <v>0.101057218436555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143</v>
      </c>
      <c r="B123" s="1" t="s">
        <v>96</v>
      </c>
      <c r="C123" s="1" t="s">
        <v>144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IFERROR(D123/IF(B123="Clientes",SUMIFS(PARÂMETROS!$B$8:$B$907,PARÂMETROS!$G$8:$G$907,F123),SUMIFS(PARÂMETROS!$C$8:$C$907,PARÂMETROS!$G$8:$G$907,F123)),0)</f>
        <v>0.184401417468522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143</v>
      </c>
      <c r="B124" s="1" t="s">
        <v>96</v>
      </c>
      <c r="C124" s="1" t="s">
        <v>144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IFERROR(D124/IF(B124="Clientes",SUMIFS(PARÂMETROS!$B$8:$B$907,PARÂMETROS!$G$8:$G$907,F124),SUMIFS(PARÂMETROS!$C$8:$C$907,PARÂMETROS!$G$8:$G$907,F124)),0)</f>
        <v>0.233268888284414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143</v>
      </c>
      <c r="B125" s="1" t="s">
        <v>96</v>
      </c>
      <c r="C125" s="1" t="s">
        <v>144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IFERROR(D125/IF(B125="Clientes",SUMIFS(PARÂMETROS!$B$8:$B$907,PARÂMETROS!$G$8:$G$907,F125),SUMIFS(PARÂMETROS!$C$8:$C$907,PARÂMETROS!$G$8:$G$907,F125)),0)</f>
        <v>0.23345221374652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96</v>
      </c>
      <c r="C126" s="29" t="s">
        <v>97</v>
      </c>
      <c r="D126" s="21" t="n">
        <f aca="false">SUMIFS('CUSTOS MENSAIS'!$F:$F,'CUSTOS MENSAIS'!$A:$A,A126,'CUSTOS MENSAIS'!$H:$H,F126)</f>
        <v>42793.8</v>
      </c>
      <c r="E126" s="21" t="n">
        <f aca="false">IFERROR(D126/IF(B126="Clientes",SUMIFS(PARÂMETROS!$B$8:$B$907,PARÂMETROS!$G$8:$G$907,F126),SUMIFS(PARÂMETROS!$C$8:$C$907,PARÂMETROS!$G$8:$G$907,F126)),0)</f>
        <v>0.217040117664959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98</v>
      </c>
      <c r="C127" s="29" t="s">
        <v>99</v>
      </c>
      <c r="D127" s="21" t="n">
        <f aca="false">SUMIFS('CUSTOS MENSAIS'!$F:$F,'CUSTOS MENSAIS'!$A:$A,A127,'CUSTOS MENSAIS'!$H:$H,F127)</f>
        <v>38135.14</v>
      </c>
      <c r="E127" s="21" t="n">
        <f aca="false">IFERROR(D127/IF(B127="Clientes",SUMIFS(PARÂMETROS!$B$8:$B$907,PARÂMETROS!$G$8:$G$907,F127),SUMIFS(PARÂMETROS!$C$8:$C$907,PARÂMETROS!$G$8:$G$907,F127)),0)</f>
        <v>36.2501330798479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98</v>
      </c>
      <c r="C128" s="29" t="s">
        <v>100</v>
      </c>
      <c r="D128" s="21" t="n">
        <f aca="false">SUMIFS('CUSTOS MENSAIS'!$F:$F,'CUSTOS MENSAIS'!$A:$A,A128,'CUSTOS MENSAIS'!$H:$H,F128)</f>
        <v>52085.15</v>
      </c>
      <c r="E128" s="21" t="n">
        <f aca="false">IFERROR(D128/IF(B128="Clientes",SUMIFS(PARÂMETROS!$B$8:$B$907,PARÂMETROS!$G$8:$G$907,F128),SUMIFS(PARÂMETROS!$C$8:$C$907,PARÂMETROS!$G$8:$G$907,F128)),0)</f>
        <v>49.5105988593156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96</v>
      </c>
      <c r="C129" s="29" t="s">
        <v>101</v>
      </c>
      <c r="D129" s="21" t="n">
        <f aca="false">SUMIFS('CUSTOS MENSAIS'!$F:$F,'CUSTOS MENSAIS'!$A:$A,A129,'CUSTOS MENSAIS'!$H:$H,F129)</f>
        <v>63678.03</v>
      </c>
      <c r="E129" s="21" t="n">
        <f aca="false">IFERROR(D129/IF(B129="Clientes",SUMIFS(PARÂMETROS!$B$8:$B$907,PARÂMETROS!$G$8:$G$907,F129),SUMIFS(PARÂMETROS!$C$8:$C$907,PARÂMETROS!$G$8:$G$907,F129)),0)</f>
        <v>0.322960034488005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96</v>
      </c>
      <c r="C130" s="29" t="s">
        <v>102</v>
      </c>
      <c r="D130" s="21" t="n">
        <f aca="false">SUMIFS('CUSTOS MENSAIS'!$F:$F,'CUSTOS MENSAIS'!$A:$A,A130,'CUSTOS MENSAIS'!$H:$H,F130)</f>
        <v>22892.43</v>
      </c>
      <c r="E130" s="21" t="n">
        <f aca="false">IFERROR(D130/IF(B130="Clientes",SUMIFS(PARÂMETROS!$B$8:$B$907,PARÂMETROS!$G$8:$G$907,F130),SUMIFS(PARÂMETROS!$C$8:$C$907,PARÂMETROS!$G$8:$G$907,F130)),0)</f>
        <v>0.116105036263123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96</v>
      </c>
      <c r="C131" s="29" t="s">
        <v>103</v>
      </c>
      <c r="D131" s="21" t="n">
        <f aca="false">SUMIFS('CUSTOS MENSAIS'!$F:$F,'CUSTOS MENSAIS'!$A:$A,A131,'CUSTOS MENSAIS'!$H:$H,F131)</f>
        <v>34255.66</v>
      </c>
      <c r="E131" s="21" t="n">
        <f aca="false">IFERROR(D131/IF(B131="Clientes",SUMIFS(PARÂMETROS!$B$8:$B$907,PARÂMETROS!$G$8:$G$907,F131),SUMIFS(PARÂMETROS!$C$8:$C$907,PARÂMETROS!$G$8:$G$907,F131)),0)</f>
        <v>0.173736673936197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96</v>
      </c>
      <c r="C132" s="29" t="s">
        <v>104</v>
      </c>
      <c r="D132" s="21" t="n">
        <f aca="false">SUMIFS('CUSTOS MENSAIS'!$F:$F,'CUSTOS MENSAIS'!$A:$A,A132,'CUSTOS MENSAIS'!$H:$H,F132)</f>
        <v>153752.07</v>
      </c>
      <c r="E132" s="21" t="n">
        <f aca="false">IFERROR(D132/IF(B132="Clientes",SUMIFS(PARÂMETROS!$B$8:$B$907,PARÂMETROS!$G$8:$G$907,F132),SUMIFS(PARÂMETROS!$C$8:$C$907,PARÂMETROS!$G$8:$G$907,F132)),0)</f>
        <v>0.779794441345032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96</v>
      </c>
      <c r="C133" s="29" t="s">
        <v>105</v>
      </c>
      <c r="D133" s="21" t="n">
        <f aca="false">SUMIFS('CUSTOS MENSAIS'!$F:$F,'CUSTOS MENSAIS'!$A:$A,A133,'CUSTOS MENSAIS'!$H:$H,F133)</f>
        <v>45092.33</v>
      </c>
      <c r="E133" s="21" t="n">
        <f aca="false">IFERROR(D133/IF(B133="Clientes",SUMIFS(PARÂMETROS!$B$8:$B$907,PARÂMETROS!$G$8:$G$907,F133),SUMIFS(PARÂMETROS!$C$8:$C$907,PARÂMETROS!$G$8:$G$907,F133)),0)</f>
        <v>0.228697722777299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96</v>
      </c>
      <c r="C134" s="29" t="s">
        <v>106</v>
      </c>
      <c r="D134" s="21" t="n">
        <f aca="false">SUMIFS('CUSTOS MENSAIS'!$F:$F,'CUSTOS MENSAIS'!$A:$A,A134,'CUSTOS MENSAIS'!$H:$H,F134)</f>
        <v>44389.35</v>
      </c>
      <c r="E134" s="21" t="n">
        <f aca="false">IFERROR(D134/IF(B134="Clientes",SUMIFS(PARÂMETROS!$B$8:$B$907,PARÂMETROS!$G$8:$G$907,F134),SUMIFS(PARÂMETROS!$C$8:$C$907,PARÂMETROS!$G$8:$G$907,F134)),0)</f>
        <v>0.225132373079069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96</v>
      </c>
      <c r="C135" s="29" t="s">
        <v>107</v>
      </c>
      <c r="D135" s="21" t="n">
        <f aca="false">SUMIFS('CUSTOS MENSAIS'!$F:$F,'CUSTOS MENSAIS'!$A:$A,A135,'CUSTOS MENSAIS'!$H:$H,F135)</f>
        <v>39588.01</v>
      </c>
      <c r="E135" s="21" t="n">
        <f aca="false">IFERROR(D135/IF(B135="Clientes",SUMIFS(PARÂMETROS!$B$8:$B$907,PARÂMETROS!$G$8:$G$907,F135),SUMIFS(PARÂMETROS!$C$8:$C$907,PARÂMETROS!$G$8:$G$907,F135)),0)</f>
        <v>0.200781102601816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96</v>
      </c>
      <c r="C136" s="29" t="s">
        <v>108</v>
      </c>
      <c r="D136" s="21" t="n">
        <f aca="false">SUMIFS('CUSTOS MENSAIS'!$F:$F,'CUSTOS MENSAIS'!$A:$A,A136,'CUSTOS MENSAIS'!$H:$H,F136)</f>
        <v>18057.48</v>
      </c>
      <c r="E136" s="21" t="n">
        <f aca="false">IFERROR(D136/IF(B136="Clientes",SUMIFS(PARÂMETROS!$B$8:$B$907,PARÂMETROS!$G$8:$G$907,F136),SUMIFS(PARÂMETROS!$C$8:$C$907,PARÂMETROS!$G$8:$G$907,F136)),0)</f>
        <v>0.0915833037480347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96</v>
      </c>
      <c r="C137" s="29" t="s">
        <v>109</v>
      </c>
      <c r="D137" s="21" t="n">
        <f aca="false">SUMIFS('CUSTOS MENSAIS'!$F:$F,'CUSTOS MENSAIS'!$A:$A,A137,'CUSTOS MENSAIS'!$H:$H,F137)</f>
        <v>28551.52</v>
      </c>
      <c r="E137" s="21" t="n">
        <f aca="false">IFERROR(D137/IF(B137="Clientes",SUMIFS(PARÂMETROS!$B$8:$B$907,PARÂMETROS!$G$8:$G$907,F137),SUMIFS(PARÂMETROS!$C$8:$C$907,PARÂMETROS!$G$8:$G$907,F137)),0)</f>
        <v>0.144806613582188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96</v>
      </c>
      <c r="C138" s="29" t="s">
        <v>110</v>
      </c>
      <c r="D138" s="21" t="n">
        <f aca="false">SUMIFS('CUSTOS MENSAIS'!$F:$F,'CUSTOS MENSAIS'!$A:$A,A138,'CUSTOS MENSAIS'!$H:$H,F138)</f>
        <v>25352.14</v>
      </c>
      <c r="E138" s="21" t="n">
        <f aca="false">IFERROR(D138/IF(B138="Clientes",SUMIFS(PARÂMETROS!$B$8:$B$907,PARÂMETROS!$G$8:$G$907,F138),SUMIFS(PARÂMETROS!$C$8:$C$907,PARÂMETROS!$G$8:$G$907,F138)),0)</f>
        <v>0.128580108535781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98</v>
      </c>
      <c r="C139" s="29" t="s">
        <v>111</v>
      </c>
      <c r="D139" s="21" t="n">
        <f aca="false">SUMIFS('CUSTOS MENSAIS'!$F:$F,'CUSTOS MENSAIS'!$A:$A,A139,'CUSTOS MENSAIS'!$H:$H,F139)</f>
        <v>52370.99</v>
      </c>
      <c r="E139" s="21" t="n">
        <f aca="false">IFERROR(D139/IF(B139="Clientes",SUMIFS(PARÂMETROS!$B$8:$B$907,PARÂMETROS!$G$8:$G$907,F139),SUMIFS(PARÂMETROS!$C$8:$C$907,PARÂMETROS!$G$8:$G$907,F139)),0)</f>
        <v>49.7823098859316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96</v>
      </c>
      <c r="C140" s="29" t="s">
        <v>112</v>
      </c>
      <c r="D140" s="21" t="n">
        <f aca="false">SUMIFS('CUSTOS MENSAIS'!$F:$F,'CUSTOS MENSAIS'!$A:$A,A140,'CUSTOS MENSAIS'!$H:$H,F140)</f>
        <v>66790.15</v>
      </c>
      <c r="E140" s="21" t="n">
        <f aca="false">IFERROR(D140/IF(B140="Clientes",SUMIFS(PARÂMETROS!$B$8:$B$907,PARÂMETROS!$G$8:$G$907,F140),SUMIFS(PARÂMETROS!$C$8:$C$907,PARÂMETROS!$G$8:$G$907,F140)),0)</f>
        <v>0.338743977278491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96</v>
      </c>
      <c r="C141" s="29" t="s">
        <v>113</v>
      </c>
      <c r="D141" s="21" t="n">
        <f aca="false">SUMIFS('CUSTOS MENSAIS'!$F:$F,'CUSTOS MENSAIS'!$A:$A,A141,'CUSTOS MENSAIS'!$H:$H,F141)</f>
        <v>161427.31</v>
      </c>
      <c r="E141" s="21" t="n">
        <f aca="false">IFERROR(D141/IF(B141="Clientes",SUMIFS(PARÂMETROS!$B$8:$B$907,PARÂMETROS!$G$8:$G$907,F141),SUMIFS(PARÂMETROS!$C$8:$C$907,PARÂMETROS!$G$8:$G$907,F141)),0)</f>
        <v>0.818721458639752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96</v>
      </c>
      <c r="C142" s="29" t="s">
        <v>114</v>
      </c>
      <c r="D142" s="21" t="n">
        <f aca="false">SUMIFS('CUSTOS MENSAIS'!$F:$F,'CUSTOS MENSAIS'!$A:$A,A142,'CUSTOS MENSAIS'!$H:$H,F142)</f>
        <v>120030.14</v>
      </c>
      <c r="E142" s="21" t="n">
        <f aca="false">IFERROR(D142/IF(B142="Clientes",SUMIFS(PARÂMETROS!$B$8:$B$907,PARÂMETROS!$G$8:$G$907,F142),SUMIFS(PARÂMETROS!$C$8:$C$907,PARÂMETROS!$G$8:$G$907,F142)),0)</f>
        <v>0.60876472079931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96</v>
      </c>
      <c r="C143" s="29" t="s">
        <v>115</v>
      </c>
      <c r="D143" s="21" t="n">
        <f aca="false">SUMIFS('CUSTOS MENSAIS'!$F:$F,'CUSTOS MENSAIS'!$A:$A,A143,'CUSTOS MENSAIS'!$H:$H,F143)</f>
        <v>106442.35</v>
      </c>
      <c r="E143" s="21" t="n">
        <f aca="false">IFERROR(D143/IF(B143="Clientes",SUMIFS(PARÂMETROS!$B$8:$B$907,PARÂMETROS!$G$8:$G$907,F143),SUMIFS(PARÂMETROS!$C$8:$C$907,PARÂMETROS!$G$8:$G$907,F143)),0)</f>
        <v>0.539850636506568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96</v>
      </c>
      <c r="C144" s="29" t="s">
        <v>116</v>
      </c>
      <c r="D144" s="21" t="n">
        <f aca="false">SUMIFS('CUSTOS MENSAIS'!$F:$F,'CUSTOS MENSAIS'!$A:$A,A144,'CUSTOS MENSAIS'!$H:$H,F144)</f>
        <v>30578.52</v>
      </c>
      <c r="E144" s="21" t="n">
        <f aca="false">IFERROR(D144/IF(B144="Clientes",SUMIFS(PARÂMETROS!$B$8:$B$907,PARÂMETROS!$G$8:$G$907,F144),SUMIFS(PARÂMETROS!$C$8:$C$907,PARÂMETROS!$G$8:$G$907,F144)),0)</f>
        <v>0.155087082213318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96</v>
      </c>
      <c r="C145" s="29" t="s">
        <v>117</v>
      </c>
      <c r="D145" s="21" t="n">
        <f aca="false">SUMIFS('CUSTOS MENSAIS'!$F:$F,'CUSTOS MENSAIS'!$A:$A,A145,'CUSTOS MENSAIS'!$H:$H,F145)</f>
        <v>98357.6</v>
      </c>
      <c r="E145" s="21" t="n">
        <f aca="false">IFERROR(D145/IF(B145="Clientes",SUMIFS(PARÂMETROS!$B$8:$B$907,PARÂMETROS!$G$8:$G$907,F145),SUMIFS(PARÂMETROS!$C$8:$C$907,PARÂMETROS!$G$8:$G$907,F145)),0)</f>
        <v>0.498846680529492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96</v>
      </c>
      <c r="C146" s="29" t="s">
        <v>118</v>
      </c>
      <c r="D146" s="21" t="n">
        <f aca="false">SUMIFS('CUSTOS MENSAIS'!$F:$F,'CUSTOS MENSAIS'!$A:$A,A146,'CUSTOS MENSAIS'!$H:$H,F146)</f>
        <v>130683.26</v>
      </c>
      <c r="E146" s="21" t="n">
        <f aca="false">IFERROR(D146/IF(B146="Clientes",SUMIFS(PARÂMETROS!$B$8:$B$907,PARÂMETROS!$G$8:$G$907,F146),SUMIFS(PARÂMETROS!$C$8:$C$907,PARÂMETROS!$G$8:$G$907,F146)),0)</f>
        <v>0.662794847086271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96</v>
      </c>
      <c r="C147" s="29" t="s">
        <v>119</v>
      </c>
      <c r="D147" s="21" t="n">
        <f aca="false">SUMIFS('CUSTOS MENSAIS'!$F:$F,'CUSTOS MENSAIS'!$A:$A,A147,'CUSTOS MENSAIS'!$H:$H,F147)</f>
        <v>32336.41</v>
      </c>
      <c r="E147" s="21" t="n">
        <f aca="false">IFERROR(D147/IF(B147="Clientes",SUMIFS(PARÂMETROS!$B$8:$B$907,PARÂMETROS!$G$8:$G$907,F147),SUMIFS(PARÂMETROS!$C$8:$C$907,PARÂMETROS!$G$8:$G$907,F147)),0)</f>
        <v>0.164002688035705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96</v>
      </c>
      <c r="C148" s="29" t="s">
        <v>120</v>
      </c>
      <c r="D148" s="21" t="n">
        <f aca="false">SUMIFS('CUSTOS MENSAIS'!$F:$F,'CUSTOS MENSAIS'!$A:$A,A148,'CUSTOS MENSAIS'!$H:$H,F148)</f>
        <v>113758.95</v>
      </c>
      <c r="E148" s="21" t="n">
        <f aca="false">IFERROR(D148/IF(B148="Clientes",SUMIFS(PARÂMETROS!$B$8:$B$907,PARÂMETROS!$G$8:$G$907,F148),SUMIFS(PARÂMETROS!$C$8:$C$907,PARÂMETROS!$G$8:$G$907,F148)),0)</f>
        <v>0.57695871582898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134</v>
      </c>
      <c r="C149" s="29" t="s">
        <v>121</v>
      </c>
      <c r="D149" s="21" t="n">
        <f aca="false">SUMIFS('CUSTOS MENSAIS'!$F:$F,'CUSTOS MENSAIS'!$A:$A,A149,'CUSTOS MENSAIS'!$H:$H,F149)</f>
        <v>197379.45</v>
      </c>
      <c r="E149" s="21" t="n">
        <f aca="false">IFERROR(D149/G149,0)</f>
        <v>1181.9128742515</v>
      </c>
      <c r="F149" s="11" t="s">
        <v>88</v>
      </c>
      <c r="G149" s="31" t="n">
        <v>167</v>
      </c>
    </row>
    <row r="150" customFormat="false" ht="14.25" hidden="false" customHeight="true" outlineLevel="0" collapsed="false">
      <c r="A150" s="27" t="s">
        <v>55</v>
      </c>
      <c r="B150" s="28" t="s">
        <v>98</v>
      </c>
      <c r="C150" s="29" t="s">
        <v>122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96</v>
      </c>
      <c r="C151" s="29" t="s">
        <v>123</v>
      </c>
      <c r="D151" s="21" t="n">
        <f aca="false">SUMIFS('CUSTOS MENSAIS'!$F:$F,'CUSTOS MENSAIS'!$A:$A,A151,'CUSTOS MENSAIS'!$H:$H,F151)</f>
        <v>43587.29</v>
      </c>
      <c r="E151" s="21" t="n">
        <f aca="false">IFERROR(D151/IF(B151="Clientes",SUMIFS(PARÂMETROS!$B$8:$B$907,PARÂMETROS!$G$8:$G$907,F151),SUMIFS(PARÂMETROS!$C$8:$C$907,PARÂMETROS!$G$8:$G$907,F151)),0)</f>
        <v>0.221064512856926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96</v>
      </c>
      <c r="C152" s="29" t="s">
        <v>124</v>
      </c>
      <c r="D152" s="21" t="n">
        <f aca="false">SUMIFS('CUSTOS MENSAIS'!$F:$F,'CUSTOS MENSAIS'!$A:$A,A152,'CUSTOS MENSAIS'!$H:$H,F152)</f>
        <v>15660.47</v>
      </c>
      <c r="E152" s="21" t="n">
        <f aca="false">IFERROR(D152/IF(B152="Clientes",SUMIFS(PARÂMETROS!$B$8:$B$907,PARÂMETROS!$G$8:$G$907,F152),SUMIFS(PARÂMETROS!$C$8:$C$907,PARÂMETROS!$G$8:$G$907,F152)),0)</f>
        <v>0.0794262311710707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96</v>
      </c>
      <c r="C153" s="29" t="s">
        <v>125</v>
      </c>
      <c r="D153" s="21" t="n">
        <f aca="false">SUMIFS('CUSTOS MENSAIS'!$F:$F,'CUSTOS MENSAIS'!$A:$A,A153,'CUSTOS MENSAIS'!$H:$H,F153)</f>
        <v>64644.56</v>
      </c>
      <c r="E153" s="21" t="n">
        <f aca="false">IFERROR(D153/IF(B153="Clientes",SUMIFS(PARÂMETROS!$B$8:$B$907,PARÂMETROS!$G$8:$G$907,F153),SUMIFS(PARÂMETROS!$C$8:$C$907,PARÂMETROS!$G$8:$G$907,F153)),0)</f>
        <v>0.327862047978901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96</v>
      </c>
      <c r="C154" s="29" t="s">
        <v>126</v>
      </c>
      <c r="D154" s="21" t="n">
        <f aca="false">SUMIFS('CUSTOS MENSAIS'!$F:$F,'CUSTOS MENSAIS'!$A:$A,A154,'CUSTOS MENSAIS'!$H:$H,F154)</f>
        <v>35882.67</v>
      </c>
      <c r="E154" s="21" t="n">
        <f aca="false">IFERROR(D154/IF(B154="Clientes",SUMIFS(PARÂMETROS!$B$8:$B$907,PARÂMETROS!$G$8:$G$907,F154),SUMIFS(PARÂMETROS!$C$8:$C$907,PARÂMETROS!$G$8:$G$907,F154)),0)</f>
        <v>0.181988487092357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96</v>
      </c>
      <c r="C155" s="29" t="s">
        <v>127</v>
      </c>
      <c r="D155" s="21" t="n">
        <f aca="false">SUMIFS('CUSTOS MENSAIS'!$F:$F,'CUSTOS MENSAIS'!$A:$A,A155,'CUSTOS MENSAIS'!$H:$H,F155)</f>
        <v>72836.39</v>
      </c>
      <c r="E155" s="21" t="n">
        <f aca="false">IFERROR(D155/IF(B155="Clientes",SUMIFS(PARÂMETROS!$B$8:$B$907,PARÂMETROS!$G$8:$G$907,F155),SUMIFS(PARÂMETROS!$C$8:$C$907,PARÂMETROS!$G$8:$G$907,F155)),0)</f>
        <v>0.369409088603743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96</v>
      </c>
      <c r="C156" s="29" t="s">
        <v>128</v>
      </c>
      <c r="D156" s="21" t="n">
        <f aca="false">SUMIFS('CUSTOS MENSAIS'!$F:$F,'CUSTOS MENSAIS'!$A:$A,A156,'CUSTOS MENSAIS'!$H:$H,F156)</f>
        <v>14564.37</v>
      </c>
      <c r="E156" s="21" t="n">
        <f aca="false">IFERROR(D156/IF(B156="Clientes",SUMIFS(PARÂMETROS!$B$8:$B$907,PARÂMETROS!$G$8:$G$907,F156),SUMIFS(PARÂMETROS!$C$8:$C$907,PARÂMETROS!$G$8:$G$907,F156)),0)</f>
        <v>0.0738670690267282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96</v>
      </c>
      <c r="C157" s="29" t="s">
        <v>129</v>
      </c>
      <c r="D157" s="21" t="n">
        <f aca="false">SUMIFS('CUSTOS MENSAIS'!$F:$F,'CUSTOS MENSAIS'!$A:$A,A157,'CUSTOS MENSAIS'!$H:$H,F157)</f>
        <v>190414.42</v>
      </c>
      <c r="E157" s="21" t="n">
        <f aca="false">IFERROR(D157/IF(B157="Clientes",SUMIFS(PARÂMETROS!$B$8:$B$907,PARÂMETROS!$G$8:$G$907,F157),SUMIFS(PARÂMETROS!$C$8:$C$907,PARÂMETROS!$G$8:$G$907,F157)),0)</f>
        <v>0.965737282548055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96</v>
      </c>
      <c r="C158" s="29" t="s">
        <v>130</v>
      </c>
      <c r="D158" s="21" t="n">
        <f aca="false">SUMIFS('CUSTOS MENSAIS'!$F:$F,'CUSTOS MENSAIS'!$A:$A,A158,'CUSTOS MENSAIS'!$H:$H,F158)</f>
        <v>110884.26</v>
      </c>
      <c r="E158" s="21" t="n">
        <f aca="false">IFERROR(D158/IF(B158="Clientes",SUMIFS(PARÂMETROS!$B$8:$B$907,PARÂMETROS!$G$8:$G$907,F158),SUMIFS(PARÂMETROS!$C$8:$C$907,PARÂMETROS!$G$8:$G$907,F158)),0)</f>
        <v>0.562378962316783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96</v>
      </c>
      <c r="C159" s="29" t="s">
        <v>131</v>
      </c>
      <c r="D159" s="21" t="n">
        <f aca="false">SUMIFS('CUSTOS MENSAIS'!$F:$F,'CUSTOS MENSAIS'!$A:$A,A159,'CUSTOS MENSAIS'!$H:$H,F159)</f>
        <v>11275.91</v>
      </c>
      <c r="E159" s="21" t="n">
        <f aca="false">IFERROR(D159/IF(B159="Clientes",SUMIFS(PARÂMETROS!$B$8:$B$907,PARÂMETROS!$G$8:$G$907,F159),SUMIFS(PARÂMETROS!$C$8:$C$907,PARÂMETROS!$G$8:$G$907,F159)),0)</f>
        <v>0.0571887711112238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98</v>
      </c>
      <c r="C160" s="29" t="s">
        <v>132</v>
      </c>
      <c r="D160" s="21" t="n">
        <f aca="false">SUMIFS('CUSTOS MENSAIS'!$F:$F,'CUSTOS MENSAIS'!$A:$A,A160,'CUSTOS MENSAIS'!$H:$H,F160)</f>
        <v>25080.33</v>
      </c>
      <c r="E160" s="21" t="n">
        <f aca="false">IFERROR(D160/G160,0)</f>
        <v>28.4680249716232</v>
      </c>
      <c r="F160" s="11" t="s">
        <v>88</v>
      </c>
      <c r="G160" s="31" t="n">
        <f aca="false">SUMIFS(PARÂMETROS!$C$8:$C$907,PARÂMETROS!$G$8:$G$907,F160,PARÂMETROS!$A$8:$A$907,"DTEL (uso próprio)")</f>
        <v>881</v>
      </c>
    </row>
    <row r="161" customFormat="false" ht="14.25" hidden="false" customHeight="true" outlineLevel="0" collapsed="false">
      <c r="A161" s="17" t="s">
        <v>145</v>
      </c>
      <c r="B161" s="32"/>
      <c r="C161" s="33"/>
      <c r="D161" s="34" t="n">
        <f aca="false">SUM(D126:D160)+D162+D163+D164+D165</f>
        <v>2434838.46</v>
      </c>
      <c r="E161" s="34"/>
      <c r="F161" s="32"/>
      <c r="G161" s="35"/>
    </row>
    <row r="162" customFormat="false" ht="14.25" hidden="false" customHeight="true" outlineLevel="0" collapsed="false">
      <c r="A162" s="27" t="s">
        <v>137</v>
      </c>
      <c r="B162" s="28" t="s">
        <v>96</v>
      </c>
      <c r="C162" s="29" t="s">
        <v>138</v>
      </c>
      <c r="D162" s="21" t="n">
        <f aca="false">SUMIFS('CUSTOS MENSAIS'!$F:$F,'CUSTOS MENSAIS'!$A:$A,A162,'CUSTOS MENSAIS'!$H:$H,F162)</f>
        <v>7975.29</v>
      </c>
      <c r="E162" s="21" t="n">
        <f aca="false">IFERROR(D162/IF(B162="Clientes",SUMIFS(PARÂMETROS!$B$8:$B$907,PARÂMETROS!$G$8:$G$907,F162),SUMIFS(PARÂMETROS!$C$8:$C$907,PARÂMETROS!$G$8:$G$907,F162)),0)</f>
        <v>0.0404488005274636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139</v>
      </c>
      <c r="B163" s="28" t="s">
        <v>98</v>
      </c>
      <c r="C163" s="29" t="s">
        <v>140</v>
      </c>
      <c r="D163" s="21" t="n">
        <f aca="false">SUMIFS('CUSTOS MENSAIS'!$F:$F,'CUSTOS MENSAIS'!$A:$A,A163,'CUSTOS MENSAIS'!$H:$H,F163)</f>
        <v>28317.35</v>
      </c>
      <c r="E163" s="21" t="n">
        <f aca="false">IFERROR(D163/IF(B163="Clientes",SUMIFS(PARÂMETROS!$B$8:$B$907,PARÂMETROS!$G$8:$G$907,F163),SUMIFS(PARÂMETROS!$C$8:$C$907,PARÂMETROS!$G$8:$G$907,F163)),0)</f>
        <v>26.9176330798479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141</v>
      </c>
      <c r="B164" s="28" t="s">
        <v>96</v>
      </c>
      <c r="C164" s="29" t="s">
        <v>142</v>
      </c>
      <c r="D164" s="21" t="n">
        <f aca="false">SUMIFS('CUSTOS MENSAIS'!$F:$F,'CUSTOS MENSAIS'!$A:$A,A164,'CUSTOS MENSAIS'!$H:$H,F164)</f>
        <v>24636.91</v>
      </c>
      <c r="E164" s="21" t="n">
        <f aca="false">IFERROR(D164/IF(B164="Clientes",SUMIFS(PARÂMETROS!$B$8:$B$907,PARÂMETROS!$G$8:$G$907,F164),SUMIFS(PARÂMETROS!$C$8:$C$907,PARÂMETROS!$G$8:$G$907,F164)),0)</f>
        <v>0.124952629710402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143</v>
      </c>
      <c r="B165" s="1" t="s">
        <v>96</v>
      </c>
      <c r="C165" s="1" t="s">
        <v>144</v>
      </c>
      <c r="D165" s="1" t="n">
        <f aca="false">SUMIFS('CUSTOS MENSAIS'!$F:$F,'CUSTOS MENSAIS'!$A:$A,A165,'CUSTOS MENSAIS'!$H:$H,F165)</f>
        <v>46959.91</v>
      </c>
      <c r="E165" s="1" t="n">
        <f aca="false">IFERROR(D165/IF(B165="Clientes",SUMIFS(PARÂMETROS!$B$8:$B$907,PARÂMETROS!$G$8:$G$907,F165),SUMIFS(PARÂMETROS!$C$8:$C$907,PARÂMETROS!$G$8:$G$907,F165)),0)</f>
        <v>0.238169650555358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  <row r="166" customFormat="false" ht="14.25" hidden="false" customHeight="true" outlineLevel="0" collapsed="false">
      <c r="A166" s="1" t="s">
        <v>146</v>
      </c>
      <c r="B166" s="1" t="s">
        <v>96</v>
      </c>
      <c r="C166" s="1" t="s">
        <v>147</v>
      </c>
      <c r="D166" s="1" t="n">
        <f aca="false">SUMIFS('CUSTOS MENSAIS'!$F:$F,'CUSTOS MENSAIS'!$A:$A,A166,'CUSTOS MENSAIS'!$H:$H,F166)</f>
        <v>15936.7</v>
      </c>
      <c r="E166" s="1" t="n">
        <f aca="false">IFERROR(D166/IF(B166="Clientes",SUMIFS(PARÂMETROS!$B$8:$B$907,PARÂMETROS!$G$8:$G$907,F166),SUMIFS(PARÂMETROS!$C$8:$C$907,PARÂMETROS!$G$8:$G$907,F166)),0)</f>
        <v>0.0832956143147596</v>
      </c>
      <c r="F166" s="1" t="s">
        <v>20</v>
      </c>
      <c r="G166" s="1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1" t="s">
        <v>146</v>
      </c>
      <c r="B167" s="1" t="s">
        <v>96</v>
      </c>
      <c r="C167" s="1" t="s">
        <v>147</v>
      </c>
      <c r="D167" s="1" t="n">
        <f aca="false">SUMIFS('CUSTOS MENSAIS'!$F:$F,'CUSTOS MENSAIS'!$A:$A,A167,'CUSTOS MENSAIS'!$H:$H,F167)</f>
        <v>23431.15</v>
      </c>
      <c r="E167" s="1" t="n">
        <f aca="false">IFERROR(D167/IF(B167="Clientes",SUMIFS(PARÂMETROS!$B$8:$B$907,PARÂMETROS!$G$8:$G$907,F167),SUMIFS(PARÂMETROS!$C$8:$C$907,PARÂMETROS!$G$8:$G$907,F167)),0)</f>
        <v>0.120256565542514</v>
      </c>
      <c r="F167" s="1" t="s">
        <v>11</v>
      </c>
      <c r="G167" s="1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1" t="s">
        <v>146</v>
      </c>
      <c r="B168" s="1" t="s">
        <v>96</v>
      </c>
      <c r="C168" s="1" t="s">
        <v>147</v>
      </c>
      <c r="D168" s="1" t="n">
        <f aca="false">SUMIFS('CUSTOS MENSAIS'!$F:$F,'CUSTOS MENSAIS'!$A:$A,A168,'CUSTOS MENSAIS'!$H:$H,F168)</f>
        <v>23134.52</v>
      </c>
      <c r="E168" s="1" t="n">
        <f aca="false">IFERROR(D168/IF(B168="Clientes",SUMIFS(PARÂMETROS!$B$8:$B$907,PARÂMETROS!$G$8:$G$907,F168),SUMIFS(PARÂMETROS!$C$8:$C$907,PARÂMETROS!$G$8:$G$907,F168)),0)</f>
        <v>0.114816641934379</v>
      </c>
      <c r="F168" s="1" t="s">
        <v>21</v>
      </c>
      <c r="G168" s="1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1" t="s">
        <v>146</v>
      </c>
      <c r="B169" s="1" t="s">
        <v>96</v>
      </c>
      <c r="C169" s="1" t="s">
        <v>147</v>
      </c>
      <c r="D169" s="1" t="n">
        <f aca="false">SUMIFS('CUSTOS MENSAIS'!$F:$F,'CUSTOS MENSAIS'!$A:$A,A169,'CUSTOS MENSAIS'!$H:$H,F169)</f>
        <v>25653.46</v>
      </c>
      <c r="E169" s="1" t="n">
        <f aca="false">IFERROR(D169/IF(B169="Clientes",SUMIFS(PARÂMETROS!$B$8:$B$907,PARÂMETROS!$G$8:$G$907,F169),SUMIFS(PARÂMETROS!$C$8:$C$907,PARÂMETROS!$G$8:$G$907,F169)),0)</f>
        <v>0.130108332910686</v>
      </c>
      <c r="F169" s="1" t="s">
        <v>88</v>
      </c>
      <c r="G169" s="1" t="n">
        <f aca="false"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82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148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149</v>
      </c>
    </row>
    <row r="4" customFormat="false" ht="26.25" hidden="false" customHeight="true" outlineLevel="0" collapsed="false">
      <c r="A4" s="6" t="s">
        <v>24</v>
      </c>
      <c r="B4" s="6" t="s">
        <v>150</v>
      </c>
      <c r="C4" s="6" t="s">
        <v>151</v>
      </c>
      <c r="D4" s="6" t="s">
        <v>152</v>
      </c>
      <c r="E4" s="6" t="s">
        <v>153</v>
      </c>
      <c r="F4" s="6" t="s">
        <v>154</v>
      </c>
      <c r="G4" s="6" t="s">
        <v>91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155</v>
      </c>
      <c r="C5" s="16" t="s">
        <v>156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155</v>
      </c>
      <c r="C6" s="40" t="s">
        <v>157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155</v>
      </c>
      <c r="C7" s="16" t="s">
        <v>158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155</v>
      </c>
      <c r="C8" s="40" t="s">
        <v>159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155</v>
      </c>
      <c r="C9" s="16" t="s">
        <v>160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155</v>
      </c>
      <c r="C10" s="40" t="s">
        <v>161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162</v>
      </c>
      <c r="C11" s="16" t="s">
        <v>163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162</v>
      </c>
      <c r="C12" s="40" t="s">
        <v>164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162</v>
      </c>
      <c r="C13" s="16" t="s">
        <v>165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155</v>
      </c>
      <c r="C14" s="40" t="s">
        <v>166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155</v>
      </c>
      <c r="C15" s="16" t="s">
        <v>167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155</v>
      </c>
      <c r="C16" s="40" t="s">
        <v>168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155</v>
      </c>
      <c r="C17" s="16" t="s">
        <v>169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155</v>
      </c>
      <c r="C18" s="40" t="s">
        <v>170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155</v>
      </c>
      <c r="C19" s="16" t="s">
        <v>171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155</v>
      </c>
      <c r="C20" s="40" t="s">
        <v>172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155</v>
      </c>
      <c r="C21" s="16" t="s">
        <v>173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155</v>
      </c>
      <c r="C22" s="40" t="s">
        <v>174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155</v>
      </c>
      <c r="C23" s="16" t="s">
        <v>175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155</v>
      </c>
      <c r="C24" s="40" t="s">
        <v>176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155</v>
      </c>
      <c r="C25" s="16" t="s">
        <v>177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155</v>
      </c>
      <c r="C26" s="40" t="s">
        <v>178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155</v>
      </c>
      <c r="C27" s="16" t="s">
        <v>179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155</v>
      </c>
      <c r="C28" s="40" t="s">
        <v>180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155</v>
      </c>
      <c r="C29" s="16" t="s">
        <v>181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155</v>
      </c>
      <c r="C30" s="40" t="s">
        <v>182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155</v>
      </c>
      <c r="C31" s="16" t="s">
        <v>183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155</v>
      </c>
      <c r="C32" s="40" t="s">
        <v>184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false" customHeight="true" outlineLevel="0" collapsed="false">
      <c r="A33" s="16" t="s">
        <v>55</v>
      </c>
      <c r="B33" s="16" t="s">
        <v>155</v>
      </c>
      <c r="C33" s="16" t="s">
        <v>185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155</v>
      </c>
      <c r="C34" s="40" t="s">
        <v>186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155</v>
      </c>
      <c r="C35" s="16" t="s">
        <v>156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155</v>
      </c>
      <c r="C36" s="40" t="s">
        <v>157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155</v>
      </c>
      <c r="C37" s="16" t="s">
        <v>158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155</v>
      </c>
      <c r="C38" s="40" t="s">
        <v>159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155</v>
      </c>
      <c r="C39" s="16" t="s">
        <v>160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155</v>
      </c>
      <c r="C40" s="40" t="s">
        <v>161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162</v>
      </c>
      <c r="C41" s="16" t="s">
        <v>163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162</v>
      </c>
      <c r="C42" s="40" t="s">
        <v>164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162</v>
      </c>
      <c r="C43" s="16" t="s">
        <v>165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155</v>
      </c>
      <c r="C44" s="40" t="s">
        <v>166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155</v>
      </c>
      <c r="C45" s="16" t="s">
        <v>167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155</v>
      </c>
      <c r="C46" s="40" t="s">
        <v>168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155</v>
      </c>
      <c r="C47" s="16" t="s">
        <v>169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155</v>
      </c>
      <c r="C48" s="40" t="s">
        <v>170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155</v>
      </c>
      <c r="C49" s="16" t="s">
        <v>171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155</v>
      </c>
      <c r="C50" s="40" t="s">
        <v>156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155</v>
      </c>
      <c r="C51" s="16" t="s">
        <v>157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155</v>
      </c>
      <c r="C52" s="40" t="s">
        <v>158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155</v>
      </c>
      <c r="C53" s="16" t="s">
        <v>159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155</v>
      </c>
      <c r="C54" s="40" t="s">
        <v>160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155</v>
      </c>
      <c r="C55" s="16" t="s">
        <v>161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162</v>
      </c>
      <c r="C56" s="40" t="s">
        <v>163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162</v>
      </c>
      <c r="C57" s="16" t="s">
        <v>164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162</v>
      </c>
      <c r="C58" s="40" t="s">
        <v>165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155</v>
      </c>
      <c r="C59" s="16" t="s">
        <v>166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155</v>
      </c>
      <c r="C60" s="40" t="s">
        <v>187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155</v>
      </c>
      <c r="C61" s="16" t="s">
        <v>188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155</v>
      </c>
      <c r="C62" s="40" t="s">
        <v>189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155</v>
      </c>
      <c r="C63" s="16" t="s">
        <v>190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162</v>
      </c>
      <c r="C64" s="40" t="s">
        <v>191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162</v>
      </c>
      <c r="C65" s="16" t="s">
        <v>192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155</v>
      </c>
      <c r="C66" s="40" t="s">
        <v>193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162</v>
      </c>
      <c r="C67" s="16" t="s">
        <v>194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155</v>
      </c>
      <c r="C68" s="40" t="s">
        <v>167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155</v>
      </c>
      <c r="C69" s="16" t="s">
        <v>168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155</v>
      </c>
      <c r="C70" s="40" t="s">
        <v>169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155</v>
      </c>
      <c r="C71" s="16" t="s">
        <v>170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155</v>
      </c>
      <c r="C72" s="40" t="s">
        <v>171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162</v>
      </c>
      <c r="C73" s="16" t="s">
        <v>194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162</v>
      </c>
      <c r="C74" s="40" t="s">
        <v>195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155</v>
      </c>
      <c r="C75" s="16" t="s">
        <v>196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155</v>
      </c>
      <c r="C76" s="40" t="s">
        <v>197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155</v>
      </c>
      <c r="C77" s="16" t="s">
        <v>198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155</v>
      </c>
      <c r="C78" s="40" t="s">
        <v>170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155</v>
      </c>
      <c r="C79" s="16" t="s">
        <v>171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155</v>
      </c>
      <c r="C80" s="40" t="s">
        <v>169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162</v>
      </c>
      <c r="C81" s="16" t="s">
        <v>199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162</v>
      </c>
      <c r="C82" s="40" t="s">
        <v>200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162</v>
      </c>
      <c r="C83" s="16" t="s">
        <v>201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162</v>
      </c>
      <c r="C84" s="40" t="s">
        <v>202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162</v>
      </c>
      <c r="C85" s="16" t="s">
        <v>203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155</v>
      </c>
      <c r="C86" s="40" t="s">
        <v>167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155</v>
      </c>
      <c r="C87" s="16" t="s">
        <v>168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162</v>
      </c>
      <c r="C88" s="40" t="s">
        <v>204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155</v>
      </c>
      <c r="C89" s="16" t="s">
        <v>205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155</v>
      </c>
      <c r="C90" s="40" t="s">
        <v>206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155</v>
      </c>
      <c r="C91" s="16" t="s">
        <v>207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155</v>
      </c>
      <c r="C92" s="40" t="s">
        <v>208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155</v>
      </c>
      <c r="C93" s="16" t="s">
        <v>156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155</v>
      </c>
      <c r="C94" s="40" t="s">
        <v>157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155</v>
      </c>
      <c r="C95" s="16" t="s">
        <v>158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155</v>
      </c>
      <c r="C96" s="40" t="s">
        <v>160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155</v>
      </c>
      <c r="C97" s="16" t="s">
        <v>161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162</v>
      </c>
      <c r="C98" s="40" t="s">
        <v>209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162</v>
      </c>
      <c r="C99" s="16" t="s">
        <v>165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155</v>
      </c>
      <c r="C100" s="40" t="s">
        <v>166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155</v>
      </c>
      <c r="C101" s="16" t="s">
        <v>167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155</v>
      </c>
      <c r="C102" s="40" t="s">
        <v>168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155</v>
      </c>
      <c r="C103" s="16" t="s">
        <v>169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155</v>
      </c>
      <c r="C104" s="40" t="s">
        <v>170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155</v>
      </c>
      <c r="C105" s="16" t="s">
        <v>171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155</v>
      </c>
      <c r="C106" s="40" t="s">
        <v>156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155</v>
      </c>
      <c r="C107" s="16" t="s">
        <v>157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155</v>
      </c>
      <c r="C108" s="40" t="s">
        <v>158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155</v>
      </c>
      <c r="C109" s="16" t="s">
        <v>159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155</v>
      </c>
      <c r="C110" s="40" t="s">
        <v>160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155</v>
      </c>
      <c r="C111" s="16" t="s">
        <v>161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162</v>
      </c>
      <c r="C112" s="40" t="s">
        <v>210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162</v>
      </c>
      <c r="C113" s="16" t="s">
        <v>163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162</v>
      </c>
      <c r="C114" s="40" t="s">
        <v>164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155</v>
      </c>
      <c r="C115" s="16" t="s">
        <v>166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155</v>
      </c>
      <c r="C116" s="40" t="s">
        <v>167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155</v>
      </c>
      <c r="C117" s="16" t="s">
        <v>168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155</v>
      </c>
      <c r="C118" s="40" t="s">
        <v>169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155</v>
      </c>
      <c r="C119" s="16" t="s">
        <v>170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155</v>
      </c>
      <c r="C120" s="40" t="s">
        <v>171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162</v>
      </c>
      <c r="C121" s="16" t="s">
        <v>211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155</v>
      </c>
      <c r="C122" s="40" t="s">
        <v>156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155</v>
      </c>
      <c r="C123" s="16" t="s">
        <v>157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155</v>
      </c>
      <c r="C124" s="40" t="s">
        <v>158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155</v>
      </c>
      <c r="C125" s="16" t="s">
        <v>159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155</v>
      </c>
      <c r="C126" s="40" t="s">
        <v>212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155</v>
      </c>
      <c r="C127" s="16" t="s">
        <v>161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155</v>
      </c>
      <c r="C128" s="40" t="s">
        <v>167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155</v>
      </c>
      <c r="C129" s="16" t="s">
        <v>168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155</v>
      </c>
      <c r="C130" s="40" t="s">
        <v>169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155</v>
      </c>
      <c r="C131" s="16" t="s">
        <v>170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155</v>
      </c>
      <c r="C132" s="40" t="s">
        <v>171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155</v>
      </c>
      <c r="C133" s="16" t="s">
        <v>156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155</v>
      </c>
      <c r="C134" s="40" t="s">
        <v>157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155</v>
      </c>
      <c r="C135" s="16" t="s">
        <v>158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155</v>
      </c>
      <c r="C136" s="40" t="s">
        <v>159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155</v>
      </c>
      <c r="C137" s="16" t="s">
        <v>160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155</v>
      </c>
      <c r="C138" s="40" t="s">
        <v>161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162</v>
      </c>
      <c r="C139" s="16" t="s">
        <v>213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162</v>
      </c>
      <c r="C140" s="40" t="s">
        <v>214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162</v>
      </c>
      <c r="C141" s="16" t="s">
        <v>163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162</v>
      </c>
      <c r="C142" s="40" t="s">
        <v>164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155</v>
      </c>
      <c r="C143" s="16" t="s">
        <v>166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155</v>
      </c>
      <c r="C144" s="40" t="s">
        <v>167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155</v>
      </c>
      <c r="C145" s="16" t="s">
        <v>168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155</v>
      </c>
      <c r="C146" s="40" t="s">
        <v>169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155</v>
      </c>
      <c r="C147" s="16" t="s">
        <v>170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155</v>
      </c>
      <c r="C148" s="40" t="s">
        <v>171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155</v>
      </c>
      <c r="C149" s="16" t="s">
        <v>156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155</v>
      </c>
      <c r="C150" s="40" t="s">
        <v>157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155</v>
      </c>
      <c r="C151" s="16" t="s">
        <v>158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155</v>
      </c>
      <c r="C152" s="40" t="s">
        <v>159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155</v>
      </c>
      <c r="C153" s="16" t="s">
        <v>160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155</v>
      </c>
      <c r="C154" s="40" t="s">
        <v>161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162</v>
      </c>
      <c r="C155" s="16" t="s">
        <v>215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162</v>
      </c>
      <c r="C156" s="40" t="s">
        <v>163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162</v>
      </c>
      <c r="C157" s="16" t="s">
        <v>164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155</v>
      </c>
      <c r="C158" s="40" t="s">
        <v>166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155</v>
      </c>
      <c r="C159" s="16" t="s">
        <v>167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155</v>
      </c>
      <c r="C160" s="40" t="s">
        <v>168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155</v>
      </c>
      <c r="C161" s="16" t="s">
        <v>169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155</v>
      </c>
      <c r="C162" s="40" t="s">
        <v>170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155</v>
      </c>
      <c r="C163" s="16" t="s">
        <v>171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155</v>
      </c>
      <c r="C164" s="40" t="s">
        <v>156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155</v>
      </c>
      <c r="C165" s="16" t="s">
        <v>157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155</v>
      </c>
      <c r="C166" s="40" t="s">
        <v>193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155</v>
      </c>
      <c r="C167" s="16" t="s">
        <v>158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155</v>
      </c>
      <c r="C168" s="40" t="s">
        <v>160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155</v>
      </c>
      <c r="C169" s="16" t="s">
        <v>161</v>
      </c>
      <c r="D169" s="38" t="n">
        <v>1</v>
      </c>
      <c r="E169" s="39" t="n">
        <v>58274.98</v>
      </c>
      <c r="F169" s="22" t="n">
        <f aca="false">IFERROR(E169,0)</f>
        <v>58274.98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162</v>
      </c>
      <c r="C170" s="40" t="s">
        <v>216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162</v>
      </c>
      <c r="C171" s="16" t="s">
        <v>163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162</v>
      </c>
      <c r="C172" s="40" t="s">
        <v>164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162</v>
      </c>
      <c r="C173" s="16" t="s">
        <v>209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155</v>
      </c>
      <c r="C174" s="40" t="s">
        <v>166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162</v>
      </c>
      <c r="C175" s="16" t="s">
        <v>217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155</v>
      </c>
      <c r="C176" s="40" t="s">
        <v>167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155</v>
      </c>
      <c r="C177" s="16" t="s">
        <v>168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155</v>
      </c>
      <c r="C178" s="40" t="s">
        <v>169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155</v>
      </c>
      <c r="C179" s="16" t="s">
        <v>170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155</v>
      </c>
      <c r="C180" s="40" t="s">
        <v>171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155</v>
      </c>
      <c r="C181" s="16" t="s">
        <v>156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155</v>
      </c>
      <c r="C182" s="40" t="s">
        <v>157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155</v>
      </c>
      <c r="C183" s="16" t="s">
        <v>158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155</v>
      </c>
      <c r="C184" s="40" t="s">
        <v>160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155</v>
      </c>
      <c r="C185" s="16" t="s">
        <v>161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162</v>
      </c>
      <c r="C186" s="40" t="s">
        <v>218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162</v>
      </c>
      <c r="C187" s="16" t="s">
        <v>163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162</v>
      </c>
      <c r="C188" s="40" t="s">
        <v>164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162</v>
      </c>
      <c r="C189" s="16" t="s">
        <v>209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162</v>
      </c>
      <c r="C190" s="40" t="s">
        <v>165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155</v>
      </c>
      <c r="C191" s="16" t="s">
        <v>166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155</v>
      </c>
      <c r="C192" s="40" t="s">
        <v>167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155</v>
      </c>
      <c r="C193" s="16" t="s">
        <v>168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155</v>
      </c>
      <c r="C194" s="40" t="s">
        <v>169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155</v>
      </c>
      <c r="C195" s="16" t="s">
        <v>170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155</v>
      </c>
      <c r="C196" s="40" t="s">
        <v>171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155</v>
      </c>
      <c r="C197" s="16" t="s">
        <v>156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155</v>
      </c>
      <c r="C198" s="40" t="s">
        <v>157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155</v>
      </c>
      <c r="C199" s="16" t="s">
        <v>158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155</v>
      </c>
      <c r="C200" s="40" t="s">
        <v>159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155</v>
      </c>
      <c r="C201" s="16" t="s">
        <v>160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155</v>
      </c>
      <c r="C202" s="40" t="s">
        <v>161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155</v>
      </c>
      <c r="C203" s="16" t="s">
        <v>219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162</v>
      </c>
      <c r="C204" s="40" t="s">
        <v>163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162</v>
      </c>
      <c r="C205" s="16" t="s">
        <v>164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155</v>
      </c>
      <c r="C206" s="40" t="s">
        <v>166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155</v>
      </c>
      <c r="C207" s="16" t="s">
        <v>167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155</v>
      </c>
      <c r="C208" s="40" t="s">
        <v>168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155</v>
      </c>
      <c r="C209" s="16" t="s">
        <v>169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155</v>
      </c>
      <c r="C210" s="40" t="s">
        <v>170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155</v>
      </c>
      <c r="C211" s="16" t="s">
        <v>171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155</v>
      </c>
      <c r="C212" s="40" t="s">
        <v>159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155</v>
      </c>
      <c r="C213" s="16" t="s">
        <v>156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155</v>
      </c>
      <c r="C214" s="40" t="s">
        <v>157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155</v>
      </c>
      <c r="C215" s="16" t="s">
        <v>158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155</v>
      </c>
      <c r="C216" s="40" t="s">
        <v>159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155</v>
      </c>
      <c r="C217" s="16" t="s">
        <v>160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155</v>
      </c>
      <c r="C218" s="40" t="s">
        <v>161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162</v>
      </c>
      <c r="C219" s="16" t="s">
        <v>217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162</v>
      </c>
      <c r="C220" s="40" t="s">
        <v>220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162</v>
      </c>
      <c r="C221" s="16" t="s">
        <v>163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162</v>
      </c>
      <c r="C222" s="40" t="s">
        <v>164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162</v>
      </c>
      <c r="C223" s="16" t="s">
        <v>221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162</v>
      </c>
      <c r="C224" s="40" t="s">
        <v>209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155</v>
      </c>
      <c r="C225" s="16" t="s">
        <v>166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155</v>
      </c>
      <c r="C226" s="40" t="s">
        <v>167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155</v>
      </c>
      <c r="C227" s="16" t="s">
        <v>168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155</v>
      </c>
      <c r="C228" s="40" t="s">
        <v>169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155</v>
      </c>
      <c r="C229" s="16" t="s">
        <v>170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155</v>
      </c>
      <c r="C230" s="40" t="s">
        <v>171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155</v>
      </c>
      <c r="C231" s="16" t="s">
        <v>156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155</v>
      </c>
      <c r="C232" s="40" t="s">
        <v>157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155</v>
      </c>
      <c r="C233" s="16" t="s">
        <v>159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155</v>
      </c>
      <c r="C234" s="40" t="s">
        <v>160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155</v>
      </c>
      <c r="C235" s="16" t="s">
        <v>161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162</v>
      </c>
      <c r="C236" s="40" t="s">
        <v>218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162</v>
      </c>
      <c r="C237" s="16" t="s">
        <v>221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162</v>
      </c>
      <c r="C238" s="40" t="s">
        <v>222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155</v>
      </c>
      <c r="C239" s="16" t="s">
        <v>166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162</v>
      </c>
      <c r="C240" s="40" t="s">
        <v>217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155</v>
      </c>
      <c r="C241" s="16" t="s">
        <v>167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155</v>
      </c>
      <c r="C242" s="40" t="s">
        <v>168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155</v>
      </c>
      <c r="C243" s="16" t="s">
        <v>169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155</v>
      </c>
      <c r="C244" s="40" t="s">
        <v>170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155</v>
      </c>
      <c r="C245" s="16" t="s">
        <v>171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155</v>
      </c>
      <c r="C246" s="40" t="s">
        <v>156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155</v>
      </c>
      <c r="C247" s="16" t="s">
        <v>157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155</v>
      </c>
      <c r="C248" s="40" t="s">
        <v>158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155</v>
      </c>
      <c r="C249" s="16" t="s">
        <v>159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155</v>
      </c>
      <c r="C250" s="40" t="s">
        <v>160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155</v>
      </c>
      <c r="C251" s="16" t="s">
        <v>161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155</v>
      </c>
      <c r="C252" s="40" t="s">
        <v>166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162</v>
      </c>
      <c r="C253" s="16" t="s">
        <v>217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155</v>
      </c>
      <c r="C254" s="40" t="s">
        <v>167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155</v>
      </c>
      <c r="C255" s="16" t="s">
        <v>168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155</v>
      </c>
      <c r="C256" s="40" t="s">
        <v>169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155</v>
      </c>
      <c r="C257" s="16" t="s">
        <v>170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155</v>
      </c>
      <c r="C258" s="40" t="s">
        <v>171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155</v>
      </c>
      <c r="C259" s="16" t="s">
        <v>156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155</v>
      </c>
      <c r="C260" s="40" t="s">
        <v>157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155</v>
      </c>
      <c r="C261" s="16" t="s">
        <v>158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155</v>
      </c>
      <c r="C262" s="40" t="s">
        <v>159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155</v>
      </c>
      <c r="C263" s="16" t="s">
        <v>160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155</v>
      </c>
      <c r="C264" s="40" t="s">
        <v>161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155</v>
      </c>
      <c r="C265" s="16" t="s">
        <v>223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162</v>
      </c>
      <c r="C266" s="40" t="s">
        <v>163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162</v>
      </c>
      <c r="C267" s="16" t="s">
        <v>164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162</v>
      </c>
      <c r="C268" s="40" t="s">
        <v>165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155</v>
      </c>
      <c r="C269" s="16" t="s">
        <v>166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155</v>
      </c>
      <c r="C270" s="40" t="s">
        <v>187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155</v>
      </c>
      <c r="C271" s="16" t="s">
        <v>188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155</v>
      </c>
      <c r="C272" s="40" t="s">
        <v>189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155</v>
      </c>
      <c r="C273" s="16" t="s">
        <v>190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162</v>
      </c>
      <c r="C274" s="40" t="s">
        <v>191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162</v>
      </c>
      <c r="C275" s="16" t="s">
        <v>192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155</v>
      </c>
      <c r="C276" s="40" t="s">
        <v>193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162</v>
      </c>
      <c r="C277" s="16" t="s">
        <v>194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155</v>
      </c>
      <c r="C278" s="40" t="s">
        <v>167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155</v>
      </c>
      <c r="C279" s="16" t="s">
        <v>168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155</v>
      </c>
      <c r="C280" s="40" t="s">
        <v>169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155</v>
      </c>
      <c r="C281" s="16" t="s">
        <v>170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155</v>
      </c>
      <c r="C282" s="40" t="s">
        <v>171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155</v>
      </c>
      <c r="C283" s="16" t="s">
        <v>156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155</v>
      </c>
      <c r="C284" s="40" t="s">
        <v>157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155</v>
      </c>
      <c r="C285" s="16" t="s">
        <v>159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155</v>
      </c>
      <c r="C286" s="40" t="s">
        <v>160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155</v>
      </c>
      <c r="C287" s="16" t="s">
        <v>161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162</v>
      </c>
      <c r="C288" s="40" t="s">
        <v>218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162</v>
      </c>
      <c r="C289" s="16" t="s">
        <v>221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155</v>
      </c>
      <c r="C290" s="40" t="s">
        <v>166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162</v>
      </c>
      <c r="C291" s="16" t="s">
        <v>217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155</v>
      </c>
      <c r="C292" s="40" t="s">
        <v>167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155</v>
      </c>
      <c r="C293" s="16" t="s">
        <v>168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155</v>
      </c>
      <c r="C294" s="40" t="s">
        <v>169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155</v>
      </c>
      <c r="C295" s="16" t="s">
        <v>170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155</v>
      </c>
      <c r="C296" s="40" t="s">
        <v>171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155</v>
      </c>
      <c r="C297" s="16" t="s">
        <v>159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155</v>
      </c>
      <c r="C298" s="40" t="s">
        <v>156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155</v>
      </c>
      <c r="C299" s="16" t="s">
        <v>157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155</v>
      </c>
      <c r="C300" s="40" t="s">
        <v>158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155</v>
      </c>
      <c r="C301" s="16" t="s">
        <v>159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155</v>
      </c>
      <c r="C302" s="40" t="s">
        <v>160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155</v>
      </c>
      <c r="C303" s="16" t="s">
        <v>161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155</v>
      </c>
      <c r="C304" s="40" t="s">
        <v>224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162</v>
      </c>
      <c r="C305" s="16" t="s">
        <v>217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162</v>
      </c>
      <c r="C306" s="40" t="s">
        <v>220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162</v>
      </c>
      <c r="C307" s="16" t="s">
        <v>209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162</v>
      </c>
      <c r="C308" s="40" t="s">
        <v>165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155</v>
      </c>
      <c r="C309" s="16" t="s">
        <v>167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155</v>
      </c>
      <c r="C310" s="40" t="s">
        <v>168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155</v>
      </c>
      <c r="C311" s="16" t="s">
        <v>169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155</v>
      </c>
      <c r="C312" s="40" t="s">
        <v>170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155</v>
      </c>
      <c r="C313" s="16" t="s">
        <v>171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155</v>
      </c>
      <c r="C314" s="40" t="s">
        <v>156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155</v>
      </c>
      <c r="C315" s="16" t="s">
        <v>157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155</v>
      </c>
      <c r="C316" s="40" t="s">
        <v>158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155</v>
      </c>
      <c r="C317" s="16" t="s">
        <v>159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155</v>
      </c>
      <c r="C318" s="40" t="s">
        <v>160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155</v>
      </c>
      <c r="C319" s="16" t="s">
        <v>161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162</v>
      </c>
      <c r="C320" s="40" t="s">
        <v>225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162</v>
      </c>
      <c r="C321" s="16" t="s">
        <v>226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155</v>
      </c>
      <c r="C322" s="40" t="s">
        <v>227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162</v>
      </c>
      <c r="C323" s="16" t="s">
        <v>228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155</v>
      </c>
      <c r="C324" s="40" t="s">
        <v>229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155</v>
      </c>
      <c r="C325" s="16" t="s">
        <v>230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155</v>
      </c>
      <c r="C326" s="40" t="s">
        <v>166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155</v>
      </c>
      <c r="C327" s="16" t="s">
        <v>167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155</v>
      </c>
      <c r="C328" s="40" t="s">
        <v>168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155</v>
      </c>
      <c r="C329" s="16" t="s">
        <v>169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155</v>
      </c>
      <c r="C330" s="40" t="s">
        <v>170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155</v>
      </c>
      <c r="C331" s="16" t="s">
        <v>171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155</v>
      </c>
      <c r="C332" s="40" t="s">
        <v>156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155</v>
      </c>
      <c r="C333" s="16" t="s">
        <v>157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155</v>
      </c>
      <c r="C334" s="40" t="s">
        <v>158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155</v>
      </c>
      <c r="C335" s="16" t="s">
        <v>159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155</v>
      </c>
      <c r="C336" s="40" t="s">
        <v>160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155</v>
      </c>
      <c r="C337" s="16" t="s">
        <v>161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155</v>
      </c>
      <c r="C338" s="40" t="s">
        <v>223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162</v>
      </c>
      <c r="C339" s="16" t="s">
        <v>231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162</v>
      </c>
      <c r="C340" s="40" t="s">
        <v>163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162</v>
      </c>
      <c r="C341" s="16" t="s">
        <v>164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162</v>
      </c>
      <c r="C342" s="40" t="s">
        <v>165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155</v>
      </c>
      <c r="C343" s="16" t="s">
        <v>166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155</v>
      </c>
      <c r="C344" s="40" t="s">
        <v>187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155</v>
      </c>
      <c r="C345" s="16" t="s">
        <v>188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155</v>
      </c>
      <c r="C346" s="40" t="s">
        <v>189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155</v>
      </c>
      <c r="C347" s="16" t="s">
        <v>190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162</v>
      </c>
      <c r="C348" s="40" t="s">
        <v>191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162</v>
      </c>
      <c r="C349" s="16" t="s">
        <v>192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155</v>
      </c>
      <c r="C350" s="40" t="s">
        <v>193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162</v>
      </c>
      <c r="C351" s="16" t="s">
        <v>194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155</v>
      </c>
      <c r="C352" s="40" t="s">
        <v>167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155</v>
      </c>
      <c r="C353" s="16" t="s">
        <v>168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155</v>
      </c>
      <c r="C354" s="40" t="s">
        <v>169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155</v>
      </c>
      <c r="C355" s="16" t="s">
        <v>170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155</v>
      </c>
      <c r="C356" s="40" t="s">
        <v>171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155</v>
      </c>
      <c r="C357" s="16" t="s">
        <v>159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155</v>
      </c>
      <c r="C358" s="40" t="s">
        <v>156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155</v>
      </c>
      <c r="C359" s="16" t="s">
        <v>157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155</v>
      </c>
      <c r="C360" s="40" t="s">
        <v>158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155</v>
      </c>
      <c r="C361" s="16" t="s">
        <v>159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155</v>
      </c>
      <c r="C362" s="40" t="s">
        <v>160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155</v>
      </c>
      <c r="C363" s="16" t="s">
        <v>161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162</v>
      </c>
      <c r="C364" s="40" t="s">
        <v>221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162</v>
      </c>
      <c r="C365" s="16" t="s">
        <v>165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162</v>
      </c>
      <c r="C366" s="40" t="s">
        <v>163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162</v>
      </c>
      <c r="C367" s="16" t="s">
        <v>164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162</v>
      </c>
      <c r="C368" s="40" t="s">
        <v>209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162</v>
      </c>
      <c r="C369" s="16" t="s">
        <v>232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155</v>
      </c>
      <c r="C370" s="40" t="s">
        <v>166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162</v>
      </c>
      <c r="C371" s="16" t="s">
        <v>217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155</v>
      </c>
      <c r="C372" s="40" t="s">
        <v>167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155</v>
      </c>
      <c r="C373" s="16" t="s">
        <v>168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155</v>
      </c>
      <c r="C374" s="40" t="s">
        <v>169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155</v>
      </c>
      <c r="C375" s="16" t="s">
        <v>170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155</v>
      </c>
      <c r="C376" s="40" t="s">
        <v>171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155</v>
      </c>
      <c r="C377" s="16" t="s">
        <v>156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155</v>
      </c>
      <c r="C378" s="40" t="s">
        <v>157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155</v>
      </c>
      <c r="C379" s="16" t="s">
        <v>158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155</v>
      </c>
      <c r="C380" s="40" t="s">
        <v>159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155</v>
      </c>
      <c r="C381" s="16" t="s">
        <v>160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155</v>
      </c>
      <c r="C382" s="40" t="s">
        <v>161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155</v>
      </c>
      <c r="C383" s="16" t="s">
        <v>166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155</v>
      </c>
      <c r="C384" s="40" t="s">
        <v>233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155</v>
      </c>
      <c r="C385" s="16" t="s">
        <v>187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155</v>
      </c>
      <c r="C386" s="40" t="s">
        <v>188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155</v>
      </c>
      <c r="C387" s="16" t="s">
        <v>189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155</v>
      </c>
      <c r="C388" s="40" t="s">
        <v>190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162</v>
      </c>
      <c r="C389" s="16" t="s">
        <v>191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162</v>
      </c>
      <c r="C390" s="40" t="s">
        <v>192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155</v>
      </c>
      <c r="C391" s="16" t="s">
        <v>193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162</v>
      </c>
      <c r="C392" s="40" t="s">
        <v>194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155</v>
      </c>
      <c r="C393" s="16" t="s">
        <v>167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155</v>
      </c>
      <c r="C394" s="40" t="s">
        <v>168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155</v>
      </c>
      <c r="C395" s="16" t="s">
        <v>169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155</v>
      </c>
      <c r="C396" s="40" t="s">
        <v>170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155</v>
      </c>
      <c r="C397" s="16" t="s">
        <v>171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155</v>
      </c>
      <c r="C398" s="40" t="s">
        <v>156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155</v>
      </c>
      <c r="C399" s="16" t="s">
        <v>157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155</v>
      </c>
      <c r="C400" s="40" t="s">
        <v>158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155</v>
      </c>
      <c r="C401" s="16" t="s">
        <v>159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155</v>
      </c>
      <c r="C402" s="40" t="s">
        <v>160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155</v>
      </c>
      <c r="C403" s="16" t="s">
        <v>161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155</v>
      </c>
      <c r="C404" s="40" t="s">
        <v>166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155</v>
      </c>
      <c r="C405" s="16" t="s">
        <v>187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155</v>
      </c>
      <c r="C406" s="40" t="s">
        <v>188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155</v>
      </c>
      <c r="C407" s="16" t="s">
        <v>189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155</v>
      </c>
      <c r="C408" s="40" t="s">
        <v>190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162</v>
      </c>
      <c r="C409" s="16" t="s">
        <v>191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162</v>
      </c>
      <c r="C410" s="40" t="s">
        <v>192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155</v>
      </c>
      <c r="C411" s="16" t="s">
        <v>193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162</v>
      </c>
      <c r="C412" s="40" t="s">
        <v>194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155</v>
      </c>
      <c r="C413" s="16" t="s">
        <v>167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155</v>
      </c>
      <c r="C414" s="40" t="s">
        <v>168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155</v>
      </c>
      <c r="C415" s="16" t="s">
        <v>169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155</v>
      </c>
      <c r="C416" s="40" t="s">
        <v>170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155</v>
      </c>
      <c r="C417" s="16" t="s">
        <v>171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155</v>
      </c>
      <c r="C418" s="40" t="s">
        <v>156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155</v>
      </c>
      <c r="C419" s="16" t="s">
        <v>157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155</v>
      </c>
      <c r="C420" s="40" t="s">
        <v>158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155</v>
      </c>
      <c r="C421" s="16" t="s">
        <v>159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155</v>
      </c>
      <c r="C422" s="40" t="s">
        <v>160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155</v>
      </c>
      <c r="C423" s="16" t="s">
        <v>161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155</v>
      </c>
      <c r="C424" s="40" t="s">
        <v>166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162</v>
      </c>
      <c r="C425" s="16" t="s">
        <v>234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155</v>
      </c>
      <c r="C426" s="40" t="s">
        <v>235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155</v>
      </c>
      <c r="C427" s="16" t="s">
        <v>188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155</v>
      </c>
      <c r="C428" s="40" t="s">
        <v>189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155</v>
      </c>
      <c r="C429" s="16" t="s">
        <v>190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162</v>
      </c>
      <c r="C430" s="40" t="s">
        <v>191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162</v>
      </c>
      <c r="C431" s="16" t="s">
        <v>192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155</v>
      </c>
      <c r="C432" s="40" t="s">
        <v>193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162</v>
      </c>
      <c r="C433" s="16" t="s">
        <v>194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155</v>
      </c>
      <c r="C434" s="40" t="s">
        <v>167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155</v>
      </c>
      <c r="C435" s="16" t="s">
        <v>168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155</v>
      </c>
      <c r="C436" s="40" t="s">
        <v>169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155</v>
      </c>
      <c r="C437" s="16" t="s">
        <v>170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155</v>
      </c>
      <c r="C438" s="40" t="s">
        <v>171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162</v>
      </c>
      <c r="C439" s="16" t="s">
        <v>217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162</v>
      </c>
      <c r="C440" s="40" t="s">
        <v>217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162</v>
      </c>
      <c r="C441" s="16" t="s">
        <v>217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162</v>
      </c>
      <c r="C442" s="40" t="s">
        <v>165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162</v>
      </c>
      <c r="C443" s="16" t="s">
        <v>222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162</v>
      </c>
      <c r="C444" s="40" t="s">
        <v>222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false" customHeight="true" outlineLevel="0" collapsed="false">
      <c r="A445" s="16" t="s">
        <v>55</v>
      </c>
      <c r="B445" s="16" t="s">
        <v>155</v>
      </c>
      <c r="C445" s="16" t="s">
        <v>236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155</v>
      </c>
      <c r="C446" s="40" t="s">
        <v>161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155</v>
      </c>
      <c r="C447" s="16" t="s">
        <v>157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155</v>
      </c>
      <c r="C448" s="40" t="s">
        <v>161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155</v>
      </c>
      <c r="C449" s="16" t="s">
        <v>161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162</v>
      </c>
      <c r="C450" s="40" t="s">
        <v>217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155</v>
      </c>
      <c r="C451" s="16" t="s">
        <v>161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155</v>
      </c>
      <c r="C452" s="40" t="s">
        <v>161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155</v>
      </c>
      <c r="C453" s="16" t="s">
        <v>161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155</v>
      </c>
      <c r="C454" s="40" t="s">
        <v>161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162</v>
      </c>
      <c r="C455" s="16" t="s">
        <v>217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162</v>
      </c>
      <c r="C456" s="40" t="s">
        <v>221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162</v>
      </c>
      <c r="C457" s="16" t="s">
        <v>222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155</v>
      </c>
      <c r="C458" s="40" t="s">
        <v>161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162</v>
      </c>
      <c r="C459" s="16" t="s">
        <v>217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162</v>
      </c>
      <c r="C460" s="40" t="s">
        <v>221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155</v>
      </c>
      <c r="C461" s="16" t="s">
        <v>161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155</v>
      </c>
      <c r="C462" s="40" t="s">
        <v>167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155</v>
      </c>
      <c r="C463" s="16" t="s">
        <v>168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155</v>
      </c>
      <c r="C464" s="40" t="s">
        <v>166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155</v>
      </c>
      <c r="C465" s="16" t="s">
        <v>170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155</v>
      </c>
      <c r="C466" s="40" t="s">
        <v>171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155</v>
      </c>
      <c r="C467" s="16" t="s">
        <v>169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155</v>
      </c>
      <c r="C468" s="40" t="s">
        <v>167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155</v>
      </c>
      <c r="C469" s="16" t="s">
        <v>168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155</v>
      </c>
      <c r="C470" s="40" t="s">
        <v>166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155</v>
      </c>
      <c r="C471" s="16" t="s">
        <v>170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155</v>
      </c>
      <c r="C472" s="40" t="s">
        <v>171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155</v>
      </c>
      <c r="C473" s="16" t="s">
        <v>169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155</v>
      </c>
      <c r="C474" s="40" t="s">
        <v>167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155</v>
      </c>
      <c r="C475" s="16" t="s">
        <v>168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155</v>
      </c>
      <c r="C476" s="40" t="s">
        <v>166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155</v>
      </c>
      <c r="C477" s="16" t="s">
        <v>170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155</v>
      </c>
      <c r="C478" s="40" t="s">
        <v>171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155</v>
      </c>
      <c r="C479" s="16" t="s">
        <v>169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155</v>
      </c>
      <c r="C480" s="40" t="s">
        <v>167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155</v>
      </c>
      <c r="C481" s="16" t="s">
        <v>168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155</v>
      </c>
      <c r="C482" s="40" t="s">
        <v>166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155</v>
      </c>
      <c r="C483" s="16" t="s">
        <v>170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155</v>
      </c>
      <c r="C484" s="40" t="s">
        <v>171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155</v>
      </c>
      <c r="C485" s="16" t="s">
        <v>169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155</v>
      </c>
      <c r="C486" s="40" t="s">
        <v>167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155</v>
      </c>
      <c r="C487" s="16" t="s">
        <v>168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155</v>
      </c>
      <c r="C488" s="40" t="s">
        <v>166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155</v>
      </c>
      <c r="C489" s="16" t="s">
        <v>170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155</v>
      </c>
      <c r="C490" s="40" t="s">
        <v>171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155</v>
      </c>
      <c r="C491" s="16" t="s">
        <v>169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155</v>
      </c>
      <c r="C492" s="40" t="s">
        <v>167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155</v>
      </c>
      <c r="C493" s="16" t="s">
        <v>168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155</v>
      </c>
      <c r="C494" s="40" t="s">
        <v>166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155</v>
      </c>
      <c r="C495" s="16" t="s">
        <v>170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155</v>
      </c>
      <c r="C496" s="40" t="s">
        <v>171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155</v>
      </c>
      <c r="C497" s="16" t="s">
        <v>169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155</v>
      </c>
      <c r="C498" s="40" t="s">
        <v>167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155</v>
      </c>
      <c r="C499" s="16" t="s">
        <v>168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155</v>
      </c>
      <c r="C500" s="40" t="s">
        <v>166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155</v>
      </c>
      <c r="C501" s="16" t="s">
        <v>170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155</v>
      </c>
      <c r="C502" s="40" t="s">
        <v>171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155</v>
      </c>
      <c r="C503" s="16" t="s">
        <v>169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155</v>
      </c>
      <c r="C504" s="40" t="s">
        <v>167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155</v>
      </c>
      <c r="C505" s="16" t="s">
        <v>168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155</v>
      </c>
      <c r="C506" s="40" t="s">
        <v>166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155</v>
      </c>
      <c r="C507" s="16" t="s">
        <v>170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155</v>
      </c>
      <c r="C508" s="40" t="s">
        <v>171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155</v>
      </c>
      <c r="C509" s="16" t="s">
        <v>169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155</v>
      </c>
      <c r="C510" s="40" t="s">
        <v>167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155</v>
      </c>
      <c r="C511" s="16" t="s">
        <v>168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155</v>
      </c>
      <c r="C512" s="40" t="s">
        <v>166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155</v>
      </c>
      <c r="C513" s="16" t="s">
        <v>170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155</v>
      </c>
      <c r="C514" s="40" t="s">
        <v>171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155</v>
      </c>
      <c r="C515" s="16" t="s">
        <v>169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155</v>
      </c>
      <c r="C516" s="40" t="s">
        <v>237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155</v>
      </c>
      <c r="C517" s="16" t="s">
        <v>161</v>
      </c>
      <c r="D517" s="38" t="n">
        <v>1</v>
      </c>
      <c r="E517" s="39" t="n">
        <v>25113.77</v>
      </c>
      <c r="F517" s="22" t="n">
        <v>25113.77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162</v>
      </c>
      <c r="C518" s="40" t="s">
        <v>209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162</v>
      </c>
      <c r="C519" s="16" t="s">
        <v>209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155</v>
      </c>
      <c r="C520" s="40" t="s">
        <v>158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155</v>
      </c>
      <c r="C521" s="16" t="s">
        <v>159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155</v>
      </c>
      <c r="C522" s="40" t="s">
        <v>158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155</v>
      </c>
      <c r="C523" s="16" t="s">
        <v>159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162</v>
      </c>
      <c r="C524" s="40" t="s">
        <v>222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162</v>
      </c>
      <c r="C525" s="16" t="s">
        <v>222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162</v>
      </c>
      <c r="C526" s="40" t="s">
        <v>222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162</v>
      </c>
      <c r="C527" s="16" t="s">
        <v>222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162</v>
      </c>
      <c r="C528" s="40" t="s">
        <v>222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162</v>
      </c>
      <c r="C529" s="16" t="s">
        <v>222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162</v>
      </c>
      <c r="C530" s="40" t="s">
        <v>222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162</v>
      </c>
      <c r="C531" s="16" t="s">
        <v>222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162</v>
      </c>
      <c r="C532" s="40" t="s">
        <v>222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162</v>
      </c>
      <c r="C533" s="16" t="s">
        <v>222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162</v>
      </c>
      <c r="C534" s="40" t="s">
        <v>222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162</v>
      </c>
      <c r="C535" s="16" t="s">
        <v>222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162</v>
      </c>
      <c r="C536" s="40" t="s">
        <v>222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162</v>
      </c>
      <c r="C537" s="16" t="s">
        <v>222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162</v>
      </c>
      <c r="C538" s="40" t="s">
        <v>222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162</v>
      </c>
      <c r="C539" s="16" t="s">
        <v>222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155</v>
      </c>
      <c r="C540" s="40" t="s">
        <v>238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155</v>
      </c>
      <c r="C541" s="16" t="s">
        <v>238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155</v>
      </c>
      <c r="C542" s="40" t="s">
        <v>238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155</v>
      </c>
      <c r="C543" s="16" t="s">
        <v>238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155</v>
      </c>
      <c r="C544" s="40" t="s">
        <v>238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155</v>
      </c>
      <c r="C545" s="16" t="s">
        <v>238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155</v>
      </c>
      <c r="C546" s="40" t="s">
        <v>238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155</v>
      </c>
      <c r="C547" s="16" t="s">
        <v>238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155</v>
      </c>
      <c r="C548" s="40" t="s">
        <v>238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155</v>
      </c>
      <c r="C549" s="16" t="s">
        <v>238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155</v>
      </c>
      <c r="C550" s="40" t="s">
        <v>212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155</v>
      </c>
      <c r="C551" s="16" t="s">
        <v>212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155</v>
      </c>
      <c r="C552" s="40" t="s">
        <v>212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155</v>
      </c>
      <c r="C553" s="16" t="s">
        <v>212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155</v>
      </c>
      <c r="C554" s="40" t="s">
        <v>212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155</v>
      </c>
      <c r="C555" s="16" t="s">
        <v>212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155</v>
      </c>
      <c r="C556" s="40" t="s">
        <v>212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155</v>
      </c>
      <c r="C557" s="16" t="s">
        <v>212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155</v>
      </c>
      <c r="C558" s="40" t="s">
        <v>212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155</v>
      </c>
      <c r="C559" s="16" t="s">
        <v>212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155</v>
      </c>
      <c r="C560" s="40" t="s">
        <v>212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155</v>
      </c>
      <c r="C561" s="16" t="s">
        <v>212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155</v>
      </c>
      <c r="C562" s="40" t="s">
        <v>212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155</v>
      </c>
      <c r="C563" s="16" t="s">
        <v>212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155</v>
      </c>
      <c r="C564" s="40" t="s">
        <v>212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155</v>
      </c>
      <c r="C565" s="16" t="s">
        <v>212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155</v>
      </c>
      <c r="C566" s="40" t="s">
        <v>212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155</v>
      </c>
      <c r="C567" s="16" t="s">
        <v>212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155</v>
      </c>
      <c r="C568" s="40" t="s">
        <v>212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155</v>
      </c>
      <c r="C569" s="40" t="s">
        <v>156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155</v>
      </c>
      <c r="C570" s="16" t="s">
        <v>157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155</v>
      </c>
      <c r="C571" s="40" t="s">
        <v>158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155</v>
      </c>
      <c r="C572" s="16" t="s">
        <v>159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155</v>
      </c>
      <c r="C573" s="40" t="s">
        <v>160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155</v>
      </c>
      <c r="C574" s="16" t="s">
        <v>161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162</v>
      </c>
      <c r="C575" s="40" t="s">
        <v>163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162</v>
      </c>
      <c r="C576" s="16" t="s">
        <v>164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162</v>
      </c>
      <c r="C577" s="40" t="s">
        <v>165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155</v>
      </c>
      <c r="C578" s="16" t="s">
        <v>166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155</v>
      </c>
      <c r="C579" s="40" t="s">
        <v>167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155</v>
      </c>
      <c r="C580" s="16" t="s">
        <v>168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155</v>
      </c>
      <c r="C581" s="40" t="s">
        <v>172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155</v>
      </c>
      <c r="C582" s="16" t="s">
        <v>175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155</v>
      </c>
      <c r="C583" s="40" t="s">
        <v>176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false" customHeight="true" outlineLevel="0" collapsed="false">
      <c r="A584" s="16" t="s">
        <v>55</v>
      </c>
      <c r="B584" s="16" t="s">
        <v>155</v>
      </c>
      <c r="C584" s="16" t="s">
        <v>185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155</v>
      </c>
      <c r="C585" s="40" t="s">
        <v>173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155</v>
      </c>
      <c r="C586" s="16" t="s">
        <v>177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155</v>
      </c>
      <c r="C587" s="40" t="s">
        <v>239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155</v>
      </c>
      <c r="C588" s="16" t="s">
        <v>174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155</v>
      </c>
      <c r="C589" s="40" t="s">
        <v>179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155</v>
      </c>
      <c r="C590" s="16" t="s">
        <v>180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155</v>
      </c>
      <c r="C591" s="40" t="s">
        <v>181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155</v>
      </c>
      <c r="C592" s="16" t="s">
        <v>182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155</v>
      </c>
      <c r="C593" s="40" t="s">
        <v>183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155</v>
      </c>
      <c r="C594" s="16" t="s">
        <v>186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155</v>
      </c>
      <c r="C595" s="40" t="s">
        <v>156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155</v>
      </c>
      <c r="C596" s="16" t="s">
        <v>157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155</v>
      </c>
      <c r="C597" s="40" t="s">
        <v>158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155</v>
      </c>
      <c r="C598" s="16" t="s">
        <v>159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155</v>
      </c>
      <c r="C599" s="40" t="s">
        <v>160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155</v>
      </c>
      <c r="C600" s="16" t="s">
        <v>161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162</v>
      </c>
      <c r="C601" s="40" t="s">
        <v>163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162</v>
      </c>
      <c r="C602" s="16" t="s">
        <v>164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162</v>
      </c>
      <c r="C603" s="40" t="s">
        <v>165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155</v>
      </c>
      <c r="C604" s="16" t="s">
        <v>166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155</v>
      </c>
      <c r="C605" s="40" t="s">
        <v>167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155</v>
      </c>
      <c r="C606" s="16" t="s">
        <v>168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155</v>
      </c>
      <c r="C607" s="40" t="s">
        <v>156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155</v>
      </c>
      <c r="C608" s="16" t="s">
        <v>157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155</v>
      </c>
      <c r="C609" s="40" t="s">
        <v>158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155</v>
      </c>
      <c r="C610" s="16" t="s">
        <v>159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155</v>
      </c>
      <c r="C611" s="40" t="s">
        <v>160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155</v>
      </c>
      <c r="C612" s="16" t="s">
        <v>161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162</v>
      </c>
      <c r="C613" s="40" t="s">
        <v>163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162</v>
      </c>
      <c r="C614" s="16" t="s">
        <v>164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162</v>
      </c>
      <c r="C615" s="40" t="s">
        <v>222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155</v>
      </c>
      <c r="C616" s="16" t="s">
        <v>166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155</v>
      </c>
      <c r="C617" s="40" t="s">
        <v>187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155</v>
      </c>
      <c r="C618" s="16" t="s">
        <v>240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155</v>
      </c>
      <c r="C619" s="40" t="s">
        <v>167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155</v>
      </c>
      <c r="C620" s="16" t="s">
        <v>168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162</v>
      </c>
      <c r="C621" s="40" t="s">
        <v>194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162</v>
      </c>
      <c r="C622" s="16" t="s">
        <v>195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155</v>
      </c>
      <c r="C623" s="40" t="s">
        <v>196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155</v>
      </c>
      <c r="C624" s="16" t="s">
        <v>197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155</v>
      </c>
      <c r="C625" s="40" t="s">
        <v>198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155</v>
      </c>
      <c r="C626" s="16" t="s">
        <v>170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155</v>
      </c>
      <c r="C627" s="40" t="s">
        <v>171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155</v>
      </c>
      <c r="C628" s="16" t="s">
        <v>169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162</v>
      </c>
      <c r="C629" s="40" t="s">
        <v>199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162</v>
      </c>
      <c r="C630" s="16" t="s">
        <v>200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162</v>
      </c>
      <c r="C631" s="40" t="s">
        <v>201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162</v>
      </c>
      <c r="C632" s="16" t="s">
        <v>202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162</v>
      </c>
      <c r="C633" s="40" t="s">
        <v>203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155</v>
      </c>
      <c r="C634" s="16" t="s">
        <v>167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155</v>
      </c>
      <c r="C635" s="40" t="s">
        <v>168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162</v>
      </c>
      <c r="C636" s="16" t="s">
        <v>204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155</v>
      </c>
      <c r="C637" s="40" t="s">
        <v>205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155</v>
      </c>
      <c r="C638" s="16" t="s">
        <v>206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155</v>
      </c>
      <c r="C639" s="40" t="s">
        <v>207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155</v>
      </c>
      <c r="C640" s="16" t="s">
        <v>208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155</v>
      </c>
      <c r="C641" s="40" t="s">
        <v>156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155</v>
      </c>
      <c r="C642" s="16" t="s">
        <v>157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155</v>
      </c>
      <c r="C643" s="40" t="s">
        <v>158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155</v>
      </c>
      <c r="C644" s="16" t="s">
        <v>159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155</v>
      </c>
      <c r="C645" s="40" t="s">
        <v>160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155</v>
      </c>
      <c r="C646" s="16" t="s">
        <v>161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162</v>
      </c>
      <c r="C647" s="40" t="s">
        <v>209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155</v>
      </c>
      <c r="C648" s="16" t="s">
        <v>166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155</v>
      </c>
      <c r="C649" s="40" t="s">
        <v>238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155</v>
      </c>
      <c r="C650" s="16" t="s">
        <v>167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155</v>
      </c>
      <c r="C651" s="40" t="s">
        <v>168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155</v>
      </c>
      <c r="C652" s="16" t="s">
        <v>159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155</v>
      </c>
      <c r="C653" s="40" t="s">
        <v>156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155</v>
      </c>
      <c r="C654" s="16" t="s">
        <v>157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155</v>
      </c>
      <c r="C655" s="40" t="s">
        <v>158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155</v>
      </c>
      <c r="C656" s="16" t="s">
        <v>159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155</v>
      </c>
      <c r="C657" s="40" t="s">
        <v>160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155</v>
      </c>
      <c r="C658" s="16" t="s">
        <v>161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162</v>
      </c>
      <c r="C659" s="40" t="s">
        <v>241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162</v>
      </c>
      <c r="C660" s="16" t="s">
        <v>163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162</v>
      </c>
      <c r="C661" s="40" t="s">
        <v>164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162</v>
      </c>
      <c r="C662" s="16" t="s">
        <v>222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155</v>
      </c>
      <c r="C663" s="40" t="s">
        <v>166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155</v>
      </c>
      <c r="C664" s="16" t="s">
        <v>167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155</v>
      </c>
      <c r="C665" s="40" t="s">
        <v>168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162</v>
      </c>
      <c r="C666" s="16" t="s">
        <v>211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155</v>
      </c>
      <c r="C667" s="40" t="s">
        <v>156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155</v>
      </c>
      <c r="C668" s="16" t="s">
        <v>157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155</v>
      </c>
      <c r="C669" s="40" t="s">
        <v>158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155</v>
      </c>
      <c r="C670" s="16" t="s">
        <v>159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155</v>
      </c>
      <c r="C671" s="40" t="s">
        <v>212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155</v>
      </c>
      <c r="C672" s="16" t="s">
        <v>161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155</v>
      </c>
      <c r="C673" s="40" t="s">
        <v>167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155</v>
      </c>
      <c r="C674" s="16" t="s">
        <v>168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155</v>
      </c>
      <c r="C675" s="40" t="s">
        <v>156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155</v>
      </c>
      <c r="C676" s="16" t="s">
        <v>157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155</v>
      </c>
      <c r="C677" s="40" t="s">
        <v>158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155</v>
      </c>
      <c r="C678" s="16" t="s">
        <v>159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155</v>
      </c>
      <c r="C679" s="40" t="s">
        <v>160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155</v>
      </c>
      <c r="C680" s="16" t="s">
        <v>161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162</v>
      </c>
      <c r="C681" s="40" t="s">
        <v>213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162</v>
      </c>
      <c r="C682" s="16" t="s">
        <v>214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162</v>
      </c>
      <c r="C683" s="40" t="s">
        <v>163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162</v>
      </c>
      <c r="C684" s="16" t="s">
        <v>164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155</v>
      </c>
      <c r="C685" s="40" t="s">
        <v>166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155</v>
      </c>
      <c r="C686" s="16" t="s">
        <v>238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155</v>
      </c>
      <c r="C687" s="40" t="s">
        <v>167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155</v>
      </c>
      <c r="C688" s="16" t="s">
        <v>168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155</v>
      </c>
      <c r="C689" s="40" t="s">
        <v>156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155</v>
      </c>
      <c r="C690" s="16" t="s">
        <v>157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155</v>
      </c>
      <c r="C691" s="40" t="s">
        <v>158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155</v>
      </c>
      <c r="C692" s="16" t="s">
        <v>159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155</v>
      </c>
      <c r="C693" s="40" t="s">
        <v>160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155</v>
      </c>
      <c r="C694" s="16" t="s">
        <v>161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162</v>
      </c>
      <c r="C695" s="40" t="s">
        <v>215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162</v>
      </c>
      <c r="C696" s="16" t="s">
        <v>163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162</v>
      </c>
      <c r="C697" s="40" t="s">
        <v>164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155</v>
      </c>
      <c r="C698" s="16" t="s">
        <v>166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155</v>
      </c>
      <c r="C699" s="40" t="s">
        <v>167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155</v>
      </c>
      <c r="C700" s="16" t="s">
        <v>168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155</v>
      </c>
      <c r="C701" s="40" t="s">
        <v>156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155</v>
      </c>
      <c r="C702" s="16" t="s">
        <v>157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162</v>
      </c>
      <c r="C703" s="40" t="s">
        <v>194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155</v>
      </c>
      <c r="C704" s="16" t="s">
        <v>158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155</v>
      </c>
      <c r="C705" s="40" t="s">
        <v>159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155</v>
      </c>
      <c r="C706" s="16" t="s">
        <v>160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155</v>
      </c>
      <c r="C707" s="40" t="s">
        <v>161</v>
      </c>
      <c r="D707" s="41" t="n">
        <v>1</v>
      </c>
      <c r="E707" s="42" t="n">
        <v>60198.19</v>
      </c>
      <c r="F707" s="43" t="n">
        <f aca="false">IFERROR(E707,0)</f>
        <v>60198.19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162</v>
      </c>
      <c r="C708" s="16" t="s">
        <v>163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162</v>
      </c>
      <c r="C709" s="40" t="s">
        <v>164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162</v>
      </c>
      <c r="C710" s="16" t="s">
        <v>209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162</v>
      </c>
      <c r="C711" s="40" t="s">
        <v>222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155</v>
      </c>
      <c r="C712" s="16" t="s">
        <v>166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162</v>
      </c>
      <c r="C713" s="40" t="s">
        <v>217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155</v>
      </c>
      <c r="C714" s="16" t="s">
        <v>238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155</v>
      </c>
      <c r="C715" s="40" t="s">
        <v>167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155</v>
      </c>
      <c r="C716" s="16" t="s">
        <v>168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155</v>
      </c>
      <c r="C717" s="40" t="s">
        <v>159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155</v>
      </c>
      <c r="C718" s="16" t="s">
        <v>156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155</v>
      </c>
      <c r="C719" s="40" t="s">
        <v>157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155</v>
      </c>
      <c r="C720" s="16" t="s">
        <v>158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155</v>
      </c>
      <c r="C721" s="40" t="s">
        <v>159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155</v>
      </c>
      <c r="C722" s="16" t="s">
        <v>160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155</v>
      </c>
      <c r="C723" s="40" t="s">
        <v>161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162</v>
      </c>
      <c r="C724" s="16" t="s">
        <v>218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162</v>
      </c>
      <c r="C725" s="40" t="s">
        <v>163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162</v>
      </c>
      <c r="C726" s="16" t="s">
        <v>164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162</v>
      </c>
      <c r="C727" s="40" t="s">
        <v>209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162</v>
      </c>
      <c r="C728" s="16" t="s">
        <v>222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162</v>
      </c>
      <c r="C729" s="40" t="s">
        <v>165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155</v>
      </c>
      <c r="C730" s="16" t="s">
        <v>166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155</v>
      </c>
      <c r="C731" s="40" t="s">
        <v>238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155</v>
      </c>
      <c r="C732" s="16" t="s">
        <v>167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155</v>
      </c>
      <c r="C733" s="40" t="s">
        <v>168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155</v>
      </c>
      <c r="C734" s="16" t="s">
        <v>159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155</v>
      </c>
      <c r="C735" s="40" t="s">
        <v>156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155</v>
      </c>
      <c r="C736" s="16" t="s">
        <v>157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155</v>
      </c>
      <c r="C737" s="40" t="s">
        <v>158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155</v>
      </c>
      <c r="C738" s="16" t="s">
        <v>159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155</v>
      </c>
      <c r="C739" s="40" t="s">
        <v>160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155</v>
      </c>
      <c r="C740" s="16" t="s">
        <v>161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155</v>
      </c>
      <c r="C741" s="40" t="s">
        <v>219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162</v>
      </c>
      <c r="C742" s="16" t="s">
        <v>163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162</v>
      </c>
      <c r="C743" s="40" t="s">
        <v>164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155</v>
      </c>
      <c r="C744" s="16" t="s">
        <v>166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155</v>
      </c>
      <c r="C745" s="40" t="s">
        <v>238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155</v>
      </c>
      <c r="C746" s="16" t="s">
        <v>167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155</v>
      </c>
      <c r="C747" s="40" t="s">
        <v>168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155</v>
      </c>
      <c r="C748" s="16" t="s">
        <v>156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155</v>
      </c>
      <c r="C749" s="40" t="s">
        <v>157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155</v>
      </c>
      <c r="C750" s="16" t="s">
        <v>158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155</v>
      </c>
      <c r="C751" s="40" t="s">
        <v>160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155</v>
      </c>
      <c r="C752" s="16" t="s">
        <v>161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162</v>
      </c>
      <c r="C753" s="40" t="s">
        <v>217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162</v>
      </c>
      <c r="C754" s="16" t="s">
        <v>220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162</v>
      </c>
      <c r="C755" s="40" t="s">
        <v>163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162</v>
      </c>
      <c r="C756" s="16" t="s">
        <v>164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162</v>
      </c>
      <c r="C757" s="40" t="s">
        <v>221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162</v>
      </c>
      <c r="C758" s="16" t="s">
        <v>209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155</v>
      </c>
      <c r="C759" s="40" t="s">
        <v>166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155</v>
      </c>
      <c r="C760" s="16" t="s">
        <v>238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155</v>
      </c>
      <c r="C761" s="40" t="s">
        <v>167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155</v>
      </c>
      <c r="C762" s="16" t="s">
        <v>168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155</v>
      </c>
      <c r="C763" s="40" t="s">
        <v>156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155</v>
      </c>
      <c r="C764" s="16" t="s">
        <v>157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155</v>
      </c>
      <c r="C765" s="40" t="s">
        <v>160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155</v>
      </c>
      <c r="C766" s="16" t="s">
        <v>161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162</v>
      </c>
      <c r="C767" s="40" t="s">
        <v>218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162</v>
      </c>
      <c r="C768" s="16" t="s">
        <v>221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155</v>
      </c>
      <c r="C769" s="40" t="s">
        <v>166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162</v>
      </c>
      <c r="C770" s="16" t="s">
        <v>217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155</v>
      </c>
      <c r="C771" s="40" t="s">
        <v>167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155</v>
      </c>
      <c r="C772" s="16" t="s">
        <v>168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155</v>
      </c>
      <c r="C773" s="40" t="s">
        <v>156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155</v>
      </c>
      <c r="C774" s="16" t="s">
        <v>157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155</v>
      </c>
      <c r="C775" s="40" t="s">
        <v>158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155</v>
      </c>
      <c r="C776" s="16" t="s">
        <v>159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155</v>
      </c>
      <c r="C777" s="40" t="s">
        <v>160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155</v>
      </c>
      <c r="C778" s="16" t="s">
        <v>161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155</v>
      </c>
      <c r="C779" s="40" t="s">
        <v>166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162</v>
      </c>
      <c r="C780" s="16" t="s">
        <v>217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155</v>
      </c>
      <c r="C781" s="40" t="s">
        <v>167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155</v>
      </c>
      <c r="C782" s="16" t="s">
        <v>168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155</v>
      </c>
      <c r="C783" s="40" t="s">
        <v>156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155</v>
      </c>
      <c r="C784" s="16" t="s">
        <v>157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155</v>
      </c>
      <c r="C785" s="40" t="s">
        <v>158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155</v>
      </c>
      <c r="C786" s="16" t="s">
        <v>159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155</v>
      </c>
      <c r="C787" s="40" t="s">
        <v>160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155</v>
      </c>
      <c r="C788" s="16" t="s">
        <v>161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155</v>
      </c>
      <c r="C789" s="40" t="s">
        <v>223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162</v>
      </c>
      <c r="C790" s="16" t="s">
        <v>163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162</v>
      </c>
      <c r="C791" s="40" t="s">
        <v>164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162</v>
      </c>
      <c r="C792" s="16" t="s">
        <v>222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155</v>
      </c>
      <c r="C793" s="40" t="s">
        <v>166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155</v>
      </c>
      <c r="C794" s="16" t="s">
        <v>187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155</v>
      </c>
      <c r="C795" s="40" t="s">
        <v>240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155</v>
      </c>
      <c r="C796" s="16" t="s">
        <v>167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155</v>
      </c>
      <c r="C797" s="40" t="s">
        <v>168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155</v>
      </c>
      <c r="C798" s="16" t="s">
        <v>156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155</v>
      </c>
      <c r="C799" s="40" t="s">
        <v>157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155</v>
      </c>
      <c r="C800" s="16" t="s">
        <v>160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155</v>
      </c>
      <c r="C801" s="40" t="s">
        <v>161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162</v>
      </c>
      <c r="C802" s="16" t="s">
        <v>218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162</v>
      </c>
      <c r="C803" s="40" t="s">
        <v>221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162</v>
      </c>
      <c r="C804" s="16" t="s">
        <v>222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155</v>
      </c>
      <c r="C805" s="40" t="s">
        <v>166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162</v>
      </c>
      <c r="C806" s="16" t="s">
        <v>217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155</v>
      </c>
      <c r="C807" s="40" t="s">
        <v>167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155</v>
      </c>
      <c r="C808" s="16" t="s">
        <v>168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155</v>
      </c>
      <c r="C809" s="40" t="s">
        <v>156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155</v>
      </c>
      <c r="C810" s="16" t="s">
        <v>157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155</v>
      </c>
      <c r="C811" s="40" t="s">
        <v>224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155</v>
      </c>
      <c r="C812" s="16" t="s">
        <v>158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155</v>
      </c>
      <c r="C813" s="40" t="s">
        <v>160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155</v>
      </c>
      <c r="C814" s="16" t="s">
        <v>161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162</v>
      </c>
      <c r="C815" s="40" t="s">
        <v>217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162</v>
      </c>
      <c r="C816" s="16" t="s">
        <v>220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162</v>
      </c>
      <c r="C817" s="40" t="s">
        <v>209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155</v>
      </c>
      <c r="C818" s="16" t="s">
        <v>167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155</v>
      </c>
      <c r="C819" s="40" t="s">
        <v>168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155</v>
      </c>
      <c r="C820" s="16" t="s">
        <v>156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155</v>
      </c>
      <c r="C821" s="40" t="s">
        <v>157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155</v>
      </c>
      <c r="C822" s="16" t="s">
        <v>158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155</v>
      </c>
      <c r="C823" s="40" t="s">
        <v>159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155</v>
      </c>
      <c r="C824" s="16" t="s">
        <v>160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155</v>
      </c>
      <c r="C825" s="40" t="s">
        <v>161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162</v>
      </c>
      <c r="C826" s="16" t="s">
        <v>225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162</v>
      </c>
      <c r="C827" s="40" t="s">
        <v>226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155</v>
      </c>
      <c r="C828" s="16" t="s">
        <v>227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162</v>
      </c>
      <c r="C829" s="40" t="s">
        <v>228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155</v>
      </c>
      <c r="C830" s="16" t="s">
        <v>229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155</v>
      </c>
      <c r="C831" s="40" t="s">
        <v>230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155</v>
      </c>
      <c r="C832" s="16" t="s">
        <v>166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155</v>
      </c>
      <c r="C833" s="40" t="s">
        <v>238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155</v>
      </c>
      <c r="C834" s="16" t="s">
        <v>167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155</v>
      </c>
      <c r="C835" s="40" t="s">
        <v>168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155</v>
      </c>
      <c r="C836" s="16" t="s">
        <v>156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155</v>
      </c>
      <c r="C837" s="40" t="s">
        <v>157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155</v>
      </c>
      <c r="C838" s="16" t="s">
        <v>158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155</v>
      </c>
      <c r="C839" s="40" t="s">
        <v>159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155</v>
      </c>
      <c r="C840" s="16" t="s">
        <v>160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155</v>
      </c>
      <c r="C841" s="40" t="s">
        <v>161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162</v>
      </c>
      <c r="C842" s="16" t="s">
        <v>163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162</v>
      </c>
      <c r="C843" s="40" t="s">
        <v>164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162</v>
      </c>
      <c r="C844" s="16" t="s">
        <v>222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155</v>
      </c>
      <c r="C845" s="40" t="s">
        <v>166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155</v>
      </c>
      <c r="C846" s="16" t="s">
        <v>187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155</v>
      </c>
      <c r="C847" s="40" t="s">
        <v>240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155</v>
      </c>
      <c r="C848" s="16" t="s">
        <v>167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155</v>
      </c>
      <c r="C849" s="40" t="s">
        <v>168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155</v>
      </c>
      <c r="C850" s="16" t="s">
        <v>156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155</v>
      </c>
      <c r="C851" s="40" t="s">
        <v>157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155</v>
      </c>
      <c r="C852" s="16" t="s">
        <v>158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155</v>
      </c>
      <c r="C853" s="40" t="s">
        <v>160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155</v>
      </c>
      <c r="C854" s="16" t="s">
        <v>161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162</v>
      </c>
      <c r="C855" s="40" t="s">
        <v>221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162</v>
      </c>
      <c r="C856" s="16" t="s">
        <v>165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162</v>
      </c>
      <c r="C857" s="40" t="s">
        <v>163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162</v>
      </c>
      <c r="C858" s="16" t="s">
        <v>164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162</v>
      </c>
      <c r="C859" s="40" t="s">
        <v>209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162</v>
      </c>
      <c r="C860" s="16" t="s">
        <v>232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155</v>
      </c>
      <c r="C861" s="40" t="s">
        <v>166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162</v>
      </c>
      <c r="C862" s="16" t="s">
        <v>217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155</v>
      </c>
      <c r="C863" s="40" t="s">
        <v>238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155</v>
      </c>
      <c r="C864" s="16" t="s">
        <v>167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155</v>
      </c>
      <c r="C865" s="40" t="s">
        <v>168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155</v>
      </c>
      <c r="C866" s="16" t="s">
        <v>156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155</v>
      </c>
      <c r="C867" s="40" t="s">
        <v>157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155</v>
      </c>
      <c r="C868" s="16" t="s">
        <v>158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155</v>
      </c>
      <c r="C869" s="40" t="s">
        <v>159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155</v>
      </c>
      <c r="C870" s="16" t="s">
        <v>160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155</v>
      </c>
      <c r="C871" s="40" t="s">
        <v>161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155</v>
      </c>
      <c r="C872" s="16" t="s">
        <v>166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155</v>
      </c>
      <c r="C873" s="40" t="s">
        <v>187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155</v>
      </c>
      <c r="C874" s="16" t="s">
        <v>240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155</v>
      </c>
      <c r="C875" s="40" t="s">
        <v>167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155</v>
      </c>
      <c r="C876" s="16" t="s">
        <v>168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155</v>
      </c>
      <c r="C877" s="40" t="s">
        <v>156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155</v>
      </c>
      <c r="C878" s="16" t="s">
        <v>157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155</v>
      </c>
      <c r="C879" s="40" t="s">
        <v>158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155</v>
      </c>
      <c r="C880" s="16" t="s">
        <v>159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155</v>
      </c>
      <c r="C881" s="40" t="s">
        <v>160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155</v>
      </c>
      <c r="C882" s="16" t="s">
        <v>161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155</v>
      </c>
      <c r="C883" s="40" t="s">
        <v>166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155</v>
      </c>
      <c r="C884" s="16" t="s">
        <v>187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155</v>
      </c>
      <c r="C885" s="40" t="s">
        <v>240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155</v>
      </c>
      <c r="C886" s="16" t="s">
        <v>167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155</v>
      </c>
      <c r="C887" s="40" t="s">
        <v>168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155</v>
      </c>
      <c r="C888" s="16" t="s">
        <v>156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155</v>
      </c>
      <c r="C889" s="40" t="s">
        <v>157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155</v>
      </c>
      <c r="C890" s="16" t="s">
        <v>158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155</v>
      </c>
      <c r="C891" s="40" t="s">
        <v>159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155</v>
      </c>
      <c r="C892" s="16" t="s">
        <v>160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155</v>
      </c>
      <c r="C893" s="40" t="s">
        <v>161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155</v>
      </c>
      <c r="C894" s="16" t="s">
        <v>166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155</v>
      </c>
      <c r="C895" s="40" t="s">
        <v>167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155</v>
      </c>
      <c r="C896" s="16" t="s">
        <v>168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162</v>
      </c>
      <c r="C897" s="40" t="s">
        <v>217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162</v>
      </c>
      <c r="C898" s="16" t="s">
        <v>217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162</v>
      </c>
      <c r="C899" s="40" t="s">
        <v>217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162</v>
      </c>
      <c r="C900" s="16" t="s">
        <v>165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162</v>
      </c>
      <c r="C901" s="40" t="s">
        <v>222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162</v>
      </c>
      <c r="C902" s="16" t="s">
        <v>222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162</v>
      </c>
      <c r="C903" s="40" t="s">
        <v>222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162</v>
      </c>
      <c r="C904" s="16" t="s">
        <v>222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162</v>
      </c>
      <c r="C905" s="40" t="s">
        <v>222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false" customHeight="true" outlineLevel="0" collapsed="false">
      <c r="A906" s="16" t="s">
        <v>55</v>
      </c>
      <c r="B906" s="16" t="s">
        <v>155</v>
      </c>
      <c r="C906" s="16" t="s">
        <v>236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162</v>
      </c>
      <c r="C907" s="40" t="s">
        <v>222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155</v>
      </c>
      <c r="C908" s="16" t="s">
        <v>161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155</v>
      </c>
      <c r="C909" s="40" t="s">
        <v>157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155</v>
      </c>
      <c r="C910" s="16" t="s">
        <v>161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155</v>
      </c>
      <c r="C911" s="40" t="s">
        <v>157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162</v>
      </c>
      <c r="C912" s="16" t="s">
        <v>217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155</v>
      </c>
      <c r="C913" s="40" t="s">
        <v>161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155</v>
      </c>
      <c r="C914" s="16" t="s">
        <v>157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162</v>
      </c>
      <c r="C915" s="40" t="s">
        <v>217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155</v>
      </c>
      <c r="C916" s="16" t="s">
        <v>161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155</v>
      </c>
      <c r="C917" s="40" t="s">
        <v>157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162</v>
      </c>
      <c r="C918" s="16" t="s">
        <v>222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155</v>
      </c>
      <c r="C919" s="40" t="s">
        <v>161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155</v>
      </c>
      <c r="C920" s="16" t="s">
        <v>161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155</v>
      </c>
      <c r="C921" s="40" t="s">
        <v>161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162</v>
      </c>
      <c r="C922" s="16" t="s">
        <v>217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162</v>
      </c>
      <c r="C923" s="40" t="s">
        <v>221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155</v>
      </c>
      <c r="C924" s="16" t="s">
        <v>161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162</v>
      </c>
      <c r="C925" s="40" t="s">
        <v>217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162</v>
      </c>
      <c r="C926" s="16" t="s">
        <v>221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155</v>
      </c>
      <c r="C927" s="40" t="s">
        <v>161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155</v>
      </c>
      <c r="C928" s="16" t="s">
        <v>157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155</v>
      </c>
      <c r="C929" s="40" t="s">
        <v>157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155</v>
      </c>
      <c r="C930" s="16" t="s">
        <v>157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155</v>
      </c>
      <c r="C931" s="40" t="s">
        <v>167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155</v>
      </c>
      <c r="C932" s="16" t="s">
        <v>168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155</v>
      </c>
      <c r="C933" s="40" t="s">
        <v>166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155</v>
      </c>
      <c r="C934" s="16" t="s">
        <v>170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155</v>
      </c>
      <c r="C935" s="40" t="s">
        <v>171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155</v>
      </c>
      <c r="C936" s="16" t="s">
        <v>169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155</v>
      </c>
      <c r="C937" s="40" t="s">
        <v>167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155</v>
      </c>
      <c r="C938" s="16" t="s">
        <v>168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155</v>
      </c>
      <c r="C939" s="40" t="s">
        <v>166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155</v>
      </c>
      <c r="C940" s="16" t="s">
        <v>170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155</v>
      </c>
      <c r="C941" s="40" t="s">
        <v>171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155</v>
      </c>
      <c r="C942" s="16" t="s">
        <v>169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155</v>
      </c>
      <c r="C943" s="40" t="s">
        <v>167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155</v>
      </c>
      <c r="C944" s="16" t="s">
        <v>168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155</v>
      </c>
      <c r="C945" s="40" t="s">
        <v>166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155</v>
      </c>
      <c r="C946" s="16" t="s">
        <v>170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155</v>
      </c>
      <c r="C947" s="40" t="s">
        <v>171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155</v>
      </c>
      <c r="C948" s="16" t="s">
        <v>169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155</v>
      </c>
      <c r="C949" s="40" t="s">
        <v>167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155</v>
      </c>
      <c r="C950" s="16" t="s">
        <v>168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155</v>
      </c>
      <c r="C951" s="40" t="s">
        <v>166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155</v>
      </c>
      <c r="C952" s="16" t="s">
        <v>170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155</v>
      </c>
      <c r="C953" s="40" t="s">
        <v>171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155</v>
      </c>
      <c r="C954" s="16" t="s">
        <v>169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155</v>
      </c>
      <c r="C955" s="40" t="s">
        <v>167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155</v>
      </c>
      <c r="C956" s="16" t="s">
        <v>168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155</v>
      </c>
      <c r="C957" s="40" t="s">
        <v>166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155</v>
      </c>
      <c r="C958" s="16" t="s">
        <v>170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155</v>
      </c>
      <c r="C959" s="40" t="s">
        <v>171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155</v>
      </c>
      <c r="C960" s="16" t="s">
        <v>169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155</v>
      </c>
      <c r="C961" s="40" t="s">
        <v>167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155</v>
      </c>
      <c r="C962" s="16" t="s">
        <v>168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155</v>
      </c>
      <c r="C963" s="40" t="s">
        <v>166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155</v>
      </c>
      <c r="C964" s="16" t="s">
        <v>170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155</v>
      </c>
      <c r="C965" s="40" t="s">
        <v>171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155</v>
      </c>
      <c r="C966" s="16" t="s">
        <v>169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155</v>
      </c>
      <c r="C967" s="40" t="s">
        <v>167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155</v>
      </c>
      <c r="C968" s="16" t="s">
        <v>168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155</v>
      </c>
      <c r="C969" s="40" t="s">
        <v>166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155</v>
      </c>
      <c r="C970" s="16" t="s">
        <v>170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155</v>
      </c>
      <c r="C971" s="40" t="s">
        <v>171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155</v>
      </c>
      <c r="C972" s="16" t="s">
        <v>169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155</v>
      </c>
      <c r="C973" s="40" t="s">
        <v>167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155</v>
      </c>
      <c r="C974" s="16" t="s">
        <v>168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155</v>
      </c>
      <c r="C975" s="40" t="s">
        <v>166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155</v>
      </c>
      <c r="C976" s="16" t="s">
        <v>170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155</v>
      </c>
      <c r="C977" s="40" t="s">
        <v>171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155</v>
      </c>
      <c r="C978" s="16" t="s">
        <v>169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155</v>
      </c>
      <c r="C979" s="40" t="s">
        <v>167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155</v>
      </c>
      <c r="C980" s="16" t="s">
        <v>168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155</v>
      </c>
      <c r="C981" s="40" t="s">
        <v>166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155</v>
      </c>
      <c r="C982" s="16" t="s">
        <v>170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155</v>
      </c>
      <c r="C983" s="40" t="s">
        <v>171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155</v>
      </c>
      <c r="C984" s="16" t="s">
        <v>169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155</v>
      </c>
      <c r="C985" s="40" t="s">
        <v>240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155</v>
      </c>
      <c r="C986" s="16" t="s">
        <v>237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155</v>
      </c>
      <c r="C987" s="40" t="s">
        <v>161</v>
      </c>
      <c r="D987" s="41" t="n">
        <v>1</v>
      </c>
      <c r="E987" s="42" t="n">
        <v>43834.77</v>
      </c>
      <c r="F987" s="43" t="n">
        <v>43834.77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162</v>
      </c>
      <c r="C988" s="16" t="s">
        <v>209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162</v>
      </c>
      <c r="C989" s="40" t="s">
        <v>209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155</v>
      </c>
      <c r="C990" s="16" t="s">
        <v>158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155</v>
      </c>
      <c r="C991" s="40" t="s">
        <v>159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155</v>
      </c>
      <c r="C992" s="16" t="s">
        <v>158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155</v>
      </c>
      <c r="C993" s="40" t="s">
        <v>159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162</v>
      </c>
      <c r="C994" s="16" t="s">
        <v>222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162</v>
      </c>
      <c r="C995" s="40" t="s">
        <v>222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162</v>
      </c>
      <c r="C996" s="16" t="s">
        <v>222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162</v>
      </c>
      <c r="C997" s="40" t="s">
        <v>222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162</v>
      </c>
      <c r="C998" s="16" t="s">
        <v>222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162</v>
      </c>
      <c r="C999" s="40" t="s">
        <v>222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162</v>
      </c>
      <c r="C1000" s="16" t="s">
        <v>222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162</v>
      </c>
      <c r="C1001" s="40" t="s">
        <v>222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162</v>
      </c>
      <c r="C1002" s="16" t="s">
        <v>222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162</v>
      </c>
      <c r="C1003" s="40" t="s">
        <v>222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162</v>
      </c>
      <c r="C1004" s="16" t="s">
        <v>222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162</v>
      </c>
      <c r="C1005" s="40" t="s">
        <v>222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162</v>
      </c>
      <c r="C1006" s="16" t="s">
        <v>222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162</v>
      </c>
      <c r="C1007" s="40" t="s">
        <v>222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162</v>
      </c>
      <c r="C1008" s="16" t="s">
        <v>222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162</v>
      </c>
      <c r="C1009" s="40" t="s">
        <v>222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155</v>
      </c>
      <c r="C1010" s="16" t="s">
        <v>238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155</v>
      </c>
      <c r="C1011" s="40" t="s">
        <v>238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155</v>
      </c>
      <c r="C1012" s="16" t="s">
        <v>238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155</v>
      </c>
      <c r="C1013" s="40" t="s">
        <v>238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155</v>
      </c>
      <c r="C1014" s="16" t="s">
        <v>238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155</v>
      </c>
      <c r="C1015" s="40" t="s">
        <v>238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155</v>
      </c>
      <c r="C1016" s="16" t="s">
        <v>238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155</v>
      </c>
      <c r="C1017" s="40" t="s">
        <v>238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155</v>
      </c>
      <c r="C1018" s="16" t="s">
        <v>238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155</v>
      </c>
      <c r="C1019" s="40" t="s">
        <v>212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155</v>
      </c>
      <c r="C1020" s="16" t="s">
        <v>212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155</v>
      </c>
      <c r="C1021" s="40" t="s">
        <v>212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155</v>
      </c>
      <c r="C1022" s="16" t="s">
        <v>212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155</v>
      </c>
      <c r="C1023" s="40" t="s">
        <v>212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155</v>
      </c>
      <c r="C1024" s="16" t="s">
        <v>212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155</v>
      </c>
      <c r="C1025" s="40" t="s">
        <v>212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155</v>
      </c>
      <c r="C1026" s="16" t="s">
        <v>212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155</v>
      </c>
      <c r="C1027" s="40" t="s">
        <v>212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155</v>
      </c>
      <c r="C1028" s="16" t="s">
        <v>212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155</v>
      </c>
      <c r="C1029" s="40" t="s">
        <v>212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155</v>
      </c>
      <c r="C1030" s="16" t="s">
        <v>212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155</v>
      </c>
      <c r="C1031" s="40" t="s">
        <v>212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155</v>
      </c>
      <c r="C1032" s="16" t="s">
        <v>212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155</v>
      </c>
      <c r="C1033" s="40" t="s">
        <v>212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155</v>
      </c>
      <c r="C1034" s="16" t="s">
        <v>212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155</v>
      </c>
      <c r="C1035" s="40" t="s">
        <v>212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155</v>
      </c>
      <c r="C1036" s="16" t="s">
        <v>212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155</v>
      </c>
      <c r="C1037" s="40" t="s">
        <v>212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155</v>
      </c>
      <c r="C1038" s="40" t="s">
        <v>156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155</v>
      </c>
      <c r="C1039" s="16" t="s">
        <v>157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155</v>
      </c>
      <c r="C1040" s="40" t="s">
        <v>158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155</v>
      </c>
      <c r="C1041" s="16" t="s">
        <v>159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155</v>
      </c>
      <c r="C1042" s="40" t="s">
        <v>160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155</v>
      </c>
      <c r="C1043" s="16" t="s">
        <v>161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162</v>
      </c>
      <c r="C1044" s="40" t="s">
        <v>163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162</v>
      </c>
      <c r="C1045" s="16" t="s">
        <v>164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162</v>
      </c>
      <c r="C1046" s="40" t="s">
        <v>165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155</v>
      </c>
      <c r="C1047" s="16" t="s">
        <v>166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155</v>
      </c>
      <c r="C1048" s="40" t="s">
        <v>167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155</v>
      </c>
      <c r="C1049" s="16" t="s">
        <v>168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true" customHeight="true" outlineLevel="0" collapsed="false">
      <c r="A1050" s="40" t="s">
        <v>32</v>
      </c>
      <c r="B1050" s="40" t="s">
        <v>155</v>
      </c>
      <c r="C1050" s="40" t="s">
        <v>175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true" customHeight="true" outlineLevel="0" collapsed="false">
      <c r="A1051" s="16" t="s">
        <v>32</v>
      </c>
      <c r="B1051" s="16" t="s">
        <v>155</v>
      </c>
      <c r="C1051" s="16" t="s">
        <v>176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155</v>
      </c>
      <c r="C1052" s="44" t="s">
        <v>185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true" customHeight="true" outlineLevel="0" collapsed="false">
      <c r="A1053" s="16" t="s">
        <v>36</v>
      </c>
      <c r="B1053" s="16" t="s">
        <v>155</v>
      </c>
      <c r="C1053" s="16" t="s">
        <v>242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true" customHeight="true" outlineLevel="0" collapsed="false">
      <c r="A1054" s="40" t="s">
        <v>33</v>
      </c>
      <c r="B1054" s="40" t="s">
        <v>155</v>
      </c>
      <c r="C1054" s="40" t="s">
        <v>177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true" customHeight="true" outlineLevel="0" collapsed="false">
      <c r="A1055" s="16" t="s">
        <v>33</v>
      </c>
      <c r="B1055" s="16" t="s">
        <v>155</v>
      </c>
      <c r="C1055" s="16" t="s">
        <v>239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true" customHeight="true" outlineLevel="0" collapsed="false">
      <c r="A1056" s="40" t="s">
        <v>32</v>
      </c>
      <c r="B1056" s="40" t="s">
        <v>155</v>
      </c>
      <c r="C1056" s="40" t="s">
        <v>174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true" customHeight="true" outlineLevel="0" collapsed="false">
      <c r="A1057" s="16" t="s">
        <v>33</v>
      </c>
      <c r="B1057" s="16" t="s">
        <v>155</v>
      </c>
      <c r="C1057" s="16" t="s">
        <v>179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true" customHeight="true" outlineLevel="0" collapsed="false">
      <c r="A1058" s="40" t="s">
        <v>33</v>
      </c>
      <c r="B1058" s="40" t="s">
        <v>155</v>
      </c>
      <c r="C1058" s="40" t="s">
        <v>180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true" customHeight="true" outlineLevel="0" collapsed="false">
      <c r="A1059" s="16" t="s">
        <v>40</v>
      </c>
      <c r="B1059" s="16" t="s">
        <v>155</v>
      </c>
      <c r="C1059" s="16" t="s">
        <v>181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155</v>
      </c>
      <c r="C1060" s="44" t="s">
        <v>243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true" customHeight="true" outlineLevel="0" collapsed="false">
      <c r="A1061" s="16" t="s">
        <v>45</v>
      </c>
      <c r="B1061" s="16" t="s">
        <v>155</v>
      </c>
      <c r="C1061" s="16" t="s">
        <v>244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true" customHeight="true" outlineLevel="0" collapsed="false">
      <c r="A1062" s="40" t="s">
        <v>48</v>
      </c>
      <c r="B1062" s="40" t="s">
        <v>155</v>
      </c>
      <c r="C1062" s="40" t="s">
        <v>186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155</v>
      </c>
      <c r="C1063" s="16" t="s">
        <v>245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155</v>
      </c>
      <c r="C1064" s="40" t="s">
        <v>156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155</v>
      </c>
      <c r="C1065" s="16" t="s">
        <v>157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155</v>
      </c>
      <c r="C1066" s="40" t="s">
        <v>158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155</v>
      </c>
      <c r="C1067" s="16" t="s">
        <v>159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155</v>
      </c>
      <c r="C1068" s="40" t="s">
        <v>160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155</v>
      </c>
      <c r="C1069" s="16" t="s">
        <v>161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162</v>
      </c>
      <c r="C1070" s="40" t="s">
        <v>163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162</v>
      </c>
      <c r="C1071" s="16" t="s">
        <v>164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162</v>
      </c>
      <c r="C1072" s="40" t="s">
        <v>165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155</v>
      </c>
      <c r="C1073" s="16" t="s">
        <v>166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155</v>
      </c>
      <c r="C1074" s="40" t="s">
        <v>167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155</v>
      </c>
      <c r="C1075" s="16" t="s">
        <v>168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155</v>
      </c>
      <c r="C1076" s="40" t="s">
        <v>156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155</v>
      </c>
      <c r="C1077" s="16" t="s">
        <v>157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155</v>
      </c>
      <c r="C1078" s="40" t="s">
        <v>158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155</v>
      </c>
      <c r="C1079" s="16" t="s">
        <v>159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155</v>
      </c>
      <c r="C1080" s="40" t="s">
        <v>160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155</v>
      </c>
      <c r="C1081" s="16" t="s">
        <v>161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162</v>
      </c>
      <c r="C1082" s="40" t="s">
        <v>163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162</v>
      </c>
      <c r="C1083" s="16" t="s">
        <v>164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162</v>
      </c>
      <c r="C1084" s="40" t="s">
        <v>222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155</v>
      </c>
      <c r="C1085" s="16" t="s">
        <v>166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155</v>
      </c>
      <c r="C1086" s="40" t="s">
        <v>187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155</v>
      </c>
      <c r="C1087" s="16" t="s">
        <v>240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155</v>
      </c>
      <c r="C1088" s="40" t="s">
        <v>167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155</v>
      </c>
      <c r="C1089" s="16" t="s">
        <v>168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162</v>
      </c>
      <c r="C1090" s="40" t="s">
        <v>194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162</v>
      </c>
      <c r="C1091" s="16" t="s">
        <v>195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155</v>
      </c>
      <c r="C1092" s="40" t="s">
        <v>196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155</v>
      </c>
      <c r="C1093" s="16" t="s">
        <v>161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155</v>
      </c>
      <c r="C1094" s="40" t="s">
        <v>198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155</v>
      </c>
      <c r="C1095" s="16" t="s">
        <v>170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155</v>
      </c>
      <c r="C1096" s="40" t="s">
        <v>171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155</v>
      </c>
      <c r="C1097" s="16" t="s">
        <v>169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162</v>
      </c>
      <c r="C1098" s="40" t="s">
        <v>165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162</v>
      </c>
      <c r="C1099" s="16" t="s">
        <v>200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162</v>
      </c>
      <c r="C1100" s="40" t="s">
        <v>201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162</v>
      </c>
      <c r="C1101" s="16" t="s">
        <v>202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162</v>
      </c>
      <c r="C1102" s="40" t="s">
        <v>203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155</v>
      </c>
      <c r="C1103" s="16" t="s">
        <v>167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155</v>
      </c>
      <c r="C1104" s="40" t="s">
        <v>168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162</v>
      </c>
      <c r="C1105" s="16" t="s">
        <v>204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155</v>
      </c>
      <c r="C1106" s="40" t="s">
        <v>205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155</v>
      </c>
      <c r="C1107" s="16" t="s">
        <v>206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155</v>
      </c>
      <c r="C1108" s="40" t="s">
        <v>207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155</v>
      </c>
      <c r="C1109" s="16" t="s">
        <v>208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155</v>
      </c>
      <c r="C1110" s="40" t="s">
        <v>156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155</v>
      </c>
      <c r="C1111" s="16" t="s">
        <v>157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155</v>
      </c>
      <c r="C1112" s="40" t="s">
        <v>158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155</v>
      </c>
      <c r="C1113" s="16" t="s">
        <v>159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155</v>
      </c>
      <c r="C1114" s="40" t="s">
        <v>160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155</v>
      </c>
      <c r="C1115" s="16" t="s">
        <v>161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162</v>
      </c>
      <c r="C1116" s="40" t="s">
        <v>209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155</v>
      </c>
      <c r="C1117" s="16" t="s">
        <v>166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155</v>
      </c>
      <c r="C1118" s="40" t="s">
        <v>238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155</v>
      </c>
      <c r="C1119" s="16" t="s">
        <v>167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155</v>
      </c>
      <c r="C1120" s="40" t="s">
        <v>168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155</v>
      </c>
      <c r="C1121" s="16" t="s">
        <v>156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155</v>
      </c>
      <c r="C1122" s="40" t="s">
        <v>157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155</v>
      </c>
      <c r="C1123" s="16" t="s">
        <v>158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155</v>
      </c>
      <c r="C1124" s="40" t="s">
        <v>159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155</v>
      </c>
      <c r="C1125" s="16" t="s">
        <v>160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155</v>
      </c>
      <c r="C1126" s="40" t="s">
        <v>161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162</v>
      </c>
      <c r="C1127" s="16" t="s">
        <v>241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162</v>
      </c>
      <c r="C1128" s="40" t="s">
        <v>163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162</v>
      </c>
      <c r="C1129" s="16" t="s">
        <v>164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162</v>
      </c>
      <c r="C1130" s="40" t="s">
        <v>222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155</v>
      </c>
      <c r="C1131" s="16" t="s">
        <v>166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155</v>
      </c>
      <c r="C1132" s="40" t="s">
        <v>167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155</v>
      </c>
      <c r="C1133" s="16" t="s">
        <v>168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162</v>
      </c>
      <c r="C1134" s="40" t="s">
        <v>211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155</v>
      </c>
      <c r="C1135" s="16" t="s">
        <v>156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155</v>
      </c>
      <c r="C1136" s="40" t="s">
        <v>157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155</v>
      </c>
      <c r="C1137" s="16" t="s">
        <v>158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155</v>
      </c>
      <c r="C1138" s="40" t="s">
        <v>159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155</v>
      </c>
      <c r="C1139" s="16" t="s">
        <v>212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155</v>
      </c>
      <c r="C1140" s="40" t="s">
        <v>161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155</v>
      </c>
      <c r="C1141" s="16" t="s">
        <v>167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155</v>
      </c>
      <c r="C1142" s="40" t="s">
        <v>168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155</v>
      </c>
      <c r="C1143" s="16" t="s">
        <v>156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155</v>
      </c>
      <c r="C1144" s="40" t="s">
        <v>157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155</v>
      </c>
      <c r="C1145" s="16" t="s">
        <v>158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155</v>
      </c>
      <c r="C1146" s="40" t="s">
        <v>159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155</v>
      </c>
      <c r="C1147" s="16" t="s">
        <v>160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155</v>
      </c>
      <c r="C1148" s="40" t="s">
        <v>161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162</v>
      </c>
      <c r="C1149" s="16" t="s">
        <v>165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162</v>
      </c>
      <c r="C1150" s="40" t="s">
        <v>165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162</v>
      </c>
      <c r="C1151" s="16" t="s">
        <v>165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162</v>
      </c>
      <c r="C1152" s="40" t="s">
        <v>214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162</v>
      </c>
      <c r="C1153" s="16" t="s">
        <v>163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162</v>
      </c>
      <c r="C1154" s="40" t="s">
        <v>164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155</v>
      </c>
      <c r="C1155" s="16" t="s">
        <v>166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155</v>
      </c>
      <c r="C1156" s="40" t="s">
        <v>238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155</v>
      </c>
      <c r="C1157" s="16" t="s">
        <v>167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155</v>
      </c>
      <c r="C1158" s="40" t="s">
        <v>168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155</v>
      </c>
      <c r="C1159" s="16" t="s">
        <v>156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155</v>
      </c>
      <c r="C1160" s="40" t="s">
        <v>157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155</v>
      </c>
      <c r="C1161" s="16" t="s">
        <v>158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155</v>
      </c>
      <c r="C1162" s="40" t="s">
        <v>159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155</v>
      </c>
      <c r="C1163" s="16" t="s">
        <v>160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155</v>
      </c>
      <c r="C1164" s="40" t="s">
        <v>161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162</v>
      </c>
      <c r="C1165" s="16" t="s">
        <v>215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162</v>
      </c>
      <c r="C1166" s="40" t="s">
        <v>163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162</v>
      </c>
      <c r="C1167" s="16" t="s">
        <v>164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155</v>
      </c>
      <c r="C1168" s="40" t="s">
        <v>166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155</v>
      </c>
      <c r="C1169" s="16" t="s">
        <v>167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155</v>
      </c>
      <c r="C1170" s="40" t="s">
        <v>168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155</v>
      </c>
      <c r="C1171" s="16" t="s">
        <v>156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155</v>
      </c>
      <c r="C1172" s="40" t="s">
        <v>157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162</v>
      </c>
      <c r="C1173" s="16" t="s">
        <v>194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155</v>
      </c>
      <c r="C1174" s="40" t="s">
        <v>158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155</v>
      </c>
      <c r="C1175" s="16" t="s">
        <v>159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155</v>
      </c>
      <c r="C1176" s="40" t="s">
        <v>160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155</v>
      </c>
      <c r="C1177" s="16" t="s">
        <v>161</v>
      </c>
      <c r="D1177" s="38" t="n">
        <v>1</v>
      </c>
      <c r="E1177" s="39" t="n">
        <v>62444.09</v>
      </c>
      <c r="F1177" s="22" t="n">
        <f aca="false">IFERROR(E1177,0)</f>
        <v>62444.09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162</v>
      </c>
      <c r="C1178" s="40" t="s">
        <v>163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162</v>
      </c>
      <c r="C1179" s="16" t="s">
        <v>164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162</v>
      </c>
      <c r="C1180" s="40" t="s">
        <v>209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162</v>
      </c>
      <c r="C1181" s="16" t="s">
        <v>222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155</v>
      </c>
      <c r="C1182" s="40" t="s">
        <v>166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162</v>
      </c>
      <c r="C1183" s="16" t="s">
        <v>217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155</v>
      </c>
      <c r="C1184" s="40" t="s">
        <v>238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155</v>
      </c>
      <c r="C1185" s="16" t="s">
        <v>167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155</v>
      </c>
      <c r="C1186" s="40" t="s">
        <v>168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155</v>
      </c>
      <c r="C1187" s="16" t="s">
        <v>156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155</v>
      </c>
      <c r="C1188" s="40" t="s">
        <v>157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155</v>
      </c>
      <c r="C1189" s="16" t="s">
        <v>158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155</v>
      </c>
      <c r="C1190" s="40" t="s">
        <v>159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155</v>
      </c>
      <c r="C1191" s="16" t="s">
        <v>160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155</v>
      </c>
      <c r="C1192" s="40" t="s">
        <v>161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162</v>
      </c>
      <c r="C1193" s="16" t="s">
        <v>163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162</v>
      </c>
      <c r="C1194" s="40" t="s">
        <v>164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162</v>
      </c>
      <c r="C1195" s="16" t="s">
        <v>209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162</v>
      </c>
      <c r="C1196" s="40" t="s">
        <v>222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162</v>
      </c>
      <c r="C1197" s="16" t="s">
        <v>165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155</v>
      </c>
      <c r="C1198" s="40" t="s">
        <v>166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155</v>
      </c>
      <c r="C1199" s="16" t="s">
        <v>238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155</v>
      </c>
      <c r="C1200" s="40" t="s">
        <v>167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155</v>
      </c>
      <c r="C1201" s="16" t="s">
        <v>168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155</v>
      </c>
      <c r="C1202" s="40" t="s">
        <v>156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155</v>
      </c>
      <c r="C1203" s="16" t="s">
        <v>157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155</v>
      </c>
      <c r="C1204" s="40" t="s">
        <v>158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155</v>
      </c>
      <c r="C1205" s="16" t="s">
        <v>159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155</v>
      </c>
      <c r="C1206" s="40" t="s">
        <v>160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155</v>
      </c>
      <c r="C1207" s="16" t="s">
        <v>161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155</v>
      </c>
      <c r="C1208" s="40" t="s">
        <v>219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162</v>
      </c>
      <c r="C1209" s="16" t="s">
        <v>163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162</v>
      </c>
      <c r="C1210" s="40" t="s">
        <v>164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155</v>
      </c>
      <c r="C1211" s="16" t="s">
        <v>166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155</v>
      </c>
      <c r="C1212" s="40" t="s">
        <v>238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155</v>
      </c>
      <c r="C1213" s="16" t="s">
        <v>167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155</v>
      </c>
      <c r="C1214" s="40" t="s">
        <v>168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155</v>
      </c>
      <c r="C1215" s="16" t="s">
        <v>156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155</v>
      </c>
      <c r="C1216" s="40" t="s">
        <v>157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155</v>
      </c>
      <c r="C1217" s="16" t="s">
        <v>158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155</v>
      </c>
      <c r="C1218" s="40" t="s">
        <v>159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155</v>
      </c>
      <c r="C1219" s="16" t="s">
        <v>160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155</v>
      </c>
      <c r="C1220" s="40" t="s">
        <v>161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162</v>
      </c>
      <c r="C1221" s="16" t="s">
        <v>217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162</v>
      </c>
      <c r="C1222" s="40" t="s">
        <v>220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162</v>
      </c>
      <c r="C1223" s="16" t="s">
        <v>163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162</v>
      </c>
      <c r="C1224" s="40" t="s">
        <v>164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162</v>
      </c>
      <c r="C1225" s="16" t="s">
        <v>221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162</v>
      </c>
      <c r="C1226" s="40" t="s">
        <v>209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155</v>
      </c>
      <c r="C1227" s="16" t="s">
        <v>166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155</v>
      </c>
      <c r="C1228" s="40" t="s">
        <v>238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155</v>
      </c>
      <c r="C1229" s="16" t="s">
        <v>167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155</v>
      </c>
      <c r="C1230" s="40" t="s">
        <v>168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155</v>
      </c>
      <c r="C1231" s="16" t="s">
        <v>156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155</v>
      </c>
      <c r="C1232" s="40" t="s">
        <v>157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155</v>
      </c>
      <c r="C1233" s="16" t="s">
        <v>160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155</v>
      </c>
      <c r="C1234" s="40" t="s">
        <v>161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162</v>
      </c>
      <c r="C1235" s="16" t="s">
        <v>218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162</v>
      </c>
      <c r="C1236" s="40" t="s">
        <v>221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155</v>
      </c>
      <c r="C1237" s="16" t="s">
        <v>166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162</v>
      </c>
      <c r="C1238" s="40" t="s">
        <v>217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155</v>
      </c>
      <c r="C1239" s="16" t="s">
        <v>167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155</v>
      </c>
      <c r="C1240" s="40" t="s">
        <v>168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155</v>
      </c>
      <c r="C1241" s="16" t="s">
        <v>156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155</v>
      </c>
      <c r="C1242" s="40" t="s">
        <v>157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155</v>
      </c>
      <c r="C1243" s="16" t="s">
        <v>158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155</v>
      </c>
      <c r="C1244" s="40" t="s">
        <v>159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155</v>
      </c>
      <c r="C1245" s="16" t="s">
        <v>160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155</v>
      </c>
      <c r="C1246" s="40" t="s">
        <v>161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155</v>
      </c>
      <c r="C1247" s="16" t="s">
        <v>166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162</v>
      </c>
      <c r="C1248" s="40" t="s">
        <v>217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155</v>
      </c>
      <c r="C1249" s="16" t="s">
        <v>167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155</v>
      </c>
      <c r="C1250" s="40" t="s">
        <v>168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155</v>
      </c>
      <c r="C1251" s="16" t="s">
        <v>156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155</v>
      </c>
      <c r="C1252" s="40" t="s">
        <v>157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155</v>
      </c>
      <c r="C1253" s="16" t="s">
        <v>158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155</v>
      </c>
      <c r="C1254" s="40" t="s">
        <v>159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155</v>
      </c>
      <c r="C1255" s="16" t="s">
        <v>160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155</v>
      </c>
      <c r="C1256" s="40" t="s">
        <v>161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155</v>
      </c>
      <c r="C1257" s="16" t="s">
        <v>223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162</v>
      </c>
      <c r="C1258" s="40" t="s">
        <v>163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162</v>
      </c>
      <c r="C1259" s="16" t="s">
        <v>164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162</v>
      </c>
      <c r="C1260" s="40" t="s">
        <v>222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155</v>
      </c>
      <c r="C1261" s="16" t="s">
        <v>166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155</v>
      </c>
      <c r="C1262" s="40" t="s">
        <v>187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155</v>
      </c>
      <c r="C1263" s="16" t="s">
        <v>240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155</v>
      </c>
      <c r="C1264" s="40" t="s">
        <v>167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155</v>
      </c>
      <c r="C1265" s="16" t="s">
        <v>168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155</v>
      </c>
      <c r="C1266" s="40" t="s">
        <v>160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155</v>
      </c>
      <c r="C1267" s="16" t="s">
        <v>161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162</v>
      </c>
      <c r="C1268" s="40" t="s">
        <v>218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162</v>
      </c>
      <c r="C1269" s="16" t="s">
        <v>221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162</v>
      </c>
      <c r="C1270" s="40" t="s">
        <v>222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155</v>
      </c>
      <c r="C1271" s="16" t="s">
        <v>166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162</v>
      </c>
      <c r="C1272" s="40" t="s">
        <v>217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155</v>
      </c>
      <c r="C1273" s="16" t="s">
        <v>167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155</v>
      </c>
      <c r="C1274" s="40" t="s">
        <v>168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155</v>
      </c>
      <c r="C1275" s="16" t="s">
        <v>156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155</v>
      </c>
      <c r="C1276" s="40" t="s">
        <v>157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155</v>
      </c>
      <c r="C1277" s="16" t="s">
        <v>224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155</v>
      </c>
      <c r="C1278" s="40" t="s">
        <v>158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155</v>
      </c>
      <c r="C1279" s="16" t="s">
        <v>159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155</v>
      </c>
      <c r="C1280" s="40" t="s">
        <v>160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155</v>
      </c>
      <c r="C1281" s="16" t="s">
        <v>161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162</v>
      </c>
      <c r="C1282" s="40" t="s">
        <v>217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162</v>
      </c>
      <c r="C1283" s="16" t="s">
        <v>220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162</v>
      </c>
      <c r="C1284" s="40" t="s">
        <v>209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155</v>
      </c>
      <c r="C1285" s="16" t="s">
        <v>167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155</v>
      </c>
      <c r="C1286" s="40" t="s">
        <v>168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155</v>
      </c>
      <c r="C1287" s="16" t="s">
        <v>156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155</v>
      </c>
      <c r="C1288" s="40" t="s">
        <v>157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155</v>
      </c>
      <c r="C1289" s="16" t="s">
        <v>158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155</v>
      </c>
      <c r="C1290" s="40" t="s">
        <v>159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155</v>
      </c>
      <c r="C1291" s="16" t="s">
        <v>160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155</v>
      </c>
      <c r="C1292" s="40" t="s">
        <v>161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162</v>
      </c>
      <c r="C1293" s="16" t="s">
        <v>225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162</v>
      </c>
      <c r="C1294" s="40" t="s">
        <v>226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155</v>
      </c>
      <c r="C1295" s="16" t="s">
        <v>227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162</v>
      </c>
      <c r="C1296" s="40" t="s">
        <v>228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155</v>
      </c>
      <c r="C1297" s="16" t="s">
        <v>229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155</v>
      </c>
      <c r="C1298" s="40" t="s">
        <v>230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155</v>
      </c>
      <c r="C1299" s="16" t="s">
        <v>166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155</v>
      </c>
      <c r="C1300" s="40" t="s">
        <v>238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155</v>
      </c>
      <c r="C1301" s="16" t="s">
        <v>167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155</v>
      </c>
      <c r="C1302" s="40" t="s">
        <v>168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155</v>
      </c>
      <c r="C1303" s="16" t="s">
        <v>156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155</v>
      </c>
      <c r="C1304" s="40" t="s">
        <v>157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155</v>
      </c>
      <c r="C1305" s="16" t="s">
        <v>158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155</v>
      </c>
      <c r="C1306" s="40" t="s">
        <v>159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155</v>
      </c>
      <c r="C1307" s="16" t="s">
        <v>160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155</v>
      </c>
      <c r="C1308" s="40" t="s">
        <v>161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162</v>
      </c>
      <c r="C1309" s="16" t="s">
        <v>163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162</v>
      </c>
      <c r="C1310" s="40" t="s">
        <v>164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162</v>
      </c>
      <c r="C1311" s="16" t="s">
        <v>222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155</v>
      </c>
      <c r="C1312" s="40" t="s">
        <v>166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155</v>
      </c>
      <c r="C1313" s="16" t="s">
        <v>187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155</v>
      </c>
      <c r="C1314" s="40" t="s">
        <v>240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155</v>
      </c>
      <c r="C1315" s="16" t="s">
        <v>167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155</v>
      </c>
      <c r="C1316" s="40" t="s">
        <v>168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155</v>
      </c>
      <c r="C1317" s="16" t="s">
        <v>156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155</v>
      </c>
      <c r="C1318" s="40" t="s">
        <v>157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155</v>
      </c>
      <c r="C1319" s="16" t="s">
        <v>158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155</v>
      </c>
      <c r="C1320" s="40" t="s">
        <v>159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155</v>
      </c>
      <c r="C1321" s="16" t="s">
        <v>160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155</v>
      </c>
      <c r="C1322" s="40" t="s">
        <v>161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162</v>
      </c>
      <c r="C1323" s="16" t="s">
        <v>221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162</v>
      </c>
      <c r="C1324" s="40" t="s">
        <v>165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162</v>
      </c>
      <c r="C1325" s="16" t="s">
        <v>165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162</v>
      </c>
      <c r="C1326" s="40" t="s">
        <v>165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162</v>
      </c>
      <c r="C1327" s="16" t="s">
        <v>165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162</v>
      </c>
      <c r="C1328" s="40" t="s">
        <v>165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162</v>
      </c>
      <c r="C1329" s="16" t="s">
        <v>163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162</v>
      </c>
      <c r="C1330" s="40" t="s">
        <v>164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162</v>
      </c>
      <c r="C1331" s="16" t="s">
        <v>209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162</v>
      </c>
      <c r="C1332" s="40" t="s">
        <v>232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155</v>
      </c>
      <c r="C1333" s="16" t="s">
        <v>166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162</v>
      </c>
      <c r="C1334" s="40" t="s">
        <v>217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155</v>
      </c>
      <c r="C1335" s="16" t="s">
        <v>238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155</v>
      </c>
      <c r="C1336" s="40" t="s">
        <v>167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155</v>
      </c>
      <c r="C1337" s="16" t="s">
        <v>168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155</v>
      </c>
      <c r="C1338" s="40" t="s">
        <v>156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155</v>
      </c>
      <c r="C1339" s="16" t="s">
        <v>157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155</v>
      </c>
      <c r="C1340" s="40" t="s">
        <v>158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155</v>
      </c>
      <c r="C1341" s="16" t="s">
        <v>159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155</v>
      </c>
      <c r="C1342" s="40" t="s">
        <v>160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155</v>
      </c>
      <c r="C1343" s="16" t="s">
        <v>161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155</v>
      </c>
      <c r="C1344" s="40" t="s">
        <v>166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155</v>
      </c>
      <c r="C1345" s="16" t="s">
        <v>187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155</v>
      </c>
      <c r="C1346" s="40" t="s">
        <v>240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155</v>
      </c>
      <c r="C1347" s="16" t="s">
        <v>167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155</v>
      </c>
      <c r="C1348" s="40" t="s">
        <v>168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155</v>
      </c>
      <c r="C1349" s="16" t="s">
        <v>156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155</v>
      </c>
      <c r="C1350" s="40" t="s">
        <v>157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155</v>
      </c>
      <c r="C1351" s="16" t="s">
        <v>158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155</v>
      </c>
      <c r="C1352" s="40" t="s">
        <v>159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155</v>
      </c>
      <c r="C1353" s="16" t="s">
        <v>160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155</v>
      </c>
      <c r="C1354" s="40" t="s">
        <v>161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155</v>
      </c>
      <c r="C1355" s="16" t="s">
        <v>166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155</v>
      </c>
      <c r="C1356" s="40" t="s">
        <v>187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155</v>
      </c>
      <c r="C1357" s="16" t="s">
        <v>240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155</v>
      </c>
      <c r="C1358" s="40" t="s">
        <v>167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155</v>
      </c>
      <c r="C1359" s="16" t="s">
        <v>168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155</v>
      </c>
      <c r="C1360" s="40" t="s">
        <v>156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155</v>
      </c>
      <c r="C1361" s="16" t="s">
        <v>157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155</v>
      </c>
      <c r="C1362" s="40" t="s">
        <v>158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155</v>
      </c>
      <c r="C1363" s="16" t="s">
        <v>159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155</v>
      </c>
      <c r="C1364" s="40" t="s">
        <v>160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155</v>
      </c>
      <c r="C1365" s="16" t="s">
        <v>161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155</v>
      </c>
      <c r="C1366" s="40" t="s">
        <v>166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155</v>
      </c>
      <c r="C1367" s="16" t="s">
        <v>167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155</v>
      </c>
      <c r="C1368" s="40" t="s">
        <v>168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155</v>
      </c>
      <c r="C1369" s="44" t="s">
        <v>236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155</v>
      </c>
      <c r="C1370" s="40" t="s">
        <v>170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155</v>
      </c>
      <c r="C1371" s="16" t="s">
        <v>171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155</v>
      </c>
      <c r="C1372" s="40" t="s">
        <v>169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155</v>
      </c>
      <c r="C1373" s="16" t="s">
        <v>170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155</v>
      </c>
      <c r="C1374" s="40" t="s">
        <v>171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155</v>
      </c>
      <c r="C1375" s="16" t="s">
        <v>169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155</v>
      </c>
      <c r="C1376" s="40" t="s">
        <v>170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155</v>
      </c>
      <c r="C1377" s="16" t="s">
        <v>171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155</v>
      </c>
      <c r="C1378" s="40" t="s">
        <v>169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155</v>
      </c>
      <c r="C1379" s="16" t="s">
        <v>170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155</v>
      </c>
      <c r="C1380" s="40" t="s">
        <v>171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155</v>
      </c>
      <c r="C1381" s="16" t="s">
        <v>169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155</v>
      </c>
      <c r="C1382" s="40" t="s">
        <v>170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155</v>
      </c>
      <c r="C1383" s="16" t="s">
        <v>171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155</v>
      </c>
      <c r="C1384" s="40" t="s">
        <v>169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155</v>
      </c>
      <c r="C1385" s="16" t="s">
        <v>170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155</v>
      </c>
      <c r="C1386" s="40" t="s">
        <v>171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155</v>
      </c>
      <c r="C1387" s="16" t="s">
        <v>169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155</v>
      </c>
      <c r="C1388" s="40" t="s">
        <v>170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155</v>
      </c>
      <c r="C1389" s="16" t="s">
        <v>171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155</v>
      </c>
      <c r="C1390" s="40" t="s">
        <v>169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155</v>
      </c>
      <c r="C1391" s="16" t="s">
        <v>170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155</v>
      </c>
      <c r="C1392" s="40" t="s">
        <v>171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155</v>
      </c>
      <c r="C1393" s="16" t="s">
        <v>169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155</v>
      </c>
      <c r="C1394" s="40" t="s">
        <v>170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155</v>
      </c>
      <c r="C1395" s="16" t="s">
        <v>171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155</v>
      </c>
      <c r="C1396" s="40" t="s">
        <v>169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155</v>
      </c>
      <c r="C1397" s="16" t="s">
        <v>170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155</v>
      </c>
      <c r="C1398" s="40" t="s">
        <v>171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155</v>
      </c>
      <c r="C1399" s="16" t="s">
        <v>169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155</v>
      </c>
      <c r="C1400" s="40" t="s">
        <v>170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155</v>
      </c>
      <c r="C1401" s="16" t="s">
        <v>171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155</v>
      </c>
      <c r="C1402" s="40" t="s">
        <v>169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155</v>
      </c>
      <c r="C1403" s="16" t="s">
        <v>170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155</v>
      </c>
      <c r="C1404" s="40" t="s">
        <v>171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155</v>
      </c>
      <c r="C1405" s="16" t="s">
        <v>169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155</v>
      </c>
      <c r="C1406" s="40" t="s">
        <v>170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155</v>
      </c>
      <c r="C1407" s="16" t="s">
        <v>171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155</v>
      </c>
      <c r="C1408" s="40" t="s">
        <v>169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155</v>
      </c>
      <c r="C1409" s="16" t="s">
        <v>170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155</v>
      </c>
      <c r="C1410" s="40" t="s">
        <v>171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155</v>
      </c>
      <c r="C1411" s="16" t="s">
        <v>169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155</v>
      </c>
      <c r="C1412" s="40" t="s">
        <v>170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155</v>
      </c>
      <c r="C1413" s="16" t="s">
        <v>171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155</v>
      </c>
      <c r="C1414" s="40" t="s">
        <v>169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155</v>
      </c>
      <c r="C1415" s="16" t="s">
        <v>170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155</v>
      </c>
      <c r="C1416" s="40" t="s">
        <v>171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155</v>
      </c>
      <c r="C1417" s="16" t="s">
        <v>169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155</v>
      </c>
      <c r="C1418" s="40" t="s">
        <v>170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155</v>
      </c>
      <c r="C1419" s="16" t="s">
        <v>171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155</v>
      </c>
      <c r="C1420" s="40" t="s">
        <v>169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155</v>
      </c>
      <c r="C1421" s="16" t="s">
        <v>170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155</v>
      </c>
      <c r="C1422" s="40" t="s">
        <v>171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155</v>
      </c>
      <c r="C1423" s="16" t="s">
        <v>169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155</v>
      </c>
      <c r="C1424" s="40" t="s">
        <v>170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155</v>
      </c>
      <c r="C1425" s="16" t="s">
        <v>171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155</v>
      </c>
      <c r="C1426" s="40" t="s">
        <v>169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155</v>
      </c>
      <c r="C1427" s="16" t="s">
        <v>170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155</v>
      </c>
      <c r="C1428" s="40" t="s">
        <v>171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155</v>
      </c>
      <c r="C1429" s="16" t="s">
        <v>169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155</v>
      </c>
      <c r="C1430" s="40" t="s">
        <v>170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155</v>
      </c>
      <c r="C1431" s="16" t="s">
        <v>171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155</v>
      </c>
      <c r="C1432" s="40" t="s">
        <v>169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155</v>
      </c>
      <c r="C1433" s="16" t="s">
        <v>170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155</v>
      </c>
      <c r="C1434" s="40" t="s">
        <v>171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155</v>
      </c>
      <c r="C1435" s="16" t="s">
        <v>169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155</v>
      </c>
      <c r="C1436" s="40" t="s">
        <v>170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155</v>
      </c>
      <c r="C1437" s="16" t="s">
        <v>171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155</v>
      </c>
      <c r="C1438" s="40" t="s">
        <v>169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155</v>
      </c>
      <c r="C1439" s="16" t="s">
        <v>246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155</v>
      </c>
      <c r="C1440" s="40" t="s">
        <v>240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162</v>
      </c>
      <c r="C1441" s="16" t="s">
        <v>217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162</v>
      </c>
      <c r="C1442" s="40" t="s">
        <v>165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162</v>
      </c>
      <c r="C1443" s="16" t="s">
        <v>222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162</v>
      </c>
      <c r="C1444" s="40" t="s">
        <v>222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162</v>
      </c>
      <c r="C1445" s="16" t="s">
        <v>222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162</v>
      </c>
      <c r="C1446" s="40" t="s">
        <v>222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162</v>
      </c>
      <c r="C1447" s="16" t="s">
        <v>222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162</v>
      </c>
      <c r="C1448" s="40" t="s">
        <v>222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162</v>
      </c>
      <c r="C1449" s="16" t="s">
        <v>222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162</v>
      </c>
      <c r="C1450" s="40" t="s">
        <v>217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true" customHeight="true" outlineLevel="0" collapsed="false">
      <c r="A1451" s="16" t="s">
        <v>48</v>
      </c>
      <c r="B1451" s="16" t="s">
        <v>162</v>
      </c>
      <c r="C1451" s="16" t="s">
        <v>247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155</v>
      </c>
      <c r="C1452" s="40" t="s">
        <v>161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155</v>
      </c>
      <c r="C1453" s="16" t="s">
        <v>157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162</v>
      </c>
      <c r="C1454" s="40" t="s">
        <v>165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155</v>
      </c>
      <c r="C1455" s="16" t="s">
        <v>161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155</v>
      </c>
      <c r="C1456" s="40" t="s">
        <v>157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162</v>
      </c>
      <c r="C1457" s="16" t="s">
        <v>217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155</v>
      </c>
      <c r="C1458" s="40" t="s">
        <v>161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155</v>
      </c>
      <c r="C1459" s="16" t="s">
        <v>157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162</v>
      </c>
      <c r="C1460" s="40" t="s">
        <v>217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162</v>
      </c>
      <c r="C1461" s="16" t="s">
        <v>165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155</v>
      </c>
      <c r="C1462" s="40" t="s">
        <v>161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155</v>
      </c>
      <c r="C1463" s="16" t="s">
        <v>157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155</v>
      </c>
      <c r="C1464" s="40" t="s">
        <v>161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155</v>
      </c>
      <c r="C1465" s="16" t="s">
        <v>161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155</v>
      </c>
      <c r="C1466" s="40" t="s">
        <v>161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162</v>
      </c>
      <c r="C1467" s="16" t="s">
        <v>217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162</v>
      </c>
      <c r="C1468" s="40" t="s">
        <v>221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155</v>
      </c>
      <c r="C1469" s="16" t="s">
        <v>161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162</v>
      </c>
      <c r="C1470" s="40" t="s">
        <v>217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162</v>
      </c>
      <c r="C1471" s="16" t="s">
        <v>221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155</v>
      </c>
      <c r="C1472" s="40" t="s">
        <v>161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155</v>
      </c>
      <c r="C1473" s="16" t="s">
        <v>156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155</v>
      </c>
      <c r="C1474" s="40" t="s">
        <v>157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155</v>
      </c>
      <c r="C1475" s="16" t="s">
        <v>157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155</v>
      </c>
      <c r="C1476" s="40" t="s">
        <v>157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155</v>
      </c>
      <c r="C1477" s="16" t="s">
        <v>167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155</v>
      </c>
      <c r="C1478" s="40" t="s">
        <v>168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155</v>
      </c>
      <c r="C1479" s="16" t="s">
        <v>166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155</v>
      </c>
      <c r="C1480" s="40" t="s">
        <v>170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155</v>
      </c>
      <c r="C1481" s="16" t="s">
        <v>171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155</v>
      </c>
      <c r="C1482" s="40" t="s">
        <v>169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155</v>
      </c>
      <c r="C1483" s="16" t="s">
        <v>167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155</v>
      </c>
      <c r="C1484" s="40" t="s">
        <v>168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155</v>
      </c>
      <c r="C1485" s="16" t="s">
        <v>166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155</v>
      </c>
      <c r="C1486" s="40" t="s">
        <v>170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155</v>
      </c>
      <c r="C1487" s="16" t="s">
        <v>171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155</v>
      </c>
      <c r="C1488" s="40" t="s">
        <v>169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155</v>
      </c>
      <c r="C1489" s="16" t="s">
        <v>167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155</v>
      </c>
      <c r="C1490" s="40" t="s">
        <v>168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155</v>
      </c>
      <c r="C1491" s="16" t="s">
        <v>166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155</v>
      </c>
      <c r="C1492" s="40" t="s">
        <v>170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155</v>
      </c>
      <c r="C1493" s="16" t="s">
        <v>171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155</v>
      </c>
      <c r="C1494" s="40" t="s">
        <v>169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155</v>
      </c>
      <c r="C1495" s="16" t="s">
        <v>167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155</v>
      </c>
      <c r="C1496" s="40" t="s">
        <v>168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155</v>
      </c>
      <c r="C1497" s="16" t="s">
        <v>166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155</v>
      </c>
      <c r="C1498" s="40" t="s">
        <v>170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155</v>
      </c>
      <c r="C1499" s="16" t="s">
        <v>171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155</v>
      </c>
      <c r="C1500" s="40" t="s">
        <v>169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155</v>
      </c>
      <c r="C1501" s="16" t="s">
        <v>167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155</v>
      </c>
      <c r="C1502" s="40" t="s">
        <v>168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155</v>
      </c>
      <c r="C1503" s="16" t="s">
        <v>166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155</v>
      </c>
      <c r="C1504" s="40" t="s">
        <v>170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155</v>
      </c>
      <c r="C1505" s="16" t="s">
        <v>171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155</v>
      </c>
      <c r="C1506" s="40" t="s">
        <v>169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155</v>
      </c>
      <c r="C1507" s="16" t="s">
        <v>167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155</v>
      </c>
      <c r="C1508" s="40" t="s">
        <v>168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155</v>
      </c>
      <c r="C1509" s="16" t="s">
        <v>166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155</v>
      </c>
      <c r="C1510" s="40" t="s">
        <v>170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155</v>
      </c>
      <c r="C1511" s="16" t="s">
        <v>171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155</v>
      </c>
      <c r="C1512" s="40" t="s">
        <v>169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155</v>
      </c>
      <c r="C1513" s="16" t="s">
        <v>167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155</v>
      </c>
      <c r="C1514" s="40" t="s">
        <v>168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155</v>
      </c>
      <c r="C1515" s="16" t="s">
        <v>166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155</v>
      </c>
      <c r="C1516" s="40" t="s">
        <v>170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155</v>
      </c>
      <c r="C1517" s="16" t="s">
        <v>171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155</v>
      </c>
      <c r="C1518" s="40" t="s">
        <v>169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155</v>
      </c>
      <c r="C1519" s="16" t="s">
        <v>167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155</v>
      </c>
      <c r="C1520" s="40" t="s">
        <v>168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155</v>
      </c>
      <c r="C1521" s="16" t="s">
        <v>166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155</v>
      </c>
      <c r="C1522" s="40" t="s">
        <v>170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155</v>
      </c>
      <c r="C1523" s="16" t="s">
        <v>171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155</v>
      </c>
      <c r="C1524" s="40" t="s">
        <v>169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155</v>
      </c>
      <c r="C1525" s="16" t="s">
        <v>167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155</v>
      </c>
      <c r="C1526" s="40" t="s">
        <v>168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155</v>
      </c>
      <c r="C1527" s="16" t="s">
        <v>166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155</v>
      </c>
      <c r="C1528" s="40" t="s">
        <v>170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155</v>
      </c>
      <c r="C1529" s="16" t="s">
        <v>171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155</v>
      </c>
      <c r="C1530" s="40" t="s">
        <v>169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155</v>
      </c>
      <c r="C1531" s="16" t="s">
        <v>238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155</v>
      </c>
      <c r="C1532" s="40" t="s">
        <v>238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155</v>
      </c>
      <c r="C1533" s="16" t="s">
        <v>238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155</v>
      </c>
      <c r="C1534" s="40" t="s">
        <v>238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155</v>
      </c>
      <c r="C1535" s="16" t="s">
        <v>238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155</v>
      </c>
      <c r="C1536" s="40" t="s">
        <v>238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155</v>
      </c>
      <c r="C1537" s="16" t="s">
        <v>166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155</v>
      </c>
      <c r="C1538" s="40" t="s">
        <v>237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155</v>
      </c>
      <c r="C1539" s="16" t="s">
        <v>161</v>
      </c>
      <c r="D1539" s="38" t="n">
        <v>1</v>
      </c>
      <c r="E1539" s="39" t="n">
        <v>27510.6</v>
      </c>
      <c r="F1539" s="22" t="n">
        <v>27510.6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155</v>
      </c>
      <c r="C1540" s="40" t="s">
        <v>166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162</v>
      </c>
      <c r="C1541" s="16" t="s">
        <v>209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162</v>
      </c>
      <c r="C1542" s="40" t="s">
        <v>209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155</v>
      </c>
      <c r="C1543" s="16" t="s">
        <v>158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155</v>
      </c>
      <c r="C1544" s="40" t="s">
        <v>159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155</v>
      </c>
      <c r="C1545" s="16" t="s">
        <v>158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155</v>
      </c>
      <c r="C1546" s="40" t="s">
        <v>159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162</v>
      </c>
      <c r="C1547" s="16" t="s">
        <v>222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162</v>
      </c>
      <c r="C1548" s="40" t="s">
        <v>222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162</v>
      </c>
      <c r="C1549" s="16" t="s">
        <v>222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162</v>
      </c>
      <c r="C1550" s="40" t="s">
        <v>222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162</v>
      </c>
      <c r="C1551" s="16" t="s">
        <v>222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162</v>
      </c>
      <c r="C1552" s="40" t="s">
        <v>222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162</v>
      </c>
      <c r="C1553" s="16" t="s">
        <v>222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162</v>
      </c>
      <c r="C1554" s="40" t="s">
        <v>222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162</v>
      </c>
      <c r="C1555" s="16" t="s">
        <v>222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162</v>
      </c>
      <c r="C1556" s="40" t="s">
        <v>222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162</v>
      </c>
      <c r="C1557" s="16" t="s">
        <v>222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162</v>
      </c>
      <c r="C1558" s="40" t="s">
        <v>222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162</v>
      </c>
      <c r="C1559" s="16" t="s">
        <v>222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162</v>
      </c>
      <c r="C1560" s="40" t="s">
        <v>222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162</v>
      </c>
      <c r="C1561" s="16" t="s">
        <v>222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162</v>
      </c>
      <c r="C1562" s="40" t="s">
        <v>222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155</v>
      </c>
      <c r="C1563" s="16" t="s">
        <v>238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155</v>
      </c>
      <c r="C1564" s="40" t="s">
        <v>238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155</v>
      </c>
      <c r="C1565" s="16" t="s">
        <v>238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155</v>
      </c>
      <c r="C1566" s="40" t="s">
        <v>238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155</v>
      </c>
      <c r="C1567" s="16" t="s">
        <v>238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155</v>
      </c>
      <c r="C1568" s="40" t="s">
        <v>238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155</v>
      </c>
      <c r="C1569" s="16" t="s">
        <v>238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155</v>
      </c>
      <c r="C1570" s="40" t="s">
        <v>238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155</v>
      </c>
      <c r="C1571" s="16" t="s">
        <v>212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155</v>
      </c>
      <c r="C1572" s="40" t="s">
        <v>212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155</v>
      </c>
      <c r="C1573" s="16" t="s">
        <v>212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155</v>
      </c>
      <c r="C1574" s="40" t="s">
        <v>212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155</v>
      </c>
      <c r="C1575" s="16" t="s">
        <v>212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155</v>
      </c>
      <c r="C1576" s="40" t="s">
        <v>212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155</v>
      </c>
      <c r="C1577" s="16" t="s">
        <v>212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155</v>
      </c>
      <c r="C1578" s="40" t="s">
        <v>212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155</v>
      </c>
      <c r="C1579" s="16" t="s">
        <v>212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155</v>
      </c>
      <c r="C1580" s="40" t="s">
        <v>212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155</v>
      </c>
      <c r="C1581" s="16" t="s">
        <v>212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155</v>
      </c>
      <c r="C1582" s="40" t="s">
        <v>212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155</v>
      </c>
      <c r="C1583" s="16" t="s">
        <v>212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155</v>
      </c>
      <c r="C1584" s="40" t="s">
        <v>212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155</v>
      </c>
      <c r="C1585" s="16" t="s">
        <v>212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155</v>
      </c>
      <c r="C1586" s="40" t="s">
        <v>212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155</v>
      </c>
      <c r="C1587" s="16" t="s">
        <v>212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155</v>
      </c>
      <c r="C1588" s="40" t="s">
        <v>212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155</v>
      </c>
      <c r="C1589" s="16" t="s">
        <v>212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137</v>
      </c>
      <c r="B1590" s="16" t="s">
        <v>155</v>
      </c>
      <c r="C1590" s="16" t="s">
        <v>161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139</v>
      </c>
      <c r="B1591" s="40" t="s">
        <v>155</v>
      </c>
      <c r="C1591" s="40" t="s">
        <v>161</v>
      </c>
      <c r="D1591" s="41" t="n">
        <v>1</v>
      </c>
      <c r="E1591" s="42" t="n">
        <v>13579.53</v>
      </c>
      <c r="F1591" s="43" t="n">
        <v>13579.53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155</v>
      </c>
      <c r="C1592" s="16" t="s">
        <v>248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155</v>
      </c>
      <c r="C1593" s="40" t="s">
        <v>248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137</v>
      </c>
      <c r="B1594" s="16" t="s">
        <v>155</v>
      </c>
      <c r="C1594" s="16" t="s">
        <v>248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155</v>
      </c>
      <c r="C1595" s="40" t="s">
        <v>249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155</v>
      </c>
      <c r="C1596" s="16" t="s">
        <v>249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155</v>
      </c>
      <c r="C1597" s="40" t="s">
        <v>249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155</v>
      </c>
      <c r="C1598" s="16" t="s">
        <v>249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155</v>
      </c>
      <c r="C1599" s="40" t="s">
        <v>249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155</v>
      </c>
      <c r="C1600" s="16" t="s">
        <v>249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155</v>
      </c>
      <c r="C1601" s="40" t="s">
        <v>250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155</v>
      </c>
      <c r="C1602" s="16" t="s">
        <v>250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155</v>
      </c>
      <c r="C1603" s="40" t="s">
        <v>250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155</v>
      </c>
      <c r="C1604" s="16" t="s">
        <v>250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155</v>
      </c>
      <c r="C1605" s="40" t="s">
        <v>250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139</v>
      </c>
      <c r="B1606" s="16" t="s">
        <v>155</v>
      </c>
      <c r="C1606" s="16" t="s">
        <v>250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155</v>
      </c>
      <c r="C1607" s="40" t="s">
        <v>251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155</v>
      </c>
      <c r="C1608" s="16" t="s">
        <v>251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137</v>
      </c>
      <c r="B1609" s="40" t="s">
        <v>155</v>
      </c>
      <c r="C1609" s="40" t="s">
        <v>158</v>
      </c>
      <c r="D1609" s="41" t="n">
        <v>1</v>
      </c>
      <c r="E1609" s="42" t="n">
        <v>17.0216</v>
      </c>
      <c r="F1609" s="43" t="n">
        <v>17.0216</v>
      </c>
      <c r="G1609" s="40" t="s">
        <v>96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155</v>
      </c>
      <c r="C1610" s="16" t="s">
        <v>158</v>
      </c>
      <c r="D1610" s="38" t="n">
        <v>1</v>
      </c>
      <c r="E1610" s="39" t="n">
        <v>102.1295</v>
      </c>
      <c r="F1610" s="22" t="n">
        <v>102.1295</v>
      </c>
      <c r="G1610" s="16" t="s">
        <v>96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155</v>
      </c>
      <c r="C1611" s="40" t="s">
        <v>158</v>
      </c>
      <c r="D1611" s="41" t="n">
        <v>1</v>
      </c>
      <c r="E1611" s="42" t="n">
        <v>93.6187</v>
      </c>
      <c r="F1611" s="43" t="n">
        <v>93.6187</v>
      </c>
      <c r="G1611" s="40" t="s">
        <v>96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155</v>
      </c>
      <c r="C1612" s="16" t="s">
        <v>158</v>
      </c>
      <c r="D1612" s="38" t="n">
        <v>1</v>
      </c>
      <c r="E1612" s="39" t="n">
        <v>51.0648</v>
      </c>
      <c r="F1612" s="22" t="n">
        <v>51.0648</v>
      </c>
      <c r="G1612" s="16" t="s">
        <v>96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155</v>
      </c>
      <c r="C1613" s="40" t="s">
        <v>158</v>
      </c>
      <c r="D1613" s="41" t="n">
        <v>1</v>
      </c>
      <c r="E1613" s="42" t="n">
        <v>25.5324</v>
      </c>
      <c r="F1613" s="43" t="n">
        <v>25.5324</v>
      </c>
      <c r="G1613" s="40" t="s">
        <v>96</v>
      </c>
      <c r="H1613" s="40" t="s">
        <v>20</v>
      </c>
    </row>
    <row r="1614" customFormat="false" ht="14.25" hidden="true" customHeight="true" outlineLevel="0" collapsed="false">
      <c r="A1614" s="16" t="s">
        <v>137</v>
      </c>
      <c r="B1614" s="16" t="s">
        <v>155</v>
      </c>
      <c r="C1614" s="16" t="s">
        <v>167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137</v>
      </c>
      <c r="B1615" s="40" t="s">
        <v>155</v>
      </c>
      <c r="C1615" s="40" t="s">
        <v>168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137</v>
      </c>
      <c r="B1616" s="16" t="s">
        <v>155</v>
      </c>
      <c r="C1616" s="16" t="s">
        <v>170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137</v>
      </c>
      <c r="B1617" s="16" t="s">
        <v>155</v>
      </c>
      <c r="C1617" s="16" t="s">
        <v>171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137</v>
      </c>
      <c r="B1618" s="16" t="s">
        <v>155</v>
      </c>
      <c r="C1618" s="16" t="s">
        <v>169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137</v>
      </c>
      <c r="B1619" s="40" t="s">
        <v>155</v>
      </c>
      <c r="C1619" s="40" t="s">
        <v>212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139</v>
      </c>
      <c r="B1620" s="16" t="s">
        <v>155</v>
      </c>
      <c r="C1620" s="16" t="s">
        <v>167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139</v>
      </c>
      <c r="B1621" s="40" t="s">
        <v>155</v>
      </c>
      <c r="C1621" s="40" t="s">
        <v>168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139</v>
      </c>
      <c r="B1622" s="16" t="s">
        <v>155</v>
      </c>
      <c r="C1622" s="16" t="s">
        <v>170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139</v>
      </c>
      <c r="B1623" s="16" t="s">
        <v>155</v>
      </c>
      <c r="C1623" s="16" t="s">
        <v>171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139</v>
      </c>
      <c r="B1624" s="16" t="s">
        <v>155</v>
      </c>
      <c r="C1624" s="16" t="s">
        <v>169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false" customHeight="true" outlineLevel="0" collapsed="false">
      <c r="A1625" s="16" t="s">
        <v>55</v>
      </c>
      <c r="B1625" s="16" t="s">
        <v>155</v>
      </c>
      <c r="C1625" s="16" t="s">
        <v>243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155</v>
      </c>
      <c r="C1626" s="16" t="s">
        <v>250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98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155</v>
      </c>
      <c r="C1627" s="40" t="s">
        <v>167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98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155</v>
      </c>
      <c r="C1628" s="16" t="s">
        <v>168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98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155</v>
      </c>
      <c r="C1629" s="40" t="s">
        <v>170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98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155</v>
      </c>
      <c r="C1630" s="16" t="s">
        <v>171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98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155</v>
      </c>
      <c r="C1631" s="40" t="s">
        <v>169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98</v>
      </c>
      <c r="H1631" s="40" t="s">
        <v>20</v>
      </c>
    </row>
    <row r="1632" customFormat="false" ht="14.25" hidden="true" customHeight="true" outlineLevel="0" collapsed="false">
      <c r="A1632" s="40" t="s">
        <v>137</v>
      </c>
      <c r="B1632" s="40" t="s">
        <v>155</v>
      </c>
      <c r="C1632" s="40" t="s">
        <v>161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139</v>
      </c>
      <c r="B1633" s="16" t="s">
        <v>155</v>
      </c>
      <c r="C1633" s="16" t="s">
        <v>161</v>
      </c>
      <c r="D1633" s="38" t="n">
        <v>1</v>
      </c>
      <c r="E1633" s="39" t="n">
        <v>22017.33</v>
      </c>
      <c r="F1633" s="22" t="n">
        <v>22017.33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155</v>
      </c>
      <c r="C1634" s="40" t="s">
        <v>248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155</v>
      </c>
      <c r="C1635" s="16" t="s">
        <v>248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137</v>
      </c>
      <c r="B1636" s="40" t="s">
        <v>155</v>
      </c>
      <c r="C1636" s="40" t="s">
        <v>248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155</v>
      </c>
      <c r="C1637" s="16" t="s">
        <v>249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155</v>
      </c>
      <c r="C1638" s="40" t="s">
        <v>249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155</v>
      </c>
      <c r="C1639" s="16" t="s">
        <v>249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155</v>
      </c>
      <c r="C1640" s="40" t="s">
        <v>249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155</v>
      </c>
      <c r="C1641" s="16" t="s">
        <v>249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155</v>
      </c>
      <c r="C1642" s="40" t="s">
        <v>249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155</v>
      </c>
      <c r="C1643" s="16" t="s">
        <v>250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155</v>
      </c>
      <c r="C1644" s="40" t="s">
        <v>250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155</v>
      </c>
      <c r="C1645" s="16" t="s">
        <v>250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155</v>
      </c>
      <c r="C1646" s="40" t="s">
        <v>250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155</v>
      </c>
      <c r="C1647" s="16" t="s">
        <v>250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139</v>
      </c>
      <c r="B1648" s="40" t="s">
        <v>155</v>
      </c>
      <c r="C1648" s="40" t="s">
        <v>250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155</v>
      </c>
      <c r="C1649" s="16" t="s">
        <v>251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155</v>
      </c>
      <c r="C1650" s="40" t="s">
        <v>251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137</v>
      </c>
      <c r="B1651" s="16" t="s">
        <v>155</v>
      </c>
      <c r="C1651" s="16" t="s">
        <v>158</v>
      </c>
      <c r="D1651" s="38" t="n">
        <v>1</v>
      </c>
      <c r="E1651" s="39" t="n">
        <v>17.5144</v>
      </c>
      <c r="F1651" s="22" t="n">
        <v>17.5144</v>
      </c>
      <c r="G1651" s="16" t="s">
        <v>96</v>
      </c>
      <c r="H1651" s="16" t="s">
        <v>11</v>
      </c>
    </row>
    <row r="1652" customFormat="false" ht="14.25" hidden="true" customHeight="true" outlineLevel="0" collapsed="false">
      <c r="A1652" s="40" t="s">
        <v>137</v>
      </c>
      <c r="B1652" s="40" t="s">
        <v>155</v>
      </c>
      <c r="C1652" s="40" t="s">
        <v>159</v>
      </c>
      <c r="D1652" s="41" t="n">
        <v>1</v>
      </c>
      <c r="E1652" s="42" t="n">
        <v>0.05</v>
      </c>
      <c r="F1652" s="43" t="n">
        <v>0.05</v>
      </c>
      <c r="G1652" s="40" t="s">
        <v>96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155</v>
      </c>
      <c r="C1653" s="16" t="s">
        <v>158</v>
      </c>
      <c r="D1653" s="38" t="n">
        <v>1</v>
      </c>
      <c r="E1653" s="39" t="n">
        <v>105.0866</v>
      </c>
      <c r="F1653" s="22" t="n">
        <v>105.0866</v>
      </c>
      <c r="G1653" s="16" t="s">
        <v>96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155</v>
      </c>
      <c r="C1654" s="40" t="s">
        <v>159</v>
      </c>
      <c r="D1654" s="41" t="n">
        <v>1</v>
      </c>
      <c r="E1654" s="42" t="n">
        <v>0.3</v>
      </c>
      <c r="F1654" s="43" t="n">
        <v>0.3</v>
      </c>
      <c r="G1654" s="40" t="s">
        <v>96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155</v>
      </c>
      <c r="C1655" s="16" t="s">
        <v>158</v>
      </c>
      <c r="D1655" s="38" t="n">
        <v>1</v>
      </c>
      <c r="E1655" s="39" t="n">
        <v>96.3294</v>
      </c>
      <c r="F1655" s="22" t="n">
        <v>96.3294</v>
      </c>
      <c r="G1655" s="16" t="s">
        <v>96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155</v>
      </c>
      <c r="C1656" s="40" t="s">
        <v>159</v>
      </c>
      <c r="D1656" s="41" t="n">
        <v>1</v>
      </c>
      <c r="E1656" s="42" t="n">
        <v>0.275</v>
      </c>
      <c r="F1656" s="43" t="n">
        <v>0.275</v>
      </c>
      <c r="G1656" s="40" t="s">
        <v>96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155</v>
      </c>
      <c r="C1657" s="16" t="s">
        <v>158</v>
      </c>
      <c r="D1657" s="38" t="n">
        <v>1</v>
      </c>
      <c r="E1657" s="39" t="n">
        <v>43.7861</v>
      </c>
      <c r="F1657" s="22" t="n">
        <v>43.7861</v>
      </c>
      <c r="G1657" s="16" t="s">
        <v>96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155</v>
      </c>
      <c r="C1658" s="40" t="s">
        <v>159</v>
      </c>
      <c r="D1658" s="41" t="n">
        <v>1</v>
      </c>
      <c r="E1658" s="42" t="n">
        <v>0.125</v>
      </c>
      <c r="F1658" s="43" t="n">
        <v>0.125</v>
      </c>
      <c r="G1658" s="40" t="s">
        <v>96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155</v>
      </c>
      <c r="C1659" s="16" t="s">
        <v>158</v>
      </c>
      <c r="D1659" s="38" t="n">
        <v>1</v>
      </c>
      <c r="E1659" s="39" t="n">
        <v>26.2716</v>
      </c>
      <c r="F1659" s="22" t="n">
        <v>26.2716</v>
      </c>
      <c r="G1659" s="16" t="s">
        <v>96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155</v>
      </c>
      <c r="C1660" s="40" t="s">
        <v>159</v>
      </c>
      <c r="D1660" s="41" t="n">
        <v>1</v>
      </c>
      <c r="E1660" s="42" t="n">
        <v>0.075</v>
      </c>
      <c r="F1660" s="43" t="n">
        <v>0.075</v>
      </c>
      <c r="G1660" s="40" t="s">
        <v>96</v>
      </c>
      <c r="H1660" s="40" t="s">
        <v>11</v>
      </c>
    </row>
    <row r="1661" customFormat="false" ht="14.25" hidden="true" customHeight="true" outlineLevel="0" collapsed="false">
      <c r="A1661" s="40" t="s">
        <v>137</v>
      </c>
      <c r="B1661" s="40" t="s">
        <v>155</v>
      </c>
      <c r="C1661" s="40" t="s">
        <v>167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137</v>
      </c>
      <c r="B1662" s="16" t="s">
        <v>155</v>
      </c>
      <c r="C1662" s="16" t="s">
        <v>168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137</v>
      </c>
      <c r="B1663" s="16" t="s">
        <v>155</v>
      </c>
      <c r="C1663" s="16" t="s">
        <v>212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139</v>
      </c>
      <c r="B1664" s="40" t="s">
        <v>155</v>
      </c>
      <c r="C1664" s="40" t="s">
        <v>167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139</v>
      </c>
      <c r="B1665" s="16" t="s">
        <v>155</v>
      </c>
      <c r="C1665" s="16" t="s">
        <v>168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false" customHeight="true" outlineLevel="0" collapsed="false">
      <c r="A1666" s="40" t="s">
        <v>55</v>
      </c>
      <c r="B1666" s="40" t="s">
        <v>155</v>
      </c>
      <c r="C1666" s="40" t="s">
        <v>243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155</v>
      </c>
      <c r="C1667" s="16" t="s">
        <v>187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155</v>
      </c>
      <c r="C1668" s="16" t="s">
        <v>189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155</v>
      </c>
      <c r="C1669" s="40" t="s">
        <v>189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155</v>
      </c>
      <c r="C1670" s="16" t="s">
        <v>189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155</v>
      </c>
      <c r="C1671" s="40" t="s">
        <v>189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155</v>
      </c>
      <c r="C1672" s="16" t="s">
        <v>189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155</v>
      </c>
      <c r="C1673" s="40" t="s">
        <v>189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155</v>
      </c>
      <c r="C1674" s="16" t="s">
        <v>191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155</v>
      </c>
      <c r="C1675" s="40" t="s">
        <v>191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155</v>
      </c>
      <c r="C1676" s="16" t="s">
        <v>191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155</v>
      </c>
      <c r="C1677" s="40" t="s">
        <v>191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155</v>
      </c>
      <c r="C1678" s="16" t="s">
        <v>191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155</v>
      </c>
      <c r="C1679" s="40" t="s">
        <v>191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155</v>
      </c>
      <c r="C1680" s="40" t="s">
        <v>250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98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155</v>
      </c>
      <c r="C1681" s="40" t="s">
        <v>167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98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155</v>
      </c>
      <c r="C1682" s="16" t="s">
        <v>168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98</v>
      </c>
      <c r="H1682" s="16" t="s">
        <v>11</v>
      </c>
    </row>
    <row r="1683" customFormat="false" ht="14.25" hidden="true" customHeight="true" outlineLevel="0" collapsed="false">
      <c r="A1683" s="16" t="s">
        <v>137</v>
      </c>
      <c r="B1683" s="16" t="s">
        <v>155</v>
      </c>
      <c r="C1683" s="16" t="s">
        <v>161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139</v>
      </c>
      <c r="B1684" s="40" t="s">
        <v>155</v>
      </c>
      <c r="C1684" s="40" t="s">
        <v>161</v>
      </c>
      <c r="D1684" s="41" t="n">
        <v>1</v>
      </c>
      <c r="E1684" s="42" t="n">
        <v>22919.89</v>
      </c>
      <c r="F1684" s="43" t="n">
        <v>22919.89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155</v>
      </c>
      <c r="C1685" s="16" t="s">
        <v>248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155</v>
      </c>
      <c r="C1686" s="40" t="s">
        <v>248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137</v>
      </c>
      <c r="B1687" s="16" t="s">
        <v>155</v>
      </c>
      <c r="C1687" s="16" t="s">
        <v>248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155</v>
      </c>
      <c r="C1688" s="40" t="s">
        <v>249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155</v>
      </c>
      <c r="C1689" s="16" t="s">
        <v>249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155</v>
      </c>
      <c r="C1690" s="40" t="s">
        <v>249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155</v>
      </c>
      <c r="C1691" s="16" t="s">
        <v>249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155</v>
      </c>
      <c r="C1692" s="40" t="s">
        <v>249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155</v>
      </c>
      <c r="C1693" s="16" t="s">
        <v>249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155</v>
      </c>
      <c r="C1694" s="40" t="s">
        <v>250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155</v>
      </c>
      <c r="C1695" s="16" t="s">
        <v>250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155</v>
      </c>
      <c r="C1696" s="40" t="s">
        <v>250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155</v>
      </c>
      <c r="C1697" s="16" t="s">
        <v>250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155</v>
      </c>
      <c r="C1698" s="40" t="s">
        <v>250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139</v>
      </c>
      <c r="B1699" s="16" t="s">
        <v>155</v>
      </c>
      <c r="C1699" s="16" t="s">
        <v>250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137</v>
      </c>
      <c r="B1700" s="16" t="s">
        <v>155</v>
      </c>
      <c r="C1700" s="16" t="s">
        <v>158</v>
      </c>
      <c r="D1700" s="38" t="n">
        <v>1</v>
      </c>
      <c r="E1700" s="39" t="n">
        <v>16.546</v>
      </c>
      <c r="F1700" s="22" t="n">
        <v>16.546</v>
      </c>
      <c r="G1700" s="16" t="s">
        <v>96</v>
      </c>
      <c r="H1700" s="16" t="s">
        <v>21</v>
      </c>
    </row>
    <row r="1701" customFormat="false" ht="14.25" hidden="true" customHeight="true" outlineLevel="0" collapsed="false">
      <c r="A1701" s="40" t="s">
        <v>137</v>
      </c>
      <c r="B1701" s="40" t="s">
        <v>155</v>
      </c>
      <c r="C1701" s="40" t="s">
        <v>159</v>
      </c>
      <c r="D1701" s="41" t="n">
        <v>1</v>
      </c>
      <c r="E1701" s="42" t="n">
        <v>0.0485</v>
      </c>
      <c r="F1701" s="43" t="n">
        <v>0.0485</v>
      </c>
      <c r="G1701" s="40" t="s">
        <v>96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155</v>
      </c>
      <c r="C1702" s="16" t="s">
        <v>158</v>
      </c>
      <c r="D1702" s="38" t="n">
        <v>1</v>
      </c>
      <c r="E1702" s="39" t="n">
        <v>99.276</v>
      </c>
      <c r="F1702" s="22" t="n">
        <v>99.276</v>
      </c>
      <c r="G1702" s="16" t="s">
        <v>96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155</v>
      </c>
      <c r="C1703" s="40" t="s">
        <v>159</v>
      </c>
      <c r="D1703" s="41" t="n">
        <v>1</v>
      </c>
      <c r="E1703" s="42" t="n">
        <v>0.291</v>
      </c>
      <c r="F1703" s="43" t="n">
        <v>0.291</v>
      </c>
      <c r="G1703" s="40" t="s">
        <v>96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155</v>
      </c>
      <c r="C1704" s="16" t="s">
        <v>158</v>
      </c>
      <c r="D1704" s="38" t="n">
        <v>1</v>
      </c>
      <c r="E1704" s="39" t="n">
        <v>91.003</v>
      </c>
      <c r="F1704" s="22" t="n">
        <v>91.003</v>
      </c>
      <c r="G1704" s="16" t="s">
        <v>96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155</v>
      </c>
      <c r="C1705" s="40" t="s">
        <v>159</v>
      </c>
      <c r="D1705" s="41" t="n">
        <v>1</v>
      </c>
      <c r="E1705" s="42" t="n">
        <v>0.2667</v>
      </c>
      <c r="F1705" s="43" t="n">
        <v>0.2667</v>
      </c>
      <c r="G1705" s="40" t="s">
        <v>96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155</v>
      </c>
      <c r="C1706" s="16" t="s">
        <v>158</v>
      </c>
      <c r="D1706" s="38" t="n">
        <v>1</v>
      </c>
      <c r="E1706" s="39" t="n">
        <v>57.911</v>
      </c>
      <c r="F1706" s="22" t="n">
        <v>57.911</v>
      </c>
      <c r="G1706" s="16" t="s">
        <v>96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155</v>
      </c>
      <c r="C1707" s="40" t="s">
        <v>159</v>
      </c>
      <c r="D1707" s="41" t="n">
        <v>1</v>
      </c>
      <c r="E1707" s="42" t="n">
        <v>0.1697</v>
      </c>
      <c r="F1707" s="43" t="n">
        <v>0.1697</v>
      </c>
      <c r="G1707" s="40" t="s">
        <v>96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155</v>
      </c>
      <c r="C1708" s="16" t="s">
        <v>158</v>
      </c>
      <c r="D1708" s="38" t="n">
        <v>1</v>
      </c>
      <c r="E1708" s="39" t="n">
        <v>24.819</v>
      </c>
      <c r="F1708" s="22" t="n">
        <v>24.819</v>
      </c>
      <c r="G1708" s="16" t="s">
        <v>96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155</v>
      </c>
      <c r="C1709" s="40" t="s">
        <v>159</v>
      </c>
      <c r="D1709" s="41" t="n">
        <v>1</v>
      </c>
      <c r="E1709" s="42" t="n">
        <v>0.0727</v>
      </c>
      <c r="F1709" s="43" t="n">
        <v>0.0727</v>
      </c>
      <c r="G1709" s="40" t="s">
        <v>96</v>
      </c>
      <c r="H1709" s="40" t="s">
        <v>21</v>
      </c>
    </row>
    <row r="1710" customFormat="false" ht="14.25" hidden="true" customHeight="true" outlineLevel="0" collapsed="false">
      <c r="A1710" s="16" t="s">
        <v>137</v>
      </c>
      <c r="B1710" s="16" t="s">
        <v>155</v>
      </c>
      <c r="C1710" s="16" t="s">
        <v>167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137</v>
      </c>
      <c r="B1711" s="40" t="s">
        <v>155</v>
      </c>
      <c r="C1711" s="40" t="s">
        <v>168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137</v>
      </c>
      <c r="B1712" s="40" t="s">
        <v>155</v>
      </c>
      <c r="C1712" s="40" t="s">
        <v>170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137</v>
      </c>
      <c r="B1713" s="40" t="s">
        <v>155</v>
      </c>
      <c r="C1713" s="40" t="s">
        <v>171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137</v>
      </c>
      <c r="B1714" s="40" t="s">
        <v>155</v>
      </c>
      <c r="C1714" s="40" t="s">
        <v>169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137</v>
      </c>
      <c r="B1715" s="16" t="s">
        <v>155</v>
      </c>
      <c r="C1715" s="16" t="s">
        <v>166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137</v>
      </c>
      <c r="B1716" s="40" t="s">
        <v>155</v>
      </c>
      <c r="C1716" s="40" t="s">
        <v>212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139</v>
      </c>
      <c r="B1717" s="16" t="s">
        <v>155</v>
      </c>
      <c r="C1717" s="16" t="s">
        <v>167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139</v>
      </c>
      <c r="B1718" s="40" t="s">
        <v>155</v>
      </c>
      <c r="C1718" s="40" t="s">
        <v>168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139</v>
      </c>
      <c r="B1719" s="40" t="s">
        <v>155</v>
      </c>
      <c r="C1719" s="40" t="s">
        <v>170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139</v>
      </c>
      <c r="B1720" s="40" t="s">
        <v>155</v>
      </c>
      <c r="C1720" s="40" t="s">
        <v>171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139</v>
      </c>
      <c r="B1721" s="40" t="s">
        <v>155</v>
      </c>
      <c r="C1721" s="40" t="s">
        <v>169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162</v>
      </c>
      <c r="C1722" s="16" t="s">
        <v>163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162</v>
      </c>
      <c r="C1723" s="40" t="s">
        <v>163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162</v>
      </c>
      <c r="C1724" s="16" t="s">
        <v>163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162</v>
      </c>
      <c r="C1725" s="40" t="s">
        <v>164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162</v>
      </c>
      <c r="C1726" s="16" t="s">
        <v>163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139</v>
      </c>
      <c r="B1727" s="40" t="s">
        <v>162</v>
      </c>
      <c r="C1727" s="40" t="s">
        <v>164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162</v>
      </c>
      <c r="C1728" s="16" t="s">
        <v>163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162</v>
      </c>
      <c r="C1729" s="40" t="s">
        <v>164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162</v>
      </c>
      <c r="C1730" s="16" t="s">
        <v>163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162</v>
      </c>
      <c r="C1731" s="40" t="s">
        <v>163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155</v>
      </c>
      <c r="C1732" s="40" t="s">
        <v>187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155</v>
      </c>
      <c r="C1733" s="16" t="s">
        <v>250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98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155</v>
      </c>
      <c r="C1734" s="40" t="s">
        <v>167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98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155</v>
      </c>
      <c r="C1735" s="16" t="s">
        <v>168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98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155</v>
      </c>
      <c r="C1736" s="16" t="s">
        <v>170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98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155</v>
      </c>
      <c r="C1737" s="40" t="s">
        <v>171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98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155</v>
      </c>
      <c r="C1738" s="16" t="s">
        <v>169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98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162</v>
      </c>
      <c r="C1739" s="40" t="s">
        <v>252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98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162</v>
      </c>
      <c r="C1740" s="16" t="s">
        <v>253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98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162</v>
      </c>
      <c r="C1741" s="40" t="s">
        <v>254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98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162</v>
      </c>
      <c r="C1742" s="16" t="s">
        <v>255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98</v>
      </c>
      <c r="H1742" s="16" t="s">
        <v>21</v>
      </c>
    </row>
    <row r="1743" customFormat="false" ht="14.25" hidden="true" customHeight="true" outlineLevel="0" collapsed="false">
      <c r="A1743" s="40" t="s">
        <v>141</v>
      </c>
      <c r="B1743" s="40" t="s">
        <v>155</v>
      </c>
      <c r="C1743" s="40" t="s">
        <v>161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141</v>
      </c>
      <c r="B1744" s="40" t="s">
        <v>155</v>
      </c>
      <c r="C1744" s="40" t="s">
        <v>161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141</v>
      </c>
      <c r="B1745" s="40" t="s">
        <v>155</v>
      </c>
      <c r="C1745" s="40" t="s">
        <v>161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155</v>
      </c>
      <c r="C1746" s="16" t="s">
        <v>256</v>
      </c>
      <c r="D1746" s="38" t="n">
        <v>1</v>
      </c>
      <c r="E1746" s="39" t="n">
        <v>9389.277632</v>
      </c>
      <c r="F1746" s="22" t="n">
        <v>9389.277632</v>
      </c>
      <c r="G1746" s="16" t="s">
        <v>96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155</v>
      </c>
      <c r="C1747" s="16" t="s">
        <v>256</v>
      </c>
      <c r="D1747" s="38" t="n">
        <v>1</v>
      </c>
      <c r="E1747" s="39" t="n">
        <v>3129.759211</v>
      </c>
      <c r="F1747" s="22" t="n">
        <v>3129.759211</v>
      </c>
      <c r="G1747" s="16" t="s">
        <v>96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155</v>
      </c>
      <c r="C1748" s="16" t="s">
        <v>256</v>
      </c>
      <c r="D1748" s="38" t="n">
        <v>1</v>
      </c>
      <c r="E1748" s="39" t="n">
        <v>13318.46125</v>
      </c>
      <c r="F1748" s="22" t="n">
        <v>13318.46125</v>
      </c>
      <c r="G1748" s="16" t="s">
        <v>96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155</v>
      </c>
      <c r="C1749" s="16" t="s">
        <v>256</v>
      </c>
      <c r="D1749" s="38" t="n">
        <v>1</v>
      </c>
      <c r="E1749" s="39" t="n">
        <v>3805.274643</v>
      </c>
      <c r="F1749" s="22" t="n">
        <v>3805.274643</v>
      </c>
      <c r="G1749" s="16" t="s">
        <v>96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155</v>
      </c>
      <c r="C1750" s="16" t="s">
        <v>256</v>
      </c>
      <c r="D1750" s="38" t="n">
        <v>1</v>
      </c>
      <c r="E1750" s="39" t="n">
        <v>10847.070633</v>
      </c>
      <c r="F1750" s="22" t="n">
        <v>10847.070633</v>
      </c>
      <c r="G1750" s="16" t="s">
        <v>96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155</v>
      </c>
      <c r="C1751" s="16" t="s">
        <v>256</v>
      </c>
      <c r="D1751" s="38" t="n">
        <v>1</v>
      </c>
      <c r="E1751" s="39" t="n">
        <v>3099.163038</v>
      </c>
      <c r="F1751" s="22" t="n">
        <v>3099.163038</v>
      </c>
      <c r="G1751" s="16" t="s">
        <v>96</v>
      </c>
      <c r="H1751" s="16" t="s">
        <v>21</v>
      </c>
    </row>
    <row r="1752" customFormat="false" ht="14.25" hidden="true" customHeight="true" outlineLevel="0" collapsed="false">
      <c r="A1752" s="1" t="s">
        <v>143</v>
      </c>
      <c r="B1752" s="1" t="s">
        <v>155</v>
      </c>
      <c r="C1752" s="1" t="s">
        <v>161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96</v>
      </c>
      <c r="H1752" s="1" t="s">
        <v>20</v>
      </c>
    </row>
    <row r="1753" customFormat="false" ht="14.25" hidden="true" customHeight="true" outlineLevel="0" collapsed="false">
      <c r="A1753" s="1" t="s">
        <v>143</v>
      </c>
      <c r="B1753" s="1" t="s">
        <v>155</v>
      </c>
      <c r="C1753" s="1" t="s">
        <v>161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96</v>
      </c>
      <c r="H1753" s="1" t="s">
        <v>11</v>
      </c>
    </row>
    <row r="1754" customFormat="false" ht="14.25" hidden="true" customHeight="true" outlineLevel="0" collapsed="false">
      <c r="A1754" s="1" t="s">
        <v>143</v>
      </c>
      <c r="B1754" s="1" t="s">
        <v>155</v>
      </c>
      <c r="C1754" s="1" t="s">
        <v>161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96</v>
      </c>
      <c r="H1754" s="1" t="s">
        <v>21</v>
      </c>
    </row>
    <row r="1755" customFormat="false" ht="14.25" hidden="true" customHeight="true" outlineLevel="0" collapsed="false">
      <c r="A1755" s="1" t="s">
        <v>79</v>
      </c>
      <c r="B1755" s="1" t="s">
        <v>162</v>
      </c>
      <c r="C1755" s="1" t="s">
        <v>222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98</v>
      </c>
      <c r="H1755" s="1" t="s">
        <v>21</v>
      </c>
    </row>
    <row r="1756" customFormat="false" ht="14.25" hidden="true" customHeight="true" outlineLevel="0" collapsed="false">
      <c r="A1756" s="1" t="s">
        <v>85</v>
      </c>
      <c r="B1756" s="1" t="s">
        <v>162</v>
      </c>
      <c r="C1756" s="1" t="s">
        <v>222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96</v>
      </c>
      <c r="H1756" s="1" t="s">
        <v>21</v>
      </c>
    </row>
    <row r="1757" customFormat="false" ht="14.25" hidden="true" customHeight="true" outlineLevel="0" collapsed="false">
      <c r="A1757" s="1" t="s">
        <v>143</v>
      </c>
      <c r="B1757" s="1" t="s">
        <v>162</v>
      </c>
      <c r="C1757" s="1" t="s">
        <v>222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96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155</v>
      </c>
      <c r="C1758" s="1" t="s">
        <v>257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98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155</v>
      </c>
      <c r="C1759" s="1" t="s">
        <v>257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98</v>
      </c>
      <c r="H1759" s="1" t="s">
        <v>11</v>
      </c>
    </row>
    <row r="1760" customFormat="false" ht="14.25" hidden="true" customHeight="true" outlineLevel="0" collapsed="false">
      <c r="A1760" s="16" t="s">
        <v>34</v>
      </c>
      <c r="B1760" s="16" t="s">
        <v>155</v>
      </c>
      <c r="C1760" s="16" t="s">
        <v>156</v>
      </c>
      <c r="D1760" s="38" t="n">
        <v>1</v>
      </c>
      <c r="E1760" s="39" t="n">
        <v>840.67</v>
      </c>
      <c r="F1760" s="22" t="n">
        <f aca="false">IFERROR(D1760*E1760,0)</f>
        <v>840.67</v>
      </c>
      <c r="G1760" s="16" t="str">
        <f aca="false">INDEX(SETORES!$B:$B,MATCH(A1760,SETORES!$A:$A,0))</f>
        <v>Clientes</v>
      </c>
      <c r="H1760" s="16" t="s">
        <v>88</v>
      </c>
    </row>
    <row r="1761" customFormat="false" ht="14.25" hidden="true" customHeight="true" outlineLevel="0" collapsed="false">
      <c r="A1761" s="16" t="s">
        <v>34</v>
      </c>
      <c r="B1761" s="16" t="s">
        <v>155</v>
      </c>
      <c r="C1761" s="16" t="s">
        <v>157</v>
      </c>
      <c r="D1761" s="38" t="n">
        <v>1</v>
      </c>
      <c r="E1761" s="39" t="n">
        <v>882.22</v>
      </c>
      <c r="F1761" s="22" t="n">
        <f aca="false">IFERROR(D1761*E1761,0)</f>
        <v>882.22</v>
      </c>
      <c r="G1761" s="16" t="str">
        <f aca="false">INDEX(SETORES!$B:$B,MATCH(A1761,SETORES!$A:$A,0))</f>
        <v>Clientes</v>
      </c>
      <c r="H1761" s="16" t="s">
        <v>88</v>
      </c>
    </row>
    <row r="1762" customFormat="false" ht="14.25" hidden="true" customHeight="true" outlineLevel="0" collapsed="false">
      <c r="A1762" s="16" t="s">
        <v>34</v>
      </c>
      <c r="B1762" s="16" t="s">
        <v>155</v>
      </c>
      <c r="C1762" s="16" t="s">
        <v>158</v>
      </c>
      <c r="D1762" s="38"/>
      <c r="E1762" s="39"/>
      <c r="F1762" s="22" t="n">
        <f aca="false">IFERROR(D1762*E1762,0)</f>
        <v>0</v>
      </c>
      <c r="G1762" s="16" t="str">
        <f aca="false">INDEX(SETORES!$B:$B,MATCH(A1762,SETORES!$A:$A,0))</f>
        <v>Clientes</v>
      </c>
      <c r="H1762" s="16" t="s">
        <v>88</v>
      </c>
    </row>
    <row r="1763" customFormat="false" ht="14.25" hidden="true" customHeight="true" outlineLevel="0" collapsed="false">
      <c r="A1763" s="16" t="s">
        <v>34</v>
      </c>
      <c r="B1763" s="16" t="s">
        <v>155</v>
      </c>
      <c r="C1763" s="16" t="s">
        <v>159</v>
      </c>
      <c r="D1763" s="38"/>
      <c r="E1763" s="39"/>
      <c r="F1763" s="22" t="n">
        <f aca="false">IFERROR(D1763*E1763,0)</f>
        <v>0</v>
      </c>
      <c r="G1763" s="16" t="str">
        <f aca="false">INDEX(SETORES!$B:$B,MATCH(A1763,SETORES!$A:$A,0))</f>
        <v>Clientes</v>
      </c>
      <c r="H1763" s="16" t="s">
        <v>88</v>
      </c>
    </row>
    <row r="1764" customFormat="false" ht="14.25" hidden="true" customHeight="true" outlineLevel="0" collapsed="false">
      <c r="A1764" s="16" t="s">
        <v>34</v>
      </c>
      <c r="B1764" s="16" t="s">
        <v>155</v>
      </c>
      <c r="C1764" s="16" t="s">
        <v>160</v>
      </c>
      <c r="D1764" s="38"/>
      <c r="E1764" s="39"/>
      <c r="F1764" s="22" t="n">
        <f aca="false">IFERROR(D1764*E1764,0)</f>
        <v>0</v>
      </c>
      <c r="G1764" s="16" t="str">
        <f aca="false">INDEX(SETORES!$B:$B,MATCH(A1764,SETORES!$A:$A,0))</f>
        <v>Clientes</v>
      </c>
      <c r="H1764" s="16" t="s">
        <v>88</v>
      </c>
    </row>
    <row r="1765" customFormat="false" ht="14.25" hidden="true" customHeight="true" outlineLevel="0" collapsed="false">
      <c r="A1765" s="16" t="s">
        <v>34</v>
      </c>
      <c r="B1765" s="16" t="s">
        <v>155</v>
      </c>
      <c r="C1765" s="16" t="s">
        <v>161</v>
      </c>
      <c r="D1765" s="38" t="n">
        <v>1</v>
      </c>
      <c r="E1765" s="39" t="n">
        <v>55556.32</v>
      </c>
      <c r="F1765" s="22" t="n">
        <f aca="false">IFERROR(D1765*E1765,0)</f>
        <v>55556.32</v>
      </c>
      <c r="G1765" s="16" t="str">
        <f aca="false">INDEX(SETORES!$B:$B,MATCH(A1765,SETORES!$A:$A,0))</f>
        <v>Clientes</v>
      </c>
      <c r="H1765" s="16" t="s">
        <v>88</v>
      </c>
    </row>
    <row r="1766" customFormat="false" ht="14.25" hidden="true" customHeight="true" outlineLevel="0" collapsed="false">
      <c r="A1766" s="16" t="s">
        <v>34</v>
      </c>
      <c r="B1766" s="16" t="s">
        <v>162</v>
      </c>
      <c r="C1766" s="16" t="s">
        <v>163</v>
      </c>
      <c r="D1766" s="38" t="n">
        <v>1</v>
      </c>
      <c r="E1766" s="39" t="n">
        <v>180</v>
      </c>
      <c r="F1766" s="22" t="n">
        <f aca="false">IFERROR(D1766*E1766,0)</f>
        <v>180</v>
      </c>
      <c r="G1766" s="16" t="str">
        <f aca="false">INDEX(SETORES!$B:$B,MATCH(A1766,SETORES!$A:$A,0))</f>
        <v>Clientes</v>
      </c>
      <c r="H1766" s="16" t="s">
        <v>88</v>
      </c>
    </row>
    <row r="1767" customFormat="false" ht="14.25" hidden="true" customHeight="true" outlineLevel="0" collapsed="false">
      <c r="A1767" s="16" t="s">
        <v>34</v>
      </c>
      <c r="B1767" s="16" t="s">
        <v>162</v>
      </c>
      <c r="C1767" s="16" t="s">
        <v>164</v>
      </c>
      <c r="D1767" s="38"/>
      <c r="E1767" s="39"/>
      <c r="F1767" s="22" t="n">
        <f aca="false">IFERROR(D1767*E1767,0)</f>
        <v>0</v>
      </c>
      <c r="G1767" s="16" t="str">
        <f aca="false">INDEX(SETORES!$B:$B,MATCH(A1767,SETORES!$A:$A,0))</f>
        <v>Clientes</v>
      </c>
      <c r="H1767" s="16" t="s">
        <v>88</v>
      </c>
    </row>
    <row r="1768" customFormat="false" ht="14.25" hidden="true" customHeight="true" outlineLevel="0" collapsed="false">
      <c r="A1768" s="16" t="s">
        <v>34</v>
      </c>
      <c r="B1768" s="16" t="s">
        <v>162</v>
      </c>
      <c r="C1768" s="16" t="s">
        <v>165</v>
      </c>
      <c r="D1768" s="38"/>
      <c r="E1768" s="39"/>
      <c r="F1768" s="22" t="n">
        <f aca="false">IFERROR(D1768*E1768,0)</f>
        <v>0</v>
      </c>
      <c r="G1768" s="16" t="str">
        <f aca="false">INDEX(SETORES!$B:$B,MATCH(A1768,SETORES!$A:$A,0))</f>
        <v>Clientes</v>
      </c>
      <c r="H1768" s="16" t="s">
        <v>88</v>
      </c>
    </row>
    <row r="1769" customFormat="false" ht="14.25" hidden="true" customHeight="true" outlineLevel="0" collapsed="false">
      <c r="A1769" s="16" t="s">
        <v>34</v>
      </c>
      <c r="B1769" s="16" t="s">
        <v>155</v>
      </c>
      <c r="C1769" s="16" t="s">
        <v>166</v>
      </c>
      <c r="D1769" s="38" t="n">
        <v>17</v>
      </c>
      <c r="E1769" s="39" t="n">
        <v>50</v>
      </c>
      <c r="F1769" s="22" t="n">
        <f aca="false">IFERROR(D1769*E1769,0)</f>
        <v>850</v>
      </c>
      <c r="G1769" s="16" t="str">
        <f aca="false">INDEX(SETORES!$B:$B,MATCH(A1769,SETORES!$A:$A,0))</f>
        <v>Clientes</v>
      </c>
      <c r="H1769" s="16" t="s">
        <v>88</v>
      </c>
    </row>
    <row r="1770" customFormat="false" ht="14.25" hidden="true" customHeight="true" outlineLevel="0" collapsed="false">
      <c r="A1770" s="16" t="s">
        <v>34</v>
      </c>
      <c r="B1770" s="16" t="s">
        <v>155</v>
      </c>
      <c r="C1770" s="16" t="s">
        <v>167</v>
      </c>
      <c r="D1770" s="38"/>
      <c r="E1770" s="39"/>
      <c r="F1770" s="22" t="n">
        <f aca="false">IFERROR(D1770*E1770,0)</f>
        <v>0</v>
      </c>
      <c r="G1770" s="16" t="str">
        <f aca="false">INDEX(SETORES!$B:$B,MATCH(A1770,SETORES!$A:$A,0))</f>
        <v>Clientes</v>
      </c>
      <c r="H1770" s="16" t="s">
        <v>88</v>
      </c>
    </row>
    <row r="1771" customFormat="false" ht="14.25" hidden="true" customHeight="true" outlineLevel="0" collapsed="false">
      <c r="A1771" s="16" t="s">
        <v>34</v>
      </c>
      <c r="B1771" s="16" t="s">
        <v>155</v>
      </c>
      <c r="C1771" s="16" t="s">
        <v>168</v>
      </c>
      <c r="D1771" s="38" t="n">
        <v>17</v>
      </c>
      <c r="E1771" s="39" t="n">
        <v>1.87</v>
      </c>
      <c r="F1771" s="22" t="n">
        <f aca="false">IFERROR(D1771*E1771,0)</f>
        <v>31.79</v>
      </c>
      <c r="G1771" s="16" t="str">
        <f aca="false">INDEX(SETORES!$B:$B,MATCH(A1771,SETORES!$A:$A,0))</f>
        <v>Clientes</v>
      </c>
      <c r="H1771" s="16" t="s">
        <v>88</v>
      </c>
    </row>
    <row r="1772" customFormat="false" ht="14.25" hidden="true" customHeight="true" outlineLevel="0" collapsed="false">
      <c r="A1772" s="16" t="s">
        <v>32</v>
      </c>
      <c r="B1772" s="16" t="s">
        <v>155</v>
      </c>
      <c r="C1772" s="16" t="s">
        <v>175</v>
      </c>
      <c r="D1772" s="38" t="n">
        <v>1</v>
      </c>
      <c r="E1772" s="39" t="n">
        <v>2500</v>
      </c>
      <c r="F1772" s="22" t="n">
        <f aca="false">IFERROR(D1772*E1772,0)</f>
        <v>2500</v>
      </c>
      <c r="G1772" s="16" t="str">
        <f aca="false">INDEX(SETORES!$B:$B,MATCH(A1772,SETORES!$A:$A,0))</f>
        <v>Funcionários</v>
      </c>
      <c r="H1772" s="16" t="s">
        <v>88</v>
      </c>
    </row>
    <row r="1773" customFormat="false" ht="14.25" hidden="true" customHeight="true" outlineLevel="0" collapsed="false">
      <c r="A1773" s="16" t="s">
        <v>32</v>
      </c>
      <c r="B1773" s="16" t="s">
        <v>155</v>
      </c>
      <c r="C1773" s="16" t="s">
        <v>176</v>
      </c>
      <c r="D1773" s="38" t="n">
        <v>1</v>
      </c>
      <c r="E1773" s="39" t="n">
        <v>2612.9</v>
      </c>
      <c r="F1773" s="22" t="n">
        <f aca="false">IFERROR(D1773*E1773,0)</f>
        <v>2612.9</v>
      </c>
      <c r="G1773" s="16" t="str">
        <f aca="false">INDEX(SETORES!$B:$B,MATCH(A1773,SETORES!$A:$A,0))</f>
        <v>Funcionários</v>
      </c>
      <c r="H1773" s="16" t="s">
        <v>88</v>
      </c>
    </row>
    <row r="1774" customFormat="false" ht="14.25" hidden="false" customHeight="true" outlineLevel="0" collapsed="false">
      <c r="A1774" s="16" t="s">
        <v>55</v>
      </c>
      <c r="B1774" s="16" t="s">
        <v>155</v>
      </c>
      <c r="C1774" s="16" t="s">
        <v>185</v>
      </c>
      <c r="D1774" s="38" t="n">
        <v>1</v>
      </c>
      <c r="E1774" s="39" t="n">
        <v>99</v>
      </c>
      <c r="F1774" s="22" t="n">
        <f aca="false">IFERROR(D1774*E1774,0)</f>
        <v>99</v>
      </c>
      <c r="G1774" s="16" t="str">
        <f aca="false">INDEX(SETORES!$B:$B,MATCH(A1774,SETORES!$A:$A,0))</f>
        <v>Funcionários</v>
      </c>
      <c r="H1774" s="16" t="s">
        <v>88</v>
      </c>
    </row>
    <row r="1775" customFormat="false" ht="14.25" hidden="true" customHeight="true" outlineLevel="0" collapsed="false">
      <c r="A1775" s="16" t="s">
        <v>36</v>
      </c>
      <c r="B1775" s="16" t="s">
        <v>155</v>
      </c>
      <c r="C1775" s="16" t="s">
        <v>242</v>
      </c>
      <c r="D1775" s="38"/>
      <c r="E1775" s="39"/>
      <c r="F1775" s="22" t="n">
        <f aca="false">IFERROR(D1775*E1775,0)</f>
        <v>0</v>
      </c>
      <c r="G1775" s="16" t="str">
        <f aca="false">INDEX(SETORES!$B:$B,MATCH(A1775,SETORES!$A:$A,0))</f>
        <v>Clientes</v>
      </c>
      <c r="H1775" s="16" t="s">
        <v>88</v>
      </c>
    </row>
    <row r="1776" customFormat="false" ht="14.25" hidden="true" customHeight="true" outlineLevel="0" collapsed="false">
      <c r="A1776" s="16" t="s">
        <v>33</v>
      </c>
      <c r="B1776" s="16" t="s">
        <v>155</v>
      </c>
      <c r="C1776" s="16" t="s">
        <v>177</v>
      </c>
      <c r="D1776" s="38" t="n">
        <v>1</v>
      </c>
      <c r="E1776" s="39" t="n">
        <v>2559.44</v>
      </c>
      <c r="F1776" s="22" t="n">
        <f aca="false">IFERROR(D1776*E1776,0)</f>
        <v>2559.44</v>
      </c>
      <c r="G1776" s="16" t="str">
        <f aca="false">INDEX(SETORES!$B:$B,MATCH(A1776,SETORES!$A:$A,0))</f>
        <v>Funcionários</v>
      </c>
      <c r="H1776" s="16" t="s">
        <v>88</v>
      </c>
    </row>
    <row r="1777" customFormat="false" ht="14.25" hidden="true" customHeight="true" outlineLevel="0" collapsed="false">
      <c r="A1777" s="16" t="s">
        <v>33</v>
      </c>
      <c r="B1777" s="16" t="s">
        <v>155</v>
      </c>
      <c r="C1777" s="16" t="s">
        <v>239</v>
      </c>
      <c r="D1777" s="38"/>
      <c r="E1777" s="39"/>
      <c r="F1777" s="22" t="n">
        <f aca="false">IFERROR(D1777*E1777,0)</f>
        <v>0</v>
      </c>
      <c r="G1777" s="16" t="str">
        <f aca="false">INDEX(SETORES!$B:$B,MATCH(A1777,SETORES!$A:$A,0))</f>
        <v>Funcionários</v>
      </c>
      <c r="H1777" s="16" t="s">
        <v>88</v>
      </c>
    </row>
    <row r="1778" customFormat="false" ht="14.25" hidden="true" customHeight="true" outlineLevel="0" collapsed="false">
      <c r="A1778" s="16" t="s">
        <v>32</v>
      </c>
      <c r="B1778" s="16" t="s">
        <v>155</v>
      </c>
      <c r="C1778" s="16" t="s">
        <v>174</v>
      </c>
      <c r="D1778" s="38" t="n">
        <v>1</v>
      </c>
      <c r="E1778" s="39" t="n">
        <v>2000</v>
      </c>
      <c r="F1778" s="22" t="n">
        <f aca="false">IFERROR(D1778*E1778,0)</f>
        <v>2000</v>
      </c>
      <c r="G1778" s="16" t="str">
        <f aca="false">INDEX(SETORES!$B:$B,MATCH(A1778,SETORES!$A:$A,0))</f>
        <v>Funcionários</v>
      </c>
      <c r="H1778" s="16" t="s">
        <v>88</v>
      </c>
    </row>
    <row r="1779" customFormat="false" ht="14.25" hidden="true" customHeight="true" outlineLevel="0" collapsed="false">
      <c r="A1779" s="16" t="s">
        <v>33</v>
      </c>
      <c r="B1779" s="16" t="s">
        <v>155</v>
      </c>
      <c r="C1779" s="16" t="s">
        <v>179</v>
      </c>
      <c r="D1779" s="38"/>
      <c r="E1779" s="39"/>
      <c r="F1779" s="22" t="n">
        <f aca="false">IFERROR(D1779*E1779,0)</f>
        <v>0</v>
      </c>
      <c r="G1779" s="16" t="str">
        <f aca="false">INDEX(SETORES!$B:$B,MATCH(A1779,SETORES!$A:$A,0))</f>
        <v>Funcionários</v>
      </c>
      <c r="H1779" s="16" t="s">
        <v>88</v>
      </c>
    </row>
    <row r="1780" customFormat="false" ht="14.25" hidden="true" customHeight="true" outlineLevel="0" collapsed="false">
      <c r="A1780" s="16" t="s">
        <v>33</v>
      </c>
      <c r="B1780" s="16" t="s">
        <v>155</v>
      </c>
      <c r="C1780" s="16" t="s">
        <v>180</v>
      </c>
      <c r="D1780" s="38"/>
      <c r="E1780" s="39"/>
      <c r="F1780" s="22" t="n">
        <f aca="false">IFERROR(D1780*E1780,0)</f>
        <v>0</v>
      </c>
      <c r="G1780" s="16" t="str">
        <f aca="false">INDEX(SETORES!$B:$B,MATCH(A1780,SETORES!$A:$A,0))</f>
        <v>Funcionários</v>
      </c>
      <c r="H1780" s="16" t="s">
        <v>88</v>
      </c>
    </row>
    <row r="1781" customFormat="false" ht="14.25" hidden="true" customHeight="true" outlineLevel="0" collapsed="false">
      <c r="A1781" s="16" t="s">
        <v>40</v>
      </c>
      <c r="B1781" s="16" t="s">
        <v>155</v>
      </c>
      <c r="C1781" s="16" t="s">
        <v>181</v>
      </c>
      <c r="D1781" s="38" t="n">
        <v>1</v>
      </c>
      <c r="E1781" s="39" t="n">
        <v>2559.45</v>
      </c>
      <c r="F1781" s="22" t="n">
        <f aca="false">IFERROR(D1781*E1781,0)</f>
        <v>2559.45</v>
      </c>
      <c r="G1781" s="16" t="str">
        <f aca="false">INDEX(SETORES!$B:$B,MATCH(A1781,SETORES!$A:$A,0))</f>
        <v>Clientes</v>
      </c>
      <c r="H1781" s="16" t="s">
        <v>88</v>
      </c>
    </row>
    <row r="1782" customFormat="false" ht="14.25" hidden="false" customHeight="true" outlineLevel="0" collapsed="false">
      <c r="A1782" s="16" t="s">
        <v>55</v>
      </c>
      <c r="B1782" s="16" t="s">
        <v>155</v>
      </c>
      <c r="C1782" s="16" t="s">
        <v>243</v>
      </c>
      <c r="D1782" s="38" t="n">
        <v>1</v>
      </c>
      <c r="E1782" s="39" t="n">
        <v>1787.09</v>
      </c>
      <c r="F1782" s="22" t="n">
        <f aca="false">IFERROR(D1782*E1782,0)</f>
        <v>1787.09</v>
      </c>
      <c r="G1782" s="16" t="str">
        <f aca="false">INDEX(SETORES!$B:$B,MATCH(A1782,SETORES!$A:$A,0))</f>
        <v>Funcionários</v>
      </c>
      <c r="H1782" s="16" t="s">
        <v>88</v>
      </c>
    </row>
    <row r="1783" customFormat="false" ht="14.25" hidden="true" customHeight="true" outlineLevel="0" collapsed="false">
      <c r="A1783" s="16" t="s">
        <v>45</v>
      </c>
      <c r="B1783" s="16" t="s">
        <v>155</v>
      </c>
      <c r="C1783" s="16" t="s">
        <v>244</v>
      </c>
      <c r="D1783" s="38"/>
      <c r="E1783" s="39"/>
      <c r="F1783" s="22" t="n">
        <f aca="false">IFERROR(D1783*E1783,0)</f>
        <v>0</v>
      </c>
      <c r="G1783" s="16" t="str">
        <f aca="false">INDEX(SETORES!$B:$B,MATCH(A1783,SETORES!$A:$A,0))</f>
        <v>Clientes</v>
      </c>
      <c r="H1783" s="16" t="s">
        <v>88</v>
      </c>
    </row>
    <row r="1784" customFormat="false" ht="14.25" hidden="true" customHeight="true" outlineLevel="0" collapsed="false">
      <c r="A1784" s="16" t="s">
        <v>48</v>
      </c>
      <c r="B1784" s="16" t="s">
        <v>155</v>
      </c>
      <c r="C1784" s="16" t="s">
        <v>186</v>
      </c>
      <c r="D1784" s="38"/>
      <c r="E1784" s="39"/>
      <c r="F1784" s="22" t="n">
        <f aca="false">IFERROR(D1784*E1784,0)</f>
        <v>0</v>
      </c>
      <c r="G1784" s="16" t="str">
        <f aca="false">INDEX(SETORES!$B:$B,MATCH(A1784,SETORES!$A:$A,0))</f>
        <v>Clientes</v>
      </c>
      <c r="H1784" s="16" t="s">
        <v>88</v>
      </c>
    </row>
    <row r="1785" customFormat="false" ht="14.25" hidden="false" customHeight="true" outlineLevel="0" collapsed="false">
      <c r="A1785" s="16" t="s">
        <v>55</v>
      </c>
      <c r="B1785" s="16" t="s">
        <v>155</v>
      </c>
      <c r="C1785" s="16" t="s">
        <v>245</v>
      </c>
      <c r="D1785" s="38"/>
      <c r="E1785" s="39"/>
      <c r="F1785" s="22" t="n">
        <f aca="false">IFERROR(D1785*E1785,0)</f>
        <v>0</v>
      </c>
      <c r="G1785" s="16" t="str">
        <f aca="false">INDEX(SETORES!$B:$B,MATCH(A1785,SETORES!$A:$A,0))</f>
        <v>Funcionários</v>
      </c>
      <c r="H1785" s="16" t="s">
        <v>88</v>
      </c>
    </row>
    <row r="1786" customFormat="false" ht="14.25" hidden="true" customHeight="true" outlineLevel="0" collapsed="false">
      <c r="A1786" s="16" t="s">
        <v>35</v>
      </c>
      <c r="B1786" s="16" t="s">
        <v>155</v>
      </c>
      <c r="C1786" s="16" t="s">
        <v>156</v>
      </c>
      <c r="D1786" s="38"/>
      <c r="E1786" s="39"/>
      <c r="F1786" s="22" t="n">
        <f aca="false">IFERROR(D1786*E1786,0)</f>
        <v>0</v>
      </c>
      <c r="G1786" s="16" t="str">
        <f aca="false">INDEX(SETORES!$B:$B,MATCH(A1786,SETORES!$A:$A,0))</f>
        <v>Clientes</v>
      </c>
      <c r="H1786" s="16" t="s">
        <v>88</v>
      </c>
    </row>
    <row r="1787" customFormat="false" ht="14.25" hidden="true" customHeight="true" outlineLevel="0" collapsed="false">
      <c r="A1787" s="16" t="s">
        <v>35</v>
      </c>
      <c r="B1787" s="16" t="s">
        <v>155</v>
      </c>
      <c r="C1787" s="16" t="s">
        <v>157</v>
      </c>
      <c r="D1787" s="38"/>
      <c r="E1787" s="39"/>
      <c r="F1787" s="22" t="n">
        <f aca="false">IFERROR(D1787*E1787,0)</f>
        <v>0</v>
      </c>
      <c r="G1787" s="16" t="str">
        <f aca="false">INDEX(SETORES!$B:$B,MATCH(A1787,SETORES!$A:$A,0))</f>
        <v>Clientes</v>
      </c>
      <c r="H1787" s="16" t="s">
        <v>88</v>
      </c>
    </row>
    <row r="1788" customFormat="false" ht="14.25" hidden="true" customHeight="true" outlineLevel="0" collapsed="false">
      <c r="A1788" s="16" t="s">
        <v>35</v>
      </c>
      <c r="B1788" s="16" t="s">
        <v>155</v>
      </c>
      <c r="C1788" s="16" t="s">
        <v>158</v>
      </c>
      <c r="D1788" s="38"/>
      <c r="E1788" s="39"/>
      <c r="F1788" s="22" t="n">
        <f aca="false">IFERROR(D1788*E1788,0)</f>
        <v>0</v>
      </c>
      <c r="G1788" s="16" t="str">
        <f aca="false">INDEX(SETORES!$B:$B,MATCH(A1788,SETORES!$A:$A,0))</f>
        <v>Clientes</v>
      </c>
      <c r="H1788" s="16" t="s">
        <v>88</v>
      </c>
    </row>
    <row r="1789" customFormat="false" ht="14.25" hidden="true" customHeight="true" outlineLevel="0" collapsed="false">
      <c r="A1789" s="16" t="s">
        <v>35</v>
      </c>
      <c r="B1789" s="16" t="s">
        <v>155</v>
      </c>
      <c r="C1789" s="16" t="s">
        <v>159</v>
      </c>
      <c r="D1789" s="38"/>
      <c r="E1789" s="39"/>
      <c r="F1789" s="22" t="n">
        <f aca="false">IFERROR(D1789*E1789,0)</f>
        <v>0</v>
      </c>
      <c r="G1789" s="16" t="str">
        <f aca="false">INDEX(SETORES!$B:$B,MATCH(A1789,SETORES!$A:$A,0))</f>
        <v>Clientes</v>
      </c>
      <c r="H1789" s="16" t="s">
        <v>88</v>
      </c>
    </row>
    <row r="1790" customFormat="false" ht="14.25" hidden="true" customHeight="true" outlineLevel="0" collapsed="false">
      <c r="A1790" s="16" t="s">
        <v>35</v>
      </c>
      <c r="B1790" s="16" t="s">
        <v>155</v>
      </c>
      <c r="C1790" s="16" t="s">
        <v>160</v>
      </c>
      <c r="D1790" s="38"/>
      <c r="E1790" s="39"/>
      <c r="F1790" s="22" t="n">
        <f aca="false">IFERROR(D1790*E1790,0)</f>
        <v>0</v>
      </c>
      <c r="G1790" s="16" t="str">
        <f aca="false">INDEX(SETORES!$B:$B,MATCH(A1790,SETORES!$A:$A,0))</f>
        <v>Clientes</v>
      </c>
      <c r="H1790" s="16" t="s">
        <v>88</v>
      </c>
    </row>
    <row r="1791" customFormat="false" ht="14.25" hidden="true" customHeight="true" outlineLevel="0" collapsed="false">
      <c r="A1791" s="16" t="s">
        <v>35</v>
      </c>
      <c r="B1791" s="16" t="s">
        <v>155</v>
      </c>
      <c r="C1791" s="16" t="s">
        <v>161</v>
      </c>
      <c r="D1791" s="38" t="n">
        <v>1</v>
      </c>
      <c r="E1791" s="39" t="n">
        <v>21051.01</v>
      </c>
      <c r="F1791" s="22" t="n">
        <f aca="false">IFERROR(D1791*E1791,0)</f>
        <v>21051.01</v>
      </c>
      <c r="G1791" s="16" t="str">
        <f aca="false">INDEX(SETORES!$B:$B,MATCH(A1791,SETORES!$A:$A,0))</f>
        <v>Clientes</v>
      </c>
      <c r="H1791" s="16" t="s">
        <v>88</v>
      </c>
    </row>
    <row r="1792" customFormat="false" ht="14.25" hidden="true" customHeight="true" outlineLevel="0" collapsed="false">
      <c r="A1792" s="16" t="s">
        <v>35</v>
      </c>
      <c r="B1792" s="16" t="s">
        <v>162</v>
      </c>
      <c r="C1792" s="16" t="s">
        <v>163</v>
      </c>
      <c r="D1792" s="38"/>
      <c r="E1792" s="39"/>
      <c r="F1792" s="22" t="n">
        <f aca="false">IFERROR(D1792*E1792,0)</f>
        <v>0</v>
      </c>
      <c r="G1792" s="16" t="str">
        <f aca="false">INDEX(SETORES!$B:$B,MATCH(A1792,SETORES!$A:$A,0))</f>
        <v>Clientes</v>
      </c>
      <c r="H1792" s="16" t="s">
        <v>88</v>
      </c>
    </row>
    <row r="1793" customFormat="false" ht="14.25" hidden="true" customHeight="true" outlineLevel="0" collapsed="false">
      <c r="A1793" s="16" t="s">
        <v>35</v>
      </c>
      <c r="B1793" s="16" t="s">
        <v>162</v>
      </c>
      <c r="C1793" s="16" t="s">
        <v>164</v>
      </c>
      <c r="D1793" s="38"/>
      <c r="E1793" s="39"/>
      <c r="F1793" s="22" t="n">
        <f aca="false">IFERROR(D1793*E1793,0)</f>
        <v>0</v>
      </c>
      <c r="G1793" s="16" t="str">
        <f aca="false">INDEX(SETORES!$B:$B,MATCH(A1793,SETORES!$A:$A,0))</f>
        <v>Clientes</v>
      </c>
      <c r="H1793" s="16" t="s">
        <v>88</v>
      </c>
    </row>
    <row r="1794" customFormat="false" ht="14.25" hidden="true" customHeight="true" outlineLevel="0" collapsed="false">
      <c r="A1794" s="16" t="s">
        <v>35</v>
      </c>
      <c r="B1794" s="16" t="s">
        <v>162</v>
      </c>
      <c r="C1794" s="16" t="s">
        <v>165</v>
      </c>
      <c r="D1794" s="38"/>
      <c r="E1794" s="39"/>
      <c r="F1794" s="22" t="n">
        <f aca="false">IFERROR(D1794*E1794,0)</f>
        <v>0</v>
      </c>
      <c r="G1794" s="16" t="str">
        <f aca="false">INDEX(SETORES!$B:$B,MATCH(A1794,SETORES!$A:$A,0))</f>
        <v>Clientes</v>
      </c>
      <c r="H1794" s="16" t="s">
        <v>88</v>
      </c>
    </row>
    <row r="1795" customFormat="false" ht="14.25" hidden="true" customHeight="true" outlineLevel="0" collapsed="false">
      <c r="A1795" s="16" t="s">
        <v>35</v>
      </c>
      <c r="B1795" s="16" t="s">
        <v>155</v>
      </c>
      <c r="C1795" s="16" t="s">
        <v>166</v>
      </c>
      <c r="D1795" s="38" t="n">
        <v>5</v>
      </c>
      <c r="E1795" s="39" t="n">
        <v>50</v>
      </c>
      <c r="F1795" s="22" t="n">
        <f aca="false">IFERROR(D1795*E1795,0)</f>
        <v>250</v>
      </c>
      <c r="G1795" s="16" t="str">
        <f aca="false">INDEX(SETORES!$B:$B,MATCH(A1795,SETORES!$A:$A,0))</f>
        <v>Clientes</v>
      </c>
      <c r="H1795" s="16" t="s">
        <v>88</v>
      </c>
    </row>
    <row r="1796" customFormat="false" ht="14.25" hidden="true" customHeight="true" outlineLevel="0" collapsed="false">
      <c r="A1796" s="16" t="s">
        <v>35</v>
      </c>
      <c r="B1796" s="16" t="s">
        <v>155</v>
      </c>
      <c r="C1796" s="16" t="s">
        <v>167</v>
      </c>
      <c r="D1796" s="38"/>
      <c r="E1796" s="39"/>
      <c r="F1796" s="22" t="n">
        <f aca="false">IFERROR(D1796*E1796,0)</f>
        <v>0</v>
      </c>
      <c r="G1796" s="16" t="str">
        <f aca="false">INDEX(SETORES!$B:$B,MATCH(A1796,SETORES!$A:$A,0))</f>
        <v>Clientes</v>
      </c>
      <c r="H1796" s="16" t="s">
        <v>88</v>
      </c>
    </row>
    <row r="1797" customFormat="false" ht="14.25" hidden="true" customHeight="true" outlineLevel="0" collapsed="false">
      <c r="A1797" s="16" t="s">
        <v>35</v>
      </c>
      <c r="B1797" s="16" t="s">
        <v>155</v>
      </c>
      <c r="C1797" s="16" t="s">
        <v>168</v>
      </c>
      <c r="D1797" s="38" t="n">
        <v>5</v>
      </c>
      <c r="E1797" s="39" t="n">
        <v>1.87</v>
      </c>
      <c r="F1797" s="22" t="n">
        <f aca="false">IFERROR(D1797*E1797,0)</f>
        <v>9.35</v>
      </c>
      <c r="G1797" s="16" t="str">
        <f aca="false">INDEX(SETORES!$B:$B,MATCH(A1797,SETORES!$A:$A,0))</f>
        <v>Clientes</v>
      </c>
      <c r="H1797" s="16" t="s">
        <v>88</v>
      </c>
    </row>
    <row r="1798" customFormat="false" ht="14.25" hidden="true" customHeight="true" outlineLevel="0" collapsed="false">
      <c r="A1798" s="16" t="s">
        <v>38</v>
      </c>
      <c r="B1798" s="16" t="s">
        <v>155</v>
      </c>
      <c r="C1798" s="16" t="s">
        <v>156</v>
      </c>
      <c r="D1798" s="38" t="n">
        <v>1</v>
      </c>
      <c r="E1798" s="39" t="n">
        <v>3.74</v>
      </c>
      <c r="F1798" s="22" t="n">
        <f aca="false">IFERROR(D1798*E1798,0)</f>
        <v>3.74</v>
      </c>
      <c r="G1798" s="16" t="str">
        <f aca="false">INDEX(SETORES!$B:$B,MATCH(A1798,SETORES!$A:$A,0))</f>
        <v>Clientes</v>
      </c>
      <c r="H1798" s="16" t="s">
        <v>88</v>
      </c>
    </row>
    <row r="1799" customFormat="false" ht="14.25" hidden="true" customHeight="true" outlineLevel="0" collapsed="false">
      <c r="A1799" s="16" t="s">
        <v>38</v>
      </c>
      <c r="B1799" s="16" t="s">
        <v>155</v>
      </c>
      <c r="C1799" s="16" t="s">
        <v>157</v>
      </c>
      <c r="D1799" s="38" t="n">
        <v>1</v>
      </c>
      <c r="E1799" s="39" t="n">
        <v>657.21</v>
      </c>
      <c r="F1799" s="22" t="n">
        <f aca="false">IFERROR(D1799*E1799,0)</f>
        <v>657.21</v>
      </c>
      <c r="G1799" s="16" t="str">
        <f aca="false">INDEX(SETORES!$B:$B,MATCH(A1799,SETORES!$A:$A,0))</f>
        <v>Clientes</v>
      </c>
      <c r="H1799" s="16" t="s">
        <v>88</v>
      </c>
    </row>
    <row r="1800" customFormat="false" ht="14.25" hidden="true" customHeight="true" outlineLevel="0" collapsed="false">
      <c r="A1800" s="16" t="s">
        <v>38</v>
      </c>
      <c r="B1800" s="16" t="s">
        <v>155</v>
      </c>
      <c r="C1800" s="16" t="s">
        <v>158</v>
      </c>
      <c r="D1800" s="38"/>
      <c r="E1800" s="39"/>
      <c r="F1800" s="22" t="n">
        <f aca="false">IFERROR(D1800*E1800,0)</f>
        <v>0</v>
      </c>
      <c r="G1800" s="16" t="str">
        <f aca="false">INDEX(SETORES!$B:$B,MATCH(A1800,SETORES!$A:$A,0))</f>
        <v>Clientes</v>
      </c>
      <c r="H1800" s="16" t="s">
        <v>88</v>
      </c>
    </row>
    <row r="1801" customFormat="false" ht="14.25" hidden="true" customHeight="true" outlineLevel="0" collapsed="false">
      <c r="A1801" s="16" t="s">
        <v>38</v>
      </c>
      <c r="B1801" s="16" t="s">
        <v>155</v>
      </c>
      <c r="C1801" s="16" t="s">
        <v>159</v>
      </c>
      <c r="D1801" s="38"/>
      <c r="E1801" s="39"/>
      <c r="F1801" s="22" t="n">
        <f aca="false">IFERROR(D1801*E1801,0)</f>
        <v>0</v>
      </c>
      <c r="G1801" s="16" t="str">
        <f aca="false">INDEX(SETORES!$B:$B,MATCH(A1801,SETORES!$A:$A,0))</f>
        <v>Clientes</v>
      </c>
      <c r="H1801" s="16" t="s">
        <v>88</v>
      </c>
    </row>
    <row r="1802" customFormat="false" ht="14.25" hidden="true" customHeight="true" outlineLevel="0" collapsed="false">
      <c r="A1802" s="16" t="s">
        <v>38</v>
      </c>
      <c r="B1802" s="16" t="s">
        <v>155</v>
      </c>
      <c r="C1802" s="16" t="s">
        <v>160</v>
      </c>
      <c r="D1802" s="38"/>
      <c r="E1802" s="39"/>
      <c r="F1802" s="22" t="n">
        <f aca="false">IFERROR(D1802*E1802,0)</f>
        <v>0</v>
      </c>
      <c r="G1802" s="16" t="str">
        <f aca="false">INDEX(SETORES!$B:$B,MATCH(A1802,SETORES!$A:$A,0))</f>
        <v>Clientes</v>
      </c>
      <c r="H1802" s="16" t="s">
        <v>88</v>
      </c>
    </row>
    <row r="1803" customFormat="false" ht="14.25" hidden="true" customHeight="true" outlineLevel="0" collapsed="false">
      <c r="A1803" s="16" t="s">
        <v>38</v>
      </c>
      <c r="B1803" s="16" t="s">
        <v>155</v>
      </c>
      <c r="C1803" s="16" t="s">
        <v>161</v>
      </c>
      <c r="D1803" s="38" t="n">
        <v>1</v>
      </c>
      <c r="E1803" s="39" t="n">
        <v>42492.05</v>
      </c>
      <c r="F1803" s="22" t="n">
        <f aca="false">IFERROR(D1803*E1803,0)</f>
        <v>42492.05</v>
      </c>
      <c r="G1803" s="16" t="str">
        <f aca="false">INDEX(SETORES!$B:$B,MATCH(A1803,SETORES!$A:$A,0))</f>
        <v>Clientes</v>
      </c>
      <c r="H1803" s="16" t="s">
        <v>88</v>
      </c>
    </row>
    <row r="1804" customFormat="false" ht="14.25" hidden="true" customHeight="true" outlineLevel="0" collapsed="false">
      <c r="A1804" s="16" t="s">
        <v>38</v>
      </c>
      <c r="B1804" s="16" t="s">
        <v>162</v>
      </c>
      <c r="C1804" s="16" t="s">
        <v>163</v>
      </c>
      <c r="D1804" s="38"/>
      <c r="E1804" s="39"/>
      <c r="F1804" s="22" t="n">
        <f aca="false">IFERROR(D1804*E1804,0)</f>
        <v>0</v>
      </c>
      <c r="G1804" s="16" t="str">
        <f aca="false">INDEX(SETORES!$B:$B,MATCH(A1804,SETORES!$A:$A,0))</f>
        <v>Clientes</v>
      </c>
      <c r="H1804" s="16" t="s">
        <v>88</v>
      </c>
    </row>
    <row r="1805" customFormat="false" ht="14.25" hidden="true" customHeight="true" outlineLevel="0" collapsed="false">
      <c r="A1805" s="16" t="s">
        <v>38</v>
      </c>
      <c r="B1805" s="16" t="s">
        <v>162</v>
      </c>
      <c r="C1805" s="16" t="s">
        <v>164</v>
      </c>
      <c r="D1805" s="38"/>
      <c r="E1805" s="39"/>
      <c r="F1805" s="22" t="n">
        <f aca="false">IFERROR(D1805*E1805,0)</f>
        <v>0</v>
      </c>
      <c r="G1805" s="16" t="str">
        <f aca="false">INDEX(SETORES!$B:$B,MATCH(A1805,SETORES!$A:$A,0))</f>
        <v>Clientes</v>
      </c>
      <c r="H1805" s="16" t="s">
        <v>88</v>
      </c>
    </row>
    <row r="1806" customFormat="false" ht="14.25" hidden="true" customHeight="true" outlineLevel="0" collapsed="false">
      <c r="A1806" s="16" t="s">
        <v>38</v>
      </c>
      <c r="B1806" s="16" t="s">
        <v>162</v>
      </c>
      <c r="C1806" s="16" t="s">
        <v>222</v>
      </c>
      <c r="D1806" s="38"/>
      <c r="E1806" s="39"/>
      <c r="F1806" s="22" t="n">
        <f aca="false">IFERROR(D1806*E1806,0)</f>
        <v>0</v>
      </c>
      <c r="G1806" s="16" t="str">
        <f aca="false">INDEX(SETORES!$B:$B,MATCH(A1806,SETORES!$A:$A,0))</f>
        <v>Clientes</v>
      </c>
      <c r="H1806" s="16" t="s">
        <v>88</v>
      </c>
    </row>
    <row r="1807" customFormat="false" ht="14.25" hidden="true" customHeight="true" outlineLevel="0" collapsed="false">
      <c r="A1807" s="16" t="s">
        <v>38</v>
      </c>
      <c r="B1807" s="16" t="s">
        <v>155</v>
      </c>
      <c r="C1807" s="16" t="s">
        <v>166</v>
      </c>
      <c r="D1807" s="38" t="n">
        <v>13</v>
      </c>
      <c r="E1807" s="39" t="n">
        <v>50</v>
      </c>
      <c r="F1807" s="22" t="n">
        <f aca="false">IFERROR(D1807*E1807,0)</f>
        <v>650</v>
      </c>
      <c r="G1807" s="16" t="str">
        <f aca="false">INDEX(SETORES!$B:$B,MATCH(A1807,SETORES!$A:$A,0))</f>
        <v>Clientes</v>
      </c>
      <c r="H1807" s="16" t="s">
        <v>88</v>
      </c>
    </row>
    <row r="1808" customFormat="false" ht="14.25" hidden="true" customHeight="true" outlineLevel="0" collapsed="false">
      <c r="A1808" s="16" t="s">
        <v>38</v>
      </c>
      <c r="B1808" s="16" t="s">
        <v>155</v>
      </c>
      <c r="C1808" s="16" t="s">
        <v>187</v>
      </c>
      <c r="D1808" s="38"/>
      <c r="E1808" s="39"/>
      <c r="F1808" s="22" t="n">
        <f aca="false">IFERROR(D1808*E1808,0)</f>
        <v>0</v>
      </c>
      <c r="G1808" s="16" t="str">
        <f aca="false">INDEX(SETORES!$B:$B,MATCH(A1808,SETORES!$A:$A,0))</f>
        <v>Clientes</v>
      </c>
      <c r="H1808" s="16" t="s">
        <v>88</v>
      </c>
    </row>
    <row r="1809" customFormat="false" ht="14.25" hidden="true" customHeight="true" outlineLevel="0" collapsed="false">
      <c r="A1809" s="16" t="s">
        <v>38</v>
      </c>
      <c r="B1809" s="16" t="s">
        <v>155</v>
      </c>
      <c r="C1809" s="16" t="s">
        <v>240</v>
      </c>
      <c r="D1809" s="38"/>
      <c r="E1809" s="39"/>
      <c r="F1809" s="22" t="n">
        <f aca="false">IFERROR(D1809*E1809,0)</f>
        <v>0</v>
      </c>
      <c r="G1809" s="16" t="str">
        <f aca="false">INDEX(SETORES!$B:$B,MATCH(A1809,SETORES!$A:$A,0))</f>
        <v>Clientes</v>
      </c>
      <c r="H1809" s="16" t="s">
        <v>88</v>
      </c>
    </row>
    <row r="1810" customFormat="false" ht="14.25" hidden="true" customHeight="true" outlineLevel="0" collapsed="false">
      <c r="A1810" s="16" t="s">
        <v>38</v>
      </c>
      <c r="B1810" s="16" t="s">
        <v>155</v>
      </c>
      <c r="C1810" s="16" t="s">
        <v>167</v>
      </c>
      <c r="D1810" s="38"/>
      <c r="E1810" s="39"/>
      <c r="F1810" s="22" t="n">
        <f aca="false">IFERROR(D1810*E1810,0)</f>
        <v>0</v>
      </c>
      <c r="G1810" s="16" t="str">
        <f aca="false">INDEX(SETORES!$B:$B,MATCH(A1810,SETORES!$A:$A,0))</f>
        <v>Clientes</v>
      </c>
      <c r="H1810" s="16" t="s">
        <v>88</v>
      </c>
    </row>
    <row r="1811" customFormat="false" ht="14.25" hidden="true" customHeight="true" outlineLevel="0" collapsed="false">
      <c r="A1811" s="16" t="s">
        <v>38</v>
      </c>
      <c r="B1811" s="16" t="s">
        <v>155</v>
      </c>
      <c r="C1811" s="16" t="s">
        <v>168</v>
      </c>
      <c r="D1811" s="38" t="n">
        <v>13</v>
      </c>
      <c r="E1811" s="39" t="n">
        <v>1.87</v>
      </c>
      <c r="F1811" s="22" t="n">
        <f aca="false">IFERROR(D1811*E1811,0)</f>
        <v>24.31</v>
      </c>
      <c r="G1811" s="16" t="str">
        <f aca="false">INDEX(SETORES!$B:$B,MATCH(A1811,SETORES!$A:$A,0))</f>
        <v>Clientes</v>
      </c>
      <c r="H1811" s="16" t="s">
        <v>88</v>
      </c>
    </row>
    <row r="1812" customFormat="false" ht="14.25" hidden="true" customHeight="true" outlineLevel="0" collapsed="false">
      <c r="A1812" s="16" t="s">
        <v>54</v>
      </c>
      <c r="B1812" s="16" t="s">
        <v>162</v>
      </c>
      <c r="C1812" s="16" t="s">
        <v>194</v>
      </c>
      <c r="D1812" s="38"/>
      <c r="E1812" s="39"/>
      <c r="F1812" s="22" t="n">
        <f aca="false">IFERROR(D1812*E1812,0)</f>
        <v>0</v>
      </c>
      <c r="G1812" s="16" t="str">
        <f aca="false">INDEX(SETORES!$B:$B,MATCH(A1812,SETORES!$A:$A,0))</f>
        <v>Clientes</v>
      </c>
      <c r="H1812" s="16" t="s">
        <v>88</v>
      </c>
    </row>
    <row r="1813" customFormat="false" ht="14.25" hidden="true" customHeight="true" outlineLevel="0" collapsed="false">
      <c r="A1813" s="16" t="s">
        <v>54</v>
      </c>
      <c r="B1813" s="16" t="s">
        <v>162</v>
      </c>
      <c r="C1813" s="16" t="s">
        <v>195</v>
      </c>
      <c r="D1813" s="38"/>
      <c r="E1813" s="39"/>
      <c r="F1813" s="22" t="n">
        <f aca="false">IFERROR(D1813*E1813,0)</f>
        <v>0</v>
      </c>
      <c r="G1813" s="16" t="str">
        <f aca="false">INDEX(SETORES!$B:$B,MATCH(A1813,SETORES!$A:$A,0))</f>
        <v>Clientes</v>
      </c>
      <c r="H1813" s="16" t="s">
        <v>88</v>
      </c>
    </row>
    <row r="1814" customFormat="false" ht="14.25" hidden="true" customHeight="true" outlineLevel="0" collapsed="false">
      <c r="A1814" s="16" t="s">
        <v>54</v>
      </c>
      <c r="B1814" s="16" t="s">
        <v>155</v>
      </c>
      <c r="C1814" s="16" t="s">
        <v>196</v>
      </c>
      <c r="D1814" s="38" t="n">
        <v>12</v>
      </c>
      <c r="E1814" s="39" t="n">
        <v>50</v>
      </c>
      <c r="F1814" s="22" t="n">
        <f aca="false">IFERROR(D1814*E1814,0)</f>
        <v>600</v>
      </c>
      <c r="G1814" s="16" t="str">
        <f aca="false">INDEX(SETORES!$B:$B,MATCH(A1814,SETORES!$A:$A,0))</f>
        <v>Clientes</v>
      </c>
      <c r="H1814" s="16" t="s">
        <v>88</v>
      </c>
    </row>
    <row r="1815" customFormat="false" ht="14.25" hidden="true" customHeight="true" outlineLevel="0" collapsed="false">
      <c r="A1815" s="16" t="s">
        <v>54</v>
      </c>
      <c r="B1815" s="16" t="s">
        <v>155</v>
      </c>
      <c r="C1815" s="16" t="s">
        <v>161</v>
      </c>
      <c r="D1815" s="38" t="n">
        <v>1</v>
      </c>
      <c r="E1815" s="39" t="n">
        <v>189839.41</v>
      </c>
      <c r="F1815" s="22" t="n">
        <f aca="false">IFERROR(D1815*E1815,0)</f>
        <v>189839.41</v>
      </c>
      <c r="G1815" s="16" t="str">
        <f aca="false">INDEX(SETORES!$B:$B,MATCH(A1815,SETORES!$A:$A,0))</f>
        <v>Clientes</v>
      </c>
      <c r="H1815" s="16" t="s">
        <v>88</v>
      </c>
    </row>
    <row r="1816" customFormat="false" ht="14.25" hidden="true" customHeight="true" outlineLevel="0" collapsed="false">
      <c r="A1816" s="16" t="s">
        <v>54</v>
      </c>
      <c r="B1816" s="16" t="s">
        <v>155</v>
      </c>
      <c r="C1816" s="16" t="s">
        <v>198</v>
      </c>
      <c r="D1816" s="38"/>
      <c r="E1816" s="39"/>
      <c r="F1816" s="22" t="n">
        <f aca="false">IFERROR(D1816*E1816,0)</f>
        <v>0</v>
      </c>
      <c r="G1816" s="16" t="str">
        <f aca="false">INDEX(SETORES!$B:$B,MATCH(A1816,SETORES!$A:$A,0))</f>
        <v>Clientes</v>
      </c>
      <c r="H1816" s="16" t="s">
        <v>88</v>
      </c>
    </row>
    <row r="1817" customFormat="false" ht="14.25" hidden="true" customHeight="true" outlineLevel="0" collapsed="false">
      <c r="A1817" s="16" t="s">
        <v>54</v>
      </c>
      <c r="B1817" s="16" t="s">
        <v>155</v>
      </c>
      <c r="C1817" s="16" t="s">
        <v>170</v>
      </c>
      <c r="D1817" s="38"/>
      <c r="E1817" s="39"/>
      <c r="F1817" s="22" t="n">
        <f aca="false">IFERROR(D1817*E1817,0)</f>
        <v>0</v>
      </c>
      <c r="G1817" s="16" t="str">
        <f aca="false">INDEX(SETORES!$B:$B,MATCH(A1817,SETORES!$A:$A,0))</f>
        <v>Clientes</v>
      </c>
      <c r="H1817" s="16" t="s">
        <v>88</v>
      </c>
    </row>
    <row r="1818" customFormat="false" ht="14.25" hidden="true" customHeight="true" outlineLevel="0" collapsed="false">
      <c r="A1818" s="16" t="s">
        <v>54</v>
      </c>
      <c r="B1818" s="16" t="s">
        <v>155</v>
      </c>
      <c r="C1818" s="16" t="s">
        <v>171</v>
      </c>
      <c r="D1818" s="38"/>
      <c r="E1818" s="39"/>
      <c r="F1818" s="22" t="n">
        <f aca="false">IFERROR(D1818*E1818,0)</f>
        <v>0</v>
      </c>
      <c r="G1818" s="16" t="str">
        <f aca="false">INDEX(SETORES!$B:$B,MATCH(A1818,SETORES!$A:$A,0))</f>
        <v>Clientes</v>
      </c>
      <c r="H1818" s="16" t="s">
        <v>88</v>
      </c>
    </row>
    <row r="1819" customFormat="false" ht="14.25" hidden="true" customHeight="true" outlineLevel="0" collapsed="false">
      <c r="A1819" s="16" t="s">
        <v>54</v>
      </c>
      <c r="B1819" s="16" t="s">
        <v>155</v>
      </c>
      <c r="C1819" s="16" t="s">
        <v>169</v>
      </c>
      <c r="D1819" s="38"/>
      <c r="E1819" s="39"/>
      <c r="F1819" s="22" t="n">
        <f aca="false">IFERROR(D1819*E1819,0)</f>
        <v>0</v>
      </c>
      <c r="G1819" s="16" t="str">
        <f aca="false">INDEX(SETORES!$B:$B,MATCH(A1819,SETORES!$A:$A,0))</f>
        <v>Clientes</v>
      </c>
      <c r="H1819" s="16" t="s">
        <v>88</v>
      </c>
    </row>
    <row r="1820" customFormat="false" ht="14.25" hidden="true" customHeight="true" outlineLevel="0" collapsed="false">
      <c r="A1820" s="16" t="s">
        <v>54</v>
      </c>
      <c r="B1820" s="16" t="s">
        <v>162</v>
      </c>
      <c r="C1820" s="16" t="s">
        <v>165</v>
      </c>
      <c r="D1820" s="38"/>
      <c r="E1820" s="39"/>
      <c r="F1820" s="22" t="n">
        <f aca="false">IFERROR(D1820*E1820,0)</f>
        <v>0</v>
      </c>
      <c r="G1820" s="16" t="str">
        <f aca="false">INDEX(SETORES!$B:$B,MATCH(A1820,SETORES!$A:$A,0))</f>
        <v>Clientes</v>
      </c>
      <c r="H1820" s="16" t="s">
        <v>88</v>
      </c>
    </row>
    <row r="1821" customFormat="false" ht="14.25" hidden="true" customHeight="true" outlineLevel="0" collapsed="false">
      <c r="A1821" s="16" t="s">
        <v>54</v>
      </c>
      <c r="B1821" s="16" t="s">
        <v>162</v>
      </c>
      <c r="C1821" s="16" t="s">
        <v>200</v>
      </c>
      <c r="D1821" s="38" t="n">
        <v>1</v>
      </c>
      <c r="E1821" s="39" t="n">
        <v>90</v>
      </c>
      <c r="F1821" s="22" t="n">
        <f aca="false">IFERROR(D1821*E1821,0)</f>
        <v>90</v>
      </c>
      <c r="G1821" s="16" t="str">
        <f aca="false">INDEX(SETORES!$B:$B,MATCH(A1821,SETORES!$A:$A,0))</f>
        <v>Clientes</v>
      </c>
      <c r="H1821" s="16" t="s">
        <v>88</v>
      </c>
    </row>
    <row r="1822" customFormat="false" ht="14.25" hidden="true" customHeight="true" outlineLevel="0" collapsed="false">
      <c r="A1822" s="16" t="s">
        <v>54</v>
      </c>
      <c r="B1822" s="16" t="s">
        <v>162</v>
      </c>
      <c r="C1822" s="16" t="s">
        <v>201</v>
      </c>
      <c r="D1822" s="38"/>
      <c r="E1822" s="39"/>
      <c r="F1822" s="22" t="n">
        <f aca="false">IFERROR(D1822*E1822,0)</f>
        <v>0</v>
      </c>
      <c r="G1822" s="16" t="str">
        <f aca="false">INDEX(SETORES!$B:$B,MATCH(A1822,SETORES!$A:$A,0))</f>
        <v>Clientes</v>
      </c>
      <c r="H1822" s="16" t="s">
        <v>88</v>
      </c>
    </row>
    <row r="1823" customFormat="false" ht="14.25" hidden="true" customHeight="true" outlineLevel="0" collapsed="false">
      <c r="A1823" s="16" t="s">
        <v>54</v>
      </c>
      <c r="B1823" s="16" t="s">
        <v>162</v>
      </c>
      <c r="C1823" s="16" t="s">
        <v>202</v>
      </c>
      <c r="D1823" s="38"/>
      <c r="E1823" s="39"/>
      <c r="F1823" s="22" t="n">
        <f aca="false">IFERROR(D1823*E1823,0)</f>
        <v>0</v>
      </c>
      <c r="G1823" s="16" t="str">
        <f aca="false">INDEX(SETORES!$B:$B,MATCH(A1823,SETORES!$A:$A,0))</f>
        <v>Clientes</v>
      </c>
      <c r="H1823" s="16" t="s">
        <v>88</v>
      </c>
    </row>
    <row r="1824" customFormat="false" ht="14.25" hidden="true" customHeight="true" outlineLevel="0" collapsed="false">
      <c r="A1824" s="16" t="s">
        <v>54</v>
      </c>
      <c r="B1824" s="16" t="s">
        <v>162</v>
      </c>
      <c r="C1824" s="16" t="s">
        <v>203</v>
      </c>
      <c r="D1824" s="38"/>
      <c r="E1824" s="39"/>
      <c r="F1824" s="22" t="n">
        <f aca="false">IFERROR(D1824*E1824,0)</f>
        <v>0</v>
      </c>
      <c r="G1824" s="16" t="str">
        <f aca="false">INDEX(SETORES!$B:$B,MATCH(A1824,SETORES!$A:$A,0))</f>
        <v>Clientes</v>
      </c>
      <c r="H1824" s="16" t="s">
        <v>88</v>
      </c>
    </row>
    <row r="1825" customFormat="false" ht="14.25" hidden="true" customHeight="true" outlineLevel="0" collapsed="false">
      <c r="A1825" s="16" t="s">
        <v>54</v>
      </c>
      <c r="B1825" s="16" t="s">
        <v>155</v>
      </c>
      <c r="C1825" s="16" t="s">
        <v>167</v>
      </c>
      <c r="D1825" s="38"/>
      <c r="E1825" s="39"/>
      <c r="F1825" s="22" t="n">
        <f aca="false">IFERROR(D1825*E1825,0)</f>
        <v>0</v>
      </c>
      <c r="G1825" s="16" t="str">
        <f aca="false">INDEX(SETORES!$B:$B,MATCH(A1825,SETORES!$A:$A,0))</f>
        <v>Clientes</v>
      </c>
      <c r="H1825" s="16" t="s">
        <v>88</v>
      </c>
    </row>
    <row r="1826" customFormat="false" ht="14.25" hidden="true" customHeight="true" outlineLevel="0" collapsed="false">
      <c r="A1826" s="16" t="s">
        <v>54</v>
      </c>
      <c r="B1826" s="16" t="s">
        <v>155</v>
      </c>
      <c r="C1826" s="16" t="s">
        <v>168</v>
      </c>
      <c r="D1826" s="38" t="n">
        <v>12</v>
      </c>
      <c r="E1826" s="39" t="n">
        <v>1.87</v>
      </c>
      <c r="F1826" s="22" t="n">
        <f aca="false">IFERROR(D1826*E1826,0)</f>
        <v>22.44</v>
      </c>
      <c r="G1826" s="16" t="str">
        <f aca="false">INDEX(SETORES!$B:$B,MATCH(A1826,SETORES!$A:$A,0))</f>
        <v>Clientes</v>
      </c>
      <c r="H1826" s="16" t="s">
        <v>88</v>
      </c>
    </row>
    <row r="1827" customFormat="false" ht="14.25" hidden="true" customHeight="true" outlineLevel="0" collapsed="false">
      <c r="A1827" s="16" t="s">
        <v>54</v>
      </c>
      <c r="B1827" s="16" t="s">
        <v>162</v>
      </c>
      <c r="C1827" s="16" t="s">
        <v>204</v>
      </c>
      <c r="D1827" s="38"/>
      <c r="E1827" s="39"/>
      <c r="F1827" s="22" t="n">
        <f aca="false">IFERROR(D1827*E1827,0)</f>
        <v>0</v>
      </c>
      <c r="G1827" s="16" t="str">
        <f aca="false">INDEX(SETORES!$B:$B,MATCH(A1827,SETORES!$A:$A,0))</f>
        <v>Clientes</v>
      </c>
      <c r="H1827" s="16" t="s">
        <v>88</v>
      </c>
    </row>
    <row r="1828" customFormat="false" ht="14.25" hidden="true" customHeight="true" outlineLevel="0" collapsed="false">
      <c r="A1828" s="16" t="s">
        <v>54</v>
      </c>
      <c r="B1828" s="16" t="s">
        <v>155</v>
      </c>
      <c r="C1828" s="16" t="s">
        <v>205</v>
      </c>
      <c r="D1828" s="38" t="n">
        <v>1</v>
      </c>
      <c r="E1828" s="39" t="n">
        <v>2997</v>
      </c>
      <c r="F1828" s="22" t="n">
        <f aca="false">IFERROR(D1828*E1828,0)</f>
        <v>2997</v>
      </c>
      <c r="G1828" s="16" t="str">
        <f aca="false">INDEX(SETORES!$B:$B,MATCH(A1828,SETORES!$A:$A,0))</f>
        <v>Clientes</v>
      </c>
      <c r="H1828" s="16" t="s">
        <v>88</v>
      </c>
    </row>
    <row r="1829" customFormat="false" ht="14.25" hidden="true" customHeight="true" outlineLevel="0" collapsed="false">
      <c r="A1829" s="16" t="s">
        <v>54</v>
      </c>
      <c r="B1829" s="16" t="s">
        <v>155</v>
      </c>
      <c r="C1829" s="16" t="s">
        <v>206</v>
      </c>
      <c r="D1829" s="38" t="n">
        <v>1</v>
      </c>
      <c r="E1829" s="39" t="n">
        <v>545.99</v>
      </c>
      <c r="F1829" s="22" t="n">
        <f aca="false">IFERROR(D1829*E1829,0)</f>
        <v>545.99</v>
      </c>
      <c r="G1829" s="16" t="str">
        <f aca="false">INDEX(SETORES!$B:$B,MATCH(A1829,SETORES!$A:$A,0))</f>
        <v>Clientes</v>
      </c>
      <c r="H1829" s="16" t="s">
        <v>88</v>
      </c>
    </row>
    <row r="1830" customFormat="false" ht="14.25" hidden="true" customHeight="true" outlineLevel="0" collapsed="false">
      <c r="A1830" s="16" t="s">
        <v>54</v>
      </c>
      <c r="B1830" s="16" t="s">
        <v>155</v>
      </c>
      <c r="C1830" s="16" t="s">
        <v>207</v>
      </c>
      <c r="D1830" s="38"/>
      <c r="E1830" s="39"/>
      <c r="F1830" s="22" t="n">
        <f aca="false">IFERROR(D1830*E1830,0)</f>
        <v>0</v>
      </c>
      <c r="G1830" s="16" t="str">
        <f aca="false">INDEX(SETORES!$B:$B,MATCH(A1830,SETORES!$A:$A,0))</f>
        <v>Clientes</v>
      </c>
      <c r="H1830" s="16" t="s">
        <v>88</v>
      </c>
    </row>
    <row r="1831" customFormat="false" ht="14.25" hidden="true" customHeight="true" outlineLevel="0" collapsed="false">
      <c r="A1831" s="16" t="s">
        <v>54</v>
      </c>
      <c r="B1831" s="16" t="s">
        <v>155</v>
      </c>
      <c r="C1831" s="16" t="s">
        <v>208</v>
      </c>
      <c r="D1831" s="38" t="n">
        <v>1</v>
      </c>
      <c r="E1831" s="39" t="n">
        <v>3042.34</v>
      </c>
      <c r="F1831" s="22" t="n">
        <f aca="false">IFERROR(D1831*E1831,0)</f>
        <v>3042.34</v>
      </c>
      <c r="G1831" s="16" t="str">
        <f aca="false">INDEX(SETORES!$B:$B,MATCH(A1831,SETORES!$A:$A,0))</f>
        <v>Clientes</v>
      </c>
      <c r="H1831" s="16" t="s">
        <v>88</v>
      </c>
    </row>
    <row r="1832" customFormat="false" ht="14.25" hidden="true" customHeight="true" outlineLevel="0" collapsed="false">
      <c r="A1832" s="16" t="s">
        <v>43</v>
      </c>
      <c r="B1832" s="16" t="s">
        <v>155</v>
      </c>
      <c r="C1832" s="16" t="s">
        <v>156</v>
      </c>
      <c r="D1832" s="38"/>
      <c r="E1832" s="39"/>
      <c r="F1832" s="22" t="n">
        <f aca="false">IFERROR(D1832*E1832,0)</f>
        <v>0</v>
      </c>
      <c r="G1832" s="16" t="str">
        <f aca="false">INDEX(SETORES!$B:$B,MATCH(A1832,SETORES!$A:$A,0))</f>
        <v>Clientes</v>
      </c>
      <c r="H1832" s="16" t="s">
        <v>88</v>
      </c>
    </row>
    <row r="1833" customFormat="false" ht="14.25" hidden="true" customHeight="true" outlineLevel="0" collapsed="false">
      <c r="A1833" s="16" t="s">
        <v>43</v>
      </c>
      <c r="B1833" s="16" t="s">
        <v>155</v>
      </c>
      <c r="C1833" s="16" t="s">
        <v>157</v>
      </c>
      <c r="D1833" s="38"/>
      <c r="E1833" s="39"/>
      <c r="F1833" s="22" t="n">
        <f aca="false">IFERROR(D1833*E1833,0)</f>
        <v>0</v>
      </c>
      <c r="G1833" s="16" t="str">
        <f aca="false">INDEX(SETORES!$B:$B,MATCH(A1833,SETORES!$A:$A,0))</f>
        <v>Clientes</v>
      </c>
      <c r="H1833" s="16" t="s">
        <v>88</v>
      </c>
    </row>
    <row r="1834" customFormat="false" ht="14.25" hidden="true" customHeight="true" outlineLevel="0" collapsed="false">
      <c r="A1834" s="16" t="s">
        <v>43</v>
      </c>
      <c r="B1834" s="16" t="s">
        <v>155</v>
      </c>
      <c r="C1834" s="16" t="s">
        <v>158</v>
      </c>
      <c r="D1834" s="38"/>
      <c r="E1834" s="39"/>
      <c r="F1834" s="22" t="n">
        <f aca="false">IFERROR(D1834*E1834,0)</f>
        <v>0</v>
      </c>
      <c r="G1834" s="16" t="str">
        <f aca="false">INDEX(SETORES!$B:$B,MATCH(A1834,SETORES!$A:$A,0))</f>
        <v>Clientes</v>
      </c>
      <c r="H1834" s="16" t="s">
        <v>88</v>
      </c>
    </row>
    <row r="1835" customFormat="false" ht="14.25" hidden="true" customHeight="true" outlineLevel="0" collapsed="false">
      <c r="A1835" s="16" t="s">
        <v>43</v>
      </c>
      <c r="B1835" s="16" t="s">
        <v>155</v>
      </c>
      <c r="C1835" s="16" t="s">
        <v>159</v>
      </c>
      <c r="D1835" s="38"/>
      <c r="E1835" s="39"/>
      <c r="F1835" s="22" t="n">
        <f aca="false">IFERROR(D1835*E1835,0)</f>
        <v>0</v>
      </c>
      <c r="G1835" s="16" t="str">
        <f aca="false">INDEX(SETORES!$B:$B,MATCH(A1835,SETORES!$A:$A,0))</f>
        <v>Clientes</v>
      </c>
      <c r="H1835" s="16" t="s">
        <v>88</v>
      </c>
    </row>
    <row r="1836" customFormat="false" ht="14.25" hidden="true" customHeight="true" outlineLevel="0" collapsed="false">
      <c r="A1836" s="16" t="s">
        <v>43</v>
      </c>
      <c r="B1836" s="16" t="s">
        <v>155</v>
      </c>
      <c r="C1836" s="16" t="s">
        <v>160</v>
      </c>
      <c r="D1836" s="38"/>
      <c r="E1836" s="39"/>
      <c r="F1836" s="22" t="n">
        <f aca="false">IFERROR(D1836*E1836,0)</f>
        <v>0</v>
      </c>
      <c r="G1836" s="16" t="str">
        <f aca="false">INDEX(SETORES!$B:$B,MATCH(A1836,SETORES!$A:$A,0))</f>
        <v>Clientes</v>
      </c>
      <c r="H1836" s="16" t="s">
        <v>88</v>
      </c>
    </row>
    <row r="1837" customFormat="false" ht="14.25" hidden="true" customHeight="true" outlineLevel="0" collapsed="false">
      <c r="A1837" s="16" t="s">
        <v>43</v>
      </c>
      <c r="B1837" s="16" t="s">
        <v>155</v>
      </c>
      <c r="C1837" s="16" t="s">
        <v>161</v>
      </c>
      <c r="D1837" s="38" t="n">
        <v>1</v>
      </c>
      <c r="E1837" s="39" t="n">
        <v>24935.86</v>
      </c>
      <c r="F1837" s="22" t="n">
        <f aca="false">IFERROR(D1837*E1837,0)</f>
        <v>24935.86</v>
      </c>
      <c r="G1837" s="16" t="str">
        <f aca="false">INDEX(SETORES!$B:$B,MATCH(A1837,SETORES!$A:$A,0))</f>
        <v>Clientes</v>
      </c>
      <c r="H1837" s="16" t="s">
        <v>88</v>
      </c>
    </row>
    <row r="1838" customFormat="false" ht="14.25" hidden="true" customHeight="true" outlineLevel="0" collapsed="false">
      <c r="A1838" s="16" t="s">
        <v>43</v>
      </c>
      <c r="B1838" s="16" t="s">
        <v>162</v>
      </c>
      <c r="C1838" s="16" t="s">
        <v>209</v>
      </c>
      <c r="D1838" s="38"/>
      <c r="E1838" s="39"/>
      <c r="F1838" s="22" t="n">
        <f aca="false">IFERROR(D1838*E1838,0)</f>
        <v>0</v>
      </c>
      <c r="G1838" s="16" t="str">
        <f aca="false">INDEX(SETORES!$B:$B,MATCH(A1838,SETORES!$A:$A,0))</f>
        <v>Clientes</v>
      </c>
      <c r="H1838" s="16" t="s">
        <v>88</v>
      </c>
    </row>
    <row r="1839" customFormat="false" ht="14.25" hidden="true" customHeight="true" outlineLevel="0" collapsed="false">
      <c r="A1839" s="16" t="s">
        <v>43</v>
      </c>
      <c r="B1839" s="16" t="s">
        <v>155</v>
      </c>
      <c r="C1839" s="16" t="s">
        <v>166</v>
      </c>
      <c r="D1839" s="38" t="n">
        <v>5</v>
      </c>
      <c r="E1839" s="39" t="n">
        <v>50</v>
      </c>
      <c r="F1839" s="22" t="n">
        <f aca="false">IFERROR(D1839*E1839,0)</f>
        <v>250</v>
      </c>
      <c r="G1839" s="16" t="str">
        <f aca="false">INDEX(SETORES!$B:$B,MATCH(A1839,SETORES!$A:$A,0))</f>
        <v>Clientes</v>
      </c>
      <c r="H1839" s="16" t="s">
        <v>88</v>
      </c>
    </row>
    <row r="1840" customFormat="false" ht="14.25" hidden="true" customHeight="true" outlineLevel="0" collapsed="false">
      <c r="A1840" s="16" t="s">
        <v>43</v>
      </c>
      <c r="B1840" s="16" t="s">
        <v>155</v>
      </c>
      <c r="C1840" s="16" t="s">
        <v>238</v>
      </c>
      <c r="D1840" s="38"/>
      <c r="E1840" s="39"/>
      <c r="F1840" s="22" t="n">
        <f aca="false">IFERROR(D1840*E1840,0)</f>
        <v>0</v>
      </c>
      <c r="G1840" s="16" t="str">
        <f aca="false">INDEX(SETORES!$B:$B,MATCH(A1840,SETORES!$A:$A,0))</f>
        <v>Clientes</v>
      </c>
      <c r="H1840" s="16" t="s">
        <v>88</v>
      </c>
    </row>
    <row r="1841" customFormat="false" ht="14.25" hidden="true" customHeight="true" outlineLevel="0" collapsed="false">
      <c r="A1841" s="16" t="s">
        <v>43</v>
      </c>
      <c r="B1841" s="16" t="s">
        <v>155</v>
      </c>
      <c r="C1841" s="16" t="s">
        <v>167</v>
      </c>
      <c r="D1841" s="38"/>
      <c r="E1841" s="39"/>
      <c r="F1841" s="22" t="n">
        <f aca="false">IFERROR(D1841*E1841,0)</f>
        <v>0</v>
      </c>
      <c r="G1841" s="16" t="str">
        <f aca="false">INDEX(SETORES!$B:$B,MATCH(A1841,SETORES!$A:$A,0))</f>
        <v>Clientes</v>
      </c>
      <c r="H1841" s="16" t="s">
        <v>88</v>
      </c>
    </row>
    <row r="1842" customFormat="false" ht="14.25" hidden="true" customHeight="true" outlineLevel="0" collapsed="false">
      <c r="A1842" s="16" t="s">
        <v>43</v>
      </c>
      <c r="B1842" s="16" t="s">
        <v>155</v>
      </c>
      <c r="C1842" s="16" t="s">
        <v>168</v>
      </c>
      <c r="D1842" s="38" t="n">
        <v>5</v>
      </c>
      <c r="E1842" s="39" t="n">
        <v>1.87</v>
      </c>
      <c r="F1842" s="22" t="n">
        <f aca="false">IFERROR(D1842*E1842,0)</f>
        <v>9.35</v>
      </c>
      <c r="G1842" s="16" t="str">
        <f aca="false">INDEX(SETORES!$B:$B,MATCH(A1842,SETORES!$A:$A,0))</f>
        <v>Clientes</v>
      </c>
      <c r="H1842" s="16" t="s">
        <v>88</v>
      </c>
    </row>
    <row r="1843" customFormat="false" ht="14.25" hidden="true" customHeight="true" outlineLevel="0" collapsed="false">
      <c r="A1843" s="16" t="s">
        <v>40</v>
      </c>
      <c r="B1843" s="16" t="s">
        <v>155</v>
      </c>
      <c r="C1843" s="16" t="s">
        <v>156</v>
      </c>
      <c r="D1843" s="38"/>
      <c r="E1843" s="39"/>
      <c r="F1843" s="22" t="n">
        <f aca="false">IFERROR(D1843*E1843,0)</f>
        <v>0</v>
      </c>
      <c r="G1843" s="16" t="str">
        <f aca="false">INDEX(SETORES!$B:$B,MATCH(A1843,SETORES!$A:$A,0))</f>
        <v>Clientes</v>
      </c>
      <c r="H1843" s="16" t="s">
        <v>88</v>
      </c>
    </row>
    <row r="1844" customFormat="false" ht="14.25" hidden="true" customHeight="true" outlineLevel="0" collapsed="false">
      <c r="A1844" s="16" t="s">
        <v>40</v>
      </c>
      <c r="B1844" s="16" t="s">
        <v>155</v>
      </c>
      <c r="C1844" s="16" t="s">
        <v>157</v>
      </c>
      <c r="D1844" s="38" t="n">
        <v>1</v>
      </c>
      <c r="E1844" s="39" t="n">
        <v>241.44</v>
      </c>
      <c r="F1844" s="22" t="n">
        <f aca="false">IFERROR(D1844*E1844,0)</f>
        <v>241.44</v>
      </c>
      <c r="G1844" s="16" t="str">
        <f aca="false">INDEX(SETORES!$B:$B,MATCH(A1844,SETORES!$A:$A,0))</f>
        <v>Clientes</v>
      </c>
      <c r="H1844" s="16" t="s">
        <v>88</v>
      </c>
    </row>
    <row r="1845" customFormat="false" ht="14.25" hidden="true" customHeight="true" outlineLevel="0" collapsed="false">
      <c r="A1845" s="16" t="s">
        <v>40</v>
      </c>
      <c r="B1845" s="16" t="s">
        <v>155</v>
      </c>
      <c r="C1845" s="16" t="s">
        <v>158</v>
      </c>
      <c r="D1845" s="38"/>
      <c r="E1845" s="39"/>
      <c r="F1845" s="22" t="n">
        <f aca="false">IFERROR(D1845*E1845,0)</f>
        <v>0</v>
      </c>
      <c r="G1845" s="16" t="str">
        <f aca="false">INDEX(SETORES!$B:$B,MATCH(A1845,SETORES!$A:$A,0))</f>
        <v>Clientes</v>
      </c>
      <c r="H1845" s="16" t="s">
        <v>88</v>
      </c>
    </row>
    <row r="1846" customFormat="false" ht="14.25" hidden="true" customHeight="true" outlineLevel="0" collapsed="false">
      <c r="A1846" s="16" t="s">
        <v>40</v>
      </c>
      <c r="B1846" s="16" t="s">
        <v>155</v>
      </c>
      <c r="C1846" s="16" t="s">
        <v>159</v>
      </c>
      <c r="D1846" s="38"/>
      <c r="E1846" s="39"/>
      <c r="F1846" s="22" t="n">
        <f aca="false">IFERROR(D1846*E1846,0)</f>
        <v>0</v>
      </c>
      <c r="G1846" s="16" t="str">
        <f aca="false">INDEX(SETORES!$B:$B,MATCH(A1846,SETORES!$A:$A,0))</f>
        <v>Clientes</v>
      </c>
      <c r="H1846" s="16" t="s">
        <v>88</v>
      </c>
    </row>
    <row r="1847" customFormat="false" ht="14.25" hidden="true" customHeight="true" outlineLevel="0" collapsed="false">
      <c r="A1847" s="16" t="s">
        <v>40</v>
      </c>
      <c r="B1847" s="16" t="s">
        <v>155</v>
      </c>
      <c r="C1847" s="16" t="s">
        <v>160</v>
      </c>
      <c r="D1847" s="38"/>
      <c r="E1847" s="39"/>
      <c r="F1847" s="22" t="n">
        <f aca="false">IFERROR(D1847*E1847,0)</f>
        <v>0</v>
      </c>
      <c r="G1847" s="16" t="str">
        <f aca="false">INDEX(SETORES!$B:$B,MATCH(A1847,SETORES!$A:$A,0))</f>
        <v>Clientes</v>
      </c>
      <c r="H1847" s="16" t="s">
        <v>88</v>
      </c>
    </row>
    <row r="1848" customFormat="false" ht="14.25" hidden="true" customHeight="true" outlineLevel="0" collapsed="false">
      <c r="A1848" s="16" t="s">
        <v>40</v>
      </c>
      <c r="B1848" s="16" t="s">
        <v>155</v>
      </c>
      <c r="C1848" s="16" t="s">
        <v>161</v>
      </c>
      <c r="D1848" s="38" t="n">
        <v>1</v>
      </c>
      <c r="E1848" s="39" t="n">
        <v>36209.58</v>
      </c>
      <c r="F1848" s="22" t="n">
        <f aca="false">IFERROR(D1848*E1848,0)</f>
        <v>36209.58</v>
      </c>
      <c r="G1848" s="16" t="str">
        <f aca="false">INDEX(SETORES!$B:$B,MATCH(A1848,SETORES!$A:$A,0))</f>
        <v>Clientes</v>
      </c>
      <c r="H1848" s="16" t="s">
        <v>88</v>
      </c>
    </row>
    <row r="1849" customFormat="false" ht="14.25" hidden="true" customHeight="true" outlineLevel="0" collapsed="false">
      <c r="A1849" s="16" t="s">
        <v>40</v>
      </c>
      <c r="B1849" s="16" t="s">
        <v>162</v>
      </c>
      <c r="C1849" s="16" t="s">
        <v>241</v>
      </c>
      <c r="D1849" s="38"/>
      <c r="E1849" s="39"/>
      <c r="F1849" s="22" t="n">
        <f aca="false">IFERROR(D1849*E1849,0)</f>
        <v>0</v>
      </c>
      <c r="G1849" s="16" t="str">
        <f aca="false">INDEX(SETORES!$B:$B,MATCH(A1849,SETORES!$A:$A,0))</f>
        <v>Clientes</v>
      </c>
      <c r="H1849" s="16" t="s">
        <v>88</v>
      </c>
    </row>
    <row r="1850" customFormat="false" ht="14.25" hidden="true" customHeight="true" outlineLevel="0" collapsed="false">
      <c r="A1850" s="16" t="s">
        <v>40</v>
      </c>
      <c r="B1850" s="16" t="s">
        <v>162</v>
      </c>
      <c r="C1850" s="16" t="s">
        <v>163</v>
      </c>
      <c r="D1850" s="38" t="n">
        <v>1</v>
      </c>
      <c r="E1850" s="39" t="n">
        <v>90</v>
      </c>
      <c r="F1850" s="22" t="n">
        <f aca="false">IFERROR(D1850*E1850,0)</f>
        <v>90</v>
      </c>
      <c r="G1850" s="16" t="str">
        <f aca="false">INDEX(SETORES!$B:$B,MATCH(A1850,SETORES!$A:$A,0))</f>
        <v>Clientes</v>
      </c>
      <c r="H1850" s="16" t="s">
        <v>88</v>
      </c>
    </row>
    <row r="1851" customFormat="false" ht="14.25" hidden="true" customHeight="true" outlineLevel="0" collapsed="false">
      <c r="A1851" s="16" t="s">
        <v>40</v>
      </c>
      <c r="B1851" s="16" t="s">
        <v>162</v>
      </c>
      <c r="C1851" s="16" t="s">
        <v>164</v>
      </c>
      <c r="D1851" s="38"/>
      <c r="E1851" s="39"/>
      <c r="F1851" s="22" t="n">
        <f aca="false">IFERROR(D1851*E1851,0)</f>
        <v>0</v>
      </c>
      <c r="G1851" s="16" t="str">
        <f aca="false">INDEX(SETORES!$B:$B,MATCH(A1851,SETORES!$A:$A,0))</f>
        <v>Clientes</v>
      </c>
      <c r="H1851" s="16" t="s">
        <v>88</v>
      </c>
    </row>
    <row r="1852" customFormat="false" ht="14.25" hidden="true" customHeight="true" outlineLevel="0" collapsed="false">
      <c r="A1852" s="16" t="s">
        <v>40</v>
      </c>
      <c r="B1852" s="16" t="s">
        <v>162</v>
      </c>
      <c r="C1852" s="16" t="s">
        <v>222</v>
      </c>
      <c r="D1852" s="38"/>
      <c r="E1852" s="39"/>
      <c r="F1852" s="22" t="n">
        <f aca="false">IFERROR(D1852*E1852,0)</f>
        <v>0</v>
      </c>
      <c r="G1852" s="16" t="str">
        <f aca="false">INDEX(SETORES!$B:$B,MATCH(A1852,SETORES!$A:$A,0))</f>
        <v>Clientes</v>
      </c>
      <c r="H1852" s="16" t="s">
        <v>88</v>
      </c>
    </row>
    <row r="1853" customFormat="false" ht="14.25" hidden="true" customHeight="true" outlineLevel="0" collapsed="false">
      <c r="A1853" s="16" t="s">
        <v>40</v>
      </c>
      <c r="B1853" s="16" t="s">
        <v>155</v>
      </c>
      <c r="C1853" s="16" t="s">
        <v>166</v>
      </c>
      <c r="D1853" s="38" t="n">
        <v>6</v>
      </c>
      <c r="E1853" s="39" t="n">
        <v>50</v>
      </c>
      <c r="F1853" s="22" t="n">
        <f aca="false">IFERROR(D1853*E1853,0)</f>
        <v>300</v>
      </c>
      <c r="G1853" s="16" t="str">
        <f aca="false">INDEX(SETORES!$B:$B,MATCH(A1853,SETORES!$A:$A,0))</f>
        <v>Clientes</v>
      </c>
      <c r="H1853" s="16" t="s">
        <v>88</v>
      </c>
    </row>
    <row r="1854" customFormat="false" ht="14.25" hidden="true" customHeight="true" outlineLevel="0" collapsed="false">
      <c r="A1854" s="16" t="s">
        <v>40</v>
      </c>
      <c r="B1854" s="16" t="s">
        <v>155</v>
      </c>
      <c r="C1854" s="16" t="s">
        <v>167</v>
      </c>
      <c r="D1854" s="38"/>
      <c r="E1854" s="39"/>
      <c r="F1854" s="22" t="n">
        <f aca="false">IFERROR(D1854*E1854,0)</f>
        <v>0</v>
      </c>
      <c r="G1854" s="16" t="str">
        <f aca="false">INDEX(SETORES!$B:$B,MATCH(A1854,SETORES!$A:$A,0))</f>
        <v>Clientes</v>
      </c>
      <c r="H1854" s="16" t="s">
        <v>88</v>
      </c>
    </row>
    <row r="1855" customFormat="false" ht="14.25" hidden="true" customHeight="true" outlineLevel="0" collapsed="false">
      <c r="A1855" s="16" t="s">
        <v>40</v>
      </c>
      <c r="B1855" s="16" t="s">
        <v>155</v>
      </c>
      <c r="C1855" s="16" t="s">
        <v>168</v>
      </c>
      <c r="D1855" s="38" t="n">
        <v>6</v>
      </c>
      <c r="E1855" s="39" t="n">
        <v>1.87</v>
      </c>
      <c r="F1855" s="22" t="n">
        <f aca="false">IFERROR(D1855*E1855,0)</f>
        <v>11.22</v>
      </c>
      <c r="G1855" s="16" t="str">
        <f aca="false">INDEX(SETORES!$B:$B,MATCH(A1855,SETORES!$A:$A,0))</f>
        <v>Clientes</v>
      </c>
      <c r="H1855" s="16" t="s">
        <v>88</v>
      </c>
    </row>
    <row r="1856" customFormat="false" ht="14.25" hidden="true" customHeight="true" outlineLevel="0" collapsed="false">
      <c r="A1856" s="16" t="s">
        <v>40</v>
      </c>
      <c r="B1856" s="16" t="s">
        <v>162</v>
      </c>
      <c r="C1856" s="16" t="s">
        <v>211</v>
      </c>
      <c r="D1856" s="38"/>
      <c r="E1856" s="39"/>
      <c r="F1856" s="22" t="n">
        <f aca="false">IFERROR(D1856*E1856,0)</f>
        <v>0</v>
      </c>
      <c r="G1856" s="16" t="str">
        <f aca="false">INDEX(SETORES!$B:$B,MATCH(A1856,SETORES!$A:$A,0))</f>
        <v>Clientes</v>
      </c>
      <c r="H1856" s="16" t="s">
        <v>88</v>
      </c>
    </row>
    <row r="1857" customFormat="false" ht="14.25" hidden="true" customHeight="true" outlineLevel="0" collapsed="false">
      <c r="A1857" s="16" t="s">
        <v>41</v>
      </c>
      <c r="B1857" s="16" t="s">
        <v>155</v>
      </c>
      <c r="C1857" s="16" t="s">
        <v>156</v>
      </c>
      <c r="D1857" s="38"/>
      <c r="E1857" s="39"/>
      <c r="F1857" s="22" t="n">
        <f aca="false">IFERROR(D1857*E1857,0)</f>
        <v>0</v>
      </c>
      <c r="G1857" s="16" t="str">
        <f aca="false">INDEX(SETORES!$B:$B,MATCH(A1857,SETORES!$A:$A,0))</f>
        <v>Clientes</v>
      </c>
      <c r="H1857" s="16" t="s">
        <v>88</v>
      </c>
    </row>
    <row r="1858" customFormat="false" ht="14.25" hidden="true" customHeight="true" outlineLevel="0" collapsed="false">
      <c r="A1858" s="16" t="s">
        <v>41</v>
      </c>
      <c r="B1858" s="16" t="s">
        <v>155</v>
      </c>
      <c r="C1858" s="16" t="s">
        <v>157</v>
      </c>
      <c r="D1858" s="38" t="n">
        <v>1</v>
      </c>
      <c r="E1858" s="39" t="n">
        <v>36.22</v>
      </c>
      <c r="F1858" s="22" t="n">
        <f aca="false">IFERROR(D1858*E1858,0)</f>
        <v>36.22</v>
      </c>
      <c r="G1858" s="16" t="str">
        <f aca="false">INDEX(SETORES!$B:$B,MATCH(A1858,SETORES!$A:$A,0))</f>
        <v>Clientes</v>
      </c>
      <c r="H1858" s="16" t="s">
        <v>88</v>
      </c>
    </row>
    <row r="1859" customFormat="false" ht="14.25" hidden="true" customHeight="true" outlineLevel="0" collapsed="false">
      <c r="A1859" s="16" t="s">
        <v>41</v>
      </c>
      <c r="B1859" s="16" t="s">
        <v>155</v>
      </c>
      <c r="C1859" s="16" t="s">
        <v>158</v>
      </c>
      <c r="D1859" s="38"/>
      <c r="E1859" s="39"/>
      <c r="F1859" s="22" t="n">
        <f aca="false">IFERROR(D1859*E1859,0)</f>
        <v>0</v>
      </c>
      <c r="G1859" s="16" t="str">
        <f aca="false">INDEX(SETORES!$B:$B,MATCH(A1859,SETORES!$A:$A,0))</f>
        <v>Clientes</v>
      </c>
      <c r="H1859" s="16" t="s">
        <v>88</v>
      </c>
    </row>
    <row r="1860" customFormat="false" ht="14.25" hidden="true" customHeight="true" outlineLevel="0" collapsed="false">
      <c r="A1860" s="16" t="s">
        <v>41</v>
      </c>
      <c r="B1860" s="16" t="s">
        <v>155</v>
      </c>
      <c r="C1860" s="16" t="s">
        <v>159</v>
      </c>
      <c r="D1860" s="38"/>
      <c r="E1860" s="39"/>
      <c r="F1860" s="22" t="n">
        <f aca="false">IFERROR(D1860*E1860,0)</f>
        <v>0</v>
      </c>
      <c r="G1860" s="16" t="str">
        <f aca="false">INDEX(SETORES!$B:$B,MATCH(A1860,SETORES!$A:$A,0))</f>
        <v>Clientes</v>
      </c>
      <c r="H1860" s="16" t="s">
        <v>88</v>
      </c>
    </row>
    <row r="1861" customFormat="false" ht="14.25" hidden="true" customHeight="true" outlineLevel="0" collapsed="false">
      <c r="A1861" s="16" t="s">
        <v>41</v>
      </c>
      <c r="B1861" s="16" t="s">
        <v>155</v>
      </c>
      <c r="C1861" s="16" t="s">
        <v>212</v>
      </c>
      <c r="D1861" s="38"/>
      <c r="E1861" s="39"/>
      <c r="F1861" s="22" t="n">
        <f aca="false">IFERROR(D1861*E1861,0)</f>
        <v>0</v>
      </c>
      <c r="G1861" s="16" t="str">
        <f aca="false">INDEX(SETORES!$B:$B,MATCH(A1861,SETORES!$A:$A,0))</f>
        <v>Clientes</v>
      </c>
      <c r="H1861" s="16" t="s">
        <v>88</v>
      </c>
    </row>
    <row r="1862" customFormat="false" ht="14.25" hidden="true" customHeight="true" outlineLevel="0" collapsed="false">
      <c r="A1862" s="16" t="s">
        <v>41</v>
      </c>
      <c r="B1862" s="16" t="s">
        <v>155</v>
      </c>
      <c r="C1862" s="16" t="s">
        <v>161</v>
      </c>
      <c r="D1862" s="38" t="n">
        <v>1</v>
      </c>
      <c r="E1862" s="39" t="n">
        <v>18000</v>
      </c>
      <c r="F1862" s="22" t="n">
        <f aca="false">IFERROR(D1862*E1862,0)</f>
        <v>18000</v>
      </c>
      <c r="G1862" s="16" t="str">
        <f aca="false">INDEX(SETORES!$B:$B,MATCH(A1862,SETORES!$A:$A,0))</f>
        <v>Clientes</v>
      </c>
      <c r="H1862" s="16" t="s">
        <v>88</v>
      </c>
    </row>
    <row r="1863" customFormat="false" ht="14.25" hidden="true" customHeight="true" outlineLevel="0" collapsed="false">
      <c r="A1863" s="16" t="s">
        <v>41</v>
      </c>
      <c r="B1863" s="16" t="s">
        <v>155</v>
      </c>
      <c r="C1863" s="16" t="s">
        <v>167</v>
      </c>
      <c r="D1863" s="38"/>
      <c r="E1863" s="39"/>
      <c r="F1863" s="22" t="n">
        <f aca="false">IFERROR(D1863*E1863,0)</f>
        <v>0</v>
      </c>
      <c r="G1863" s="16" t="str">
        <f aca="false">INDEX(SETORES!$B:$B,MATCH(A1863,SETORES!$A:$A,0))</f>
        <v>Clientes</v>
      </c>
      <c r="H1863" s="16" t="s">
        <v>88</v>
      </c>
    </row>
    <row r="1864" customFormat="false" ht="14.25" hidden="true" customHeight="true" outlineLevel="0" collapsed="false">
      <c r="A1864" s="16" t="s">
        <v>41</v>
      </c>
      <c r="B1864" s="16" t="s">
        <v>155</v>
      </c>
      <c r="C1864" s="16" t="s">
        <v>168</v>
      </c>
      <c r="D1864" s="38" t="n">
        <v>1</v>
      </c>
      <c r="E1864" s="39" t="n">
        <v>1.87</v>
      </c>
      <c r="F1864" s="22" t="n">
        <f aca="false">IFERROR(D1864*E1864,0)</f>
        <v>1.87</v>
      </c>
      <c r="G1864" s="16" t="str">
        <f aca="false">INDEX(SETORES!$B:$B,MATCH(A1864,SETORES!$A:$A,0))</f>
        <v>Clientes</v>
      </c>
      <c r="H1864" s="16" t="s">
        <v>88</v>
      </c>
    </row>
    <row r="1865" customFormat="false" ht="14.25" hidden="true" customHeight="true" outlineLevel="0" collapsed="false">
      <c r="A1865" s="16" t="s">
        <v>33</v>
      </c>
      <c r="B1865" s="16" t="s">
        <v>155</v>
      </c>
      <c r="C1865" s="16" t="s">
        <v>156</v>
      </c>
      <c r="D1865" s="38" t="n">
        <v>1</v>
      </c>
      <c r="E1865" s="39" t="n">
        <v>9.24</v>
      </c>
      <c r="F1865" s="22" t="n">
        <f aca="false">IFERROR(D1865*E1865,0)</f>
        <v>9.24</v>
      </c>
      <c r="G1865" s="16" t="str">
        <f aca="false">INDEX(SETORES!$B:$B,MATCH(A1865,SETORES!$A:$A,0))</f>
        <v>Funcionários</v>
      </c>
      <c r="H1865" s="16" t="s">
        <v>88</v>
      </c>
    </row>
    <row r="1866" customFormat="false" ht="14.25" hidden="true" customHeight="true" outlineLevel="0" collapsed="false">
      <c r="A1866" s="16" t="s">
        <v>33</v>
      </c>
      <c r="B1866" s="16" t="s">
        <v>155</v>
      </c>
      <c r="C1866" s="16" t="s">
        <v>157</v>
      </c>
      <c r="D1866" s="38" t="n">
        <v>1</v>
      </c>
      <c r="E1866" s="39" t="n">
        <v>204.89</v>
      </c>
      <c r="F1866" s="22" t="n">
        <f aca="false">IFERROR(D1866*E1866,0)</f>
        <v>204.89</v>
      </c>
      <c r="G1866" s="16" t="str">
        <f aca="false">INDEX(SETORES!$B:$B,MATCH(A1866,SETORES!$A:$A,0))</f>
        <v>Funcionários</v>
      </c>
      <c r="H1866" s="16" t="s">
        <v>88</v>
      </c>
    </row>
    <row r="1867" customFormat="false" ht="14.25" hidden="true" customHeight="true" outlineLevel="0" collapsed="false">
      <c r="A1867" s="16" t="s">
        <v>33</v>
      </c>
      <c r="B1867" s="16" t="s">
        <v>155</v>
      </c>
      <c r="C1867" s="16" t="s">
        <v>158</v>
      </c>
      <c r="D1867" s="38"/>
      <c r="E1867" s="39"/>
      <c r="F1867" s="22" t="n">
        <f aca="false">IFERROR(D1867*E1867,0)</f>
        <v>0</v>
      </c>
      <c r="G1867" s="16" t="str">
        <f aca="false">INDEX(SETORES!$B:$B,MATCH(A1867,SETORES!$A:$A,0))</f>
        <v>Funcionários</v>
      </c>
      <c r="H1867" s="16" t="s">
        <v>88</v>
      </c>
    </row>
    <row r="1868" customFormat="false" ht="14.25" hidden="true" customHeight="true" outlineLevel="0" collapsed="false">
      <c r="A1868" s="16" t="s">
        <v>33</v>
      </c>
      <c r="B1868" s="16" t="s">
        <v>155</v>
      </c>
      <c r="C1868" s="16" t="s">
        <v>159</v>
      </c>
      <c r="D1868" s="38"/>
      <c r="E1868" s="39"/>
      <c r="F1868" s="22" t="n">
        <f aca="false">IFERROR(D1868*E1868,0)</f>
        <v>0</v>
      </c>
      <c r="G1868" s="16" t="str">
        <f aca="false">INDEX(SETORES!$B:$B,MATCH(A1868,SETORES!$A:$A,0))</f>
        <v>Funcionários</v>
      </c>
      <c r="H1868" s="16" t="s">
        <v>88</v>
      </c>
    </row>
    <row r="1869" customFormat="false" ht="14.25" hidden="true" customHeight="true" outlineLevel="0" collapsed="false">
      <c r="A1869" s="16" t="s">
        <v>33</v>
      </c>
      <c r="B1869" s="16" t="s">
        <v>155</v>
      </c>
      <c r="C1869" s="16" t="s">
        <v>160</v>
      </c>
      <c r="D1869" s="38"/>
      <c r="E1869" s="39"/>
      <c r="F1869" s="22" t="n">
        <f aca="false">IFERROR(D1869*E1869,0)</f>
        <v>0</v>
      </c>
      <c r="G1869" s="16" t="str">
        <f aca="false">INDEX(SETORES!$B:$B,MATCH(A1869,SETORES!$A:$A,0))</f>
        <v>Funcionários</v>
      </c>
      <c r="H1869" s="16" t="s">
        <v>88</v>
      </c>
    </row>
    <row r="1870" customFormat="false" ht="14.25" hidden="true" customHeight="true" outlineLevel="0" collapsed="false">
      <c r="A1870" s="16" t="s">
        <v>33</v>
      </c>
      <c r="B1870" s="16" t="s">
        <v>155</v>
      </c>
      <c r="C1870" s="16" t="s">
        <v>161</v>
      </c>
      <c r="D1870" s="38" t="n">
        <v>1</v>
      </c>
      <c r="E1870" s="39" t="n">
        <v>48158.28</v>
      </c>
      <c r="F1870" s="22" t="n">
        <f aca="false">IFERROR(D1870*E1870,0)</f>
        <v>48158.28</v>
      </c>
      <c r="G1870" s="16" t="str">
        <f aca="false">INDEX(SETORES!$B:$B,MATCH(A1870,SETORES!$A:$A,0))</f>
        <v>Funcionários</v>
      </c>
      <c r="H1870" s="16" t="s">
        <v>88</v>
      </c>
    </row>
    <row r="1871" customFormat="false" ht="14.25" hidden="true" customHeight="true" outlineLevel="0" collapsed="false">
      <c r="A1871" s="16" t="s">
        <v>48</v>
      </c>
      <c r="B1871" s="16" t="s">
        <v>162</v>
      </c>
      <c r="C1871" s="16" t="s">
        <v>165</v>
      </c>
      <c r="D1871" s="38"/>
      <c r="E1871" s="39"/>
      <c r="F1871" s="22" t="n">
        <f aca="false">IFERROR(D1871*E1871,0)</f>
        <v>0</v>
      </c>
      <c r="G1871" s="16" t="str">
        <f aca="false">INDEX(SETORES!$B:$B,MATCH(A1871,SETORES!$A:$A,0))</f>
        <v>Clientes</v>
      </c>
      <c r="H1871" s="16" t="s">
        <v>88</v>
      </c>
    </row>
    <row r="1872" customFormat="false" ht="14.25" hidden="true" customHeight="true" outlineLevel="0" collapsed="false">
      <c r="A1872" s="16" t="s">
        <v>49</v>
      </c>
      <c r="B1872" s="16" t="s">
        <v>162</v>
      </c>
      <c r="C1872" s="16" t="s">
        <v>165</v>
      </c>
      <c r="D1872" s="38"/>
      <c r="E1872" s="39"/>
      <c r="F1872" s="22" t="n">
        <f aca="false">IFERROR(D1872*E1872,0)</f>
        <v>0</v>
      </c>
      <c r="G1872" s="16" t="str">
        <f aca="false">INDEX(SETORES!$B:$B,MATCH(A1872,SETORES!$A:$A,0))</f>
        <v>Clientes</v>
      </c>
      <c r="H1872" s="16" t="s">
        <v>88</v>
      </c>
    </row>
    <row r="1873" customFormat="false" ht="14.25" hidden="true" customHeight="true" outlineLevel="0" collapsed="false">
      <c r="A1873" s="16" t="s">
        <v>33</v>
      </c>
      <c r="B1873" s="16" t="s">
        <v>162</v>
      </c>
      <c r="C1873" s="16" t="s">
        <v>165</v>
      </c>
      <c r="D1873" s="38"/>
      <c r="E1873" s="39"/>
      <c r="F1873" s="22" t="n">
        <f aca="false">IFERROR(D1873*E1873,0)</f>
        <v>0</v>
      </c>
      <c r="G1873" s="16" t="str">
        <f aca="false">INDEX(SETORES!$B:$B,MATCH(A1873,SETORES!$A:$A,0))</f>
        <v>Funcionários</v>
      </c>
      <c r="H1873" s="16" t="s">
        <v>88</v>
      </c>
    </row>
    <row r="1874" customFormat="false" ht="14.25" hidden="true" customHeight="true" outlineLevel="0" collapsed="false">
      <c r="A1874" s="16" t="s">
        <v>33</v>
      </c>
      <c r="B1874" s="16" t="s">
        <v>162</v>
      </c>
      <c r="C1874" s="16" t="s">
        <v>214</v>
      </c>
      <c r="D1874" s="38"/>
      <c r="E1874" s="39"/>
      <c r="F1874" s="22" t="n">
        <f aca="false">IFERROR(D1874*E1874,0)</f>
        <v>0</v>
      </c>
      <c r="G1874" s="16" t="str">
        <f aca="false">INDEX(SETORES!$B:$B,MATCH(A1874,SETORES!$A:$A,0))</f>
        <v>Funcionários</v>
      </c>
      <c r="H1874" s="16" t="s">
        <v>88</v>
      </c>
    </row>
    <row r="1875" customFormat="false" ht="14.25" hidden="true" customHeight="true" outlineLevel="0" collapsed="false">
      <c r="A1875" s="16" t="s">
        <v>33</v>
      </c>
      <c r="B1875" s="16" t="s">
        <v>162</v>
      </c>
      <c r="C1875" s="16" t="s">
        <v>163</v>
      </c>
      <c r="D1875" s="38" t="n">
        <v>1</v>
      </c>
      <c r="E1875" s="39" t="n">
        <v>180</v>
      </c>
      <c r="F1875" s="22" t="n">
        <f aca="false">IFERROR(D1875*E1875,0)</f>
        <v>180</v>
      </c>
      <c r="G1875" s="16" t="str">
        <f aca="false">INDEX(SETORES!$B:$B,MATCH(A1875,SETORES!$A:$A,0))</f>
        <v>Funcionários</v>
      </c>
      <c r="H1875" s="16" t="s">
        <v>88</v>
      </c>
    </row>
    <row r="1876" customFormat="false" ht="14.25" hidden="true" customHeight="true" outlineLevel="0" collapsed="false">
      <c r="A1876" s="16" t="s">
        <v>33</v>
      </c>
      <c r="B1876" s="16" t="s">
        <v>162</v>
      </c>
      <c r="C1876" s="16" t="s">
        <v>164</v>
      </c>
      <c r="D1876" s="38" t="n">
        <v>1</v>
      </c>
      <c r="E1876" s="39" t="n">
        <v>272</v>
      </c>
      <c r="F1876" s="22" t="n">
        <f aca="false">IFERROR(D1876*E1876,0)</f>
        <v>272</v>
      </c>
      <c r="G1876" s="16" t="str">
        <f aca="false">INDEX(SETORES!$B:$B,MATCH(A1876,SETORES!$A:$A,0))</f>
        <v>Funcionários</v>
      </c>
      <c r="H1876" s="16" t="s">
        <v>88</v>
      </c>
    </row>
    <row r="1877" customFormat="false" ht="14.25" hidden="true" customHeight="true" outlineLevel="0" collapsed="false">
      <c r="A1877" s="16" t="s">
        <v>33</v>
      </c>
      <c r="B1877" s="16" t="s">
        <v>155</v>
      </c>
      <c r="C1877" s="16" t="s">
        <v>166</v>
      </c>
      <c r="D1877" s="38" t="n">
        <v>9</v>
      </c>
      <c r="E1877" s="39" t="n">
        <v>50</v>
      </c>
      <c r="F1877" s="22" t="n">
        <f aca="false">IFERROR(D1877*E1877,0)</f>
        <v>450</v>
      </c>
      <c r="G1877" s="16" t="str">
        <f aca="false">INDEX(SETORES!$B:$B,MATCH(A1877,SETORES!$A:$A,0))</f>
        <v>Funcionários</v>
      </c>
      <c r="H1877" s="16" t="s">
        <v>88</v>
      </c>
    </row>
    <row r="1878" customFormat="false" ht="14.25" hidden="true" customHeight="true" outlineLevel="0" collapsed="false">
      <c r="A1878" s="16" t="s">
        <v>33</v>
      </c>
      <c r="B1878" s="16" t="s">
        <v>155</v>
      </c>
      <c r="C1878" s="16" t="s">
        <v>238</v>
      </c>
      <c r="D1878" s="38"/>
      <c r="E1878" s="39"/>
      <c r="F1878" s="22" t="n">
        <f aca="false">IFERROR(D1878*E1878,0)</f>
        <v>0</v>
      </c>
      <c r="G1878" s="16" t="str">
        <f aca="false">INDEX(SETORES!$B:$B,MATCH(A1878,SETORES!$A:$A,0))</f>
        <v>Funcionários</v>
      </c>
      <c r="H1878" s="16" t="s">
        <v>88</v>
      </c>
    </row>
    <row r="1879" customFormat="false" ht="14.25" hidden="true" customHeight="true" outlineLevel="0" collapsed="false">
      <c r="A1879" s="16" t="s">
        <v>33</v>
      </c>
      <c r="B1879" s="16" t="s">
        <v>155</v>
      </c>
      <c r="C1879" s="16" t="s">
        <v>167</v>
      </c>
      <c r="D1879" s="38"/>
      <c r="E1879" s="39"/>
      <c r="F1879" s="22" t="n">
        <f aca="false">IFERROR(D1879*E1879,0)</f>
        <v>0</v>
      </c>
      <c r="G1879" s="16" t="str">
        <f aca="false">INDEX(SETORES!$B:$B,MATCH(A1879,SETORES!$A:$A,0))</f>
        <v>Funcionários</v>
      </c>
      <c r="H1879" s="16" t="s">
        <v>88</v>
      </c>
    </row>
    <row r="1880" customFormat="false" ht="14.25" hidden="true" customHeight="true" outlineLevel="0" collapsed="false">
      <c r="A1880" s="16" t="s">
        <v>33</v>
      </c>
      <c r="B1880" s="16" t="s">
        <v>155</v>
      </c>
      <c r="C1880" s="16" t="s">
        <v>168</v>
      </c>
      <c r="D1880" s="38" t="n">
        <v>9</v>
      </c>
      <c r="E1880" s="39" t="n">
        <v>1.87</v>
      </c>
      <c r="F1880" s="22" t="n">
        <f aca="false">IFERROR(D1880*E1880,0)</f>
        <v>16.83</v>
      </c>
      <c r="G1880" s="16" t="str">
        <f aca="false">INDEX(SETORES!$B:$B,MATCH(A1880,SETORES!$A:$A,0))</f>
        <v>Funcionários</v>
      </c>
      <c r="H1880" s="16" t="s">
        <v>88</v>
      </c>
    </row>
    <row r="1881" customFormat="false" ht="14.25" hidden="true" customHeight="true" outlineLevel="0" collapsed="false">
      <c r="A1881" s="16" t="s">
        <v>42</v>
      </c>
      <c r="B1881" s="16" t="s">
        <v>155</v>
      </c>
      <c r="C1881" s="16" t="s">
        <v>156</v>
      </c>
      <c r="D1881" s="38" t="n">
        <v>1</v>
      </c>
      <c r="E1881" s="39" t="n">
        <v>9.31</v>
      </c>
      <c r="F1881" s="22" t="n">
        <f aca="false">IFERROR(D1881*E1881,0)</f>
        <v>9.31</v>
      </c>
      <c r="G1881" s="16" t="str">
        <f aca="false">INDEX(SETORES!$B:$B,MATCH(A1881,SETORES!$A:$A,0))</f>
        <v>Clientes</v>
      </c>
      <c r="H1881" s="16" t="s">
        <v>88</v>
      </c>
    </row>
    <row r="1882" customFormat="false" ht="14.25" hidden="true" customHeight="true" outlineLevel="0" collapsed="false">
      <c r="A1882" s="16" t="s">
        <v>42</v>
      </c>
      <c r="B1882" s="16" t="s">
        <v>155</v>
      </c>
      <c r="C1882" s="16" t="s">
        <v>157</v>
      </c>
      <c r="D1882" s="38" t="n">
        <v>1</v>
      </c>
      <c r="E1882" s="39" t="n">
        <v>70.76</v>
      </c>
      <c r="F1882" s="22" t="n">
        <f aca="false">IFERROR(D1882*E1882,0)</f>
        <v>70.76</v>
      </c>
      <c r="G1882" s="16" t="str">
        <f aca="false">INDEX(SETORES!$B:$B,MATCH(A1882,SETORES!$A:$A,0))</f>
        <v>Clientes</v>
      </c>
      <c r="H1882" s="16" t="s">
        <v>88</v>
      </c>
    </row>
    <row r="1883" customFormat="false" ht="14.25" hidden="true" customHeight="true" outlineLevel="0" collapsed="false">
      <c r="A1883" s="16" t="s">
        <v>42</v>
      </c>
      <c r="B1883" s="16" t="s">
        <v>155</v>
      </c>
      <c r="C1883" s="16" t="s">
        <v>158</v>
      </c>
      <c r="D1883" s="38"/>
      <c r="E1883" s="39"/>
      <c r="F1883" s="22" t="n">
        <f aca="false">IFERROR(D1883*E1883,0)</f>
        <v>0</v>
      </c>
      <c r="G1883" s="16" t="str">
        <f aca="false">INDEX(SETORES!$B:$B,MATCH(A1883,SETORES!$A:$A,0))</f>
        <v>Clientes</v>
      </c>
      <c r="H1883" s="16" t="s">
        <v>88</v>
      </c>
    </row>
    <row r="1884" customFormat="false" ht="14.25" hidden="true" customHeight="true" outlineLevel="0" collapsed="false">
      <c r="A1884" s="16" t="s">
        <v>42</v>
      </c>
      <c r="B1884" s="16" t="s">
        <v>155</v>
      </c>
      <c r="C1884" s="16" t="s">
        <v>159</v>
      </c>
      <c r="D1884" s="38"/>
      <c r="E1884" s="39"/>
      <c r="F1884" s="22" t="n">
        <f aca="false">IFERROR(D1884*E1884,0)</f>
        <v>0</v>
      </c>
      <c r="G1884" s="16" t="str">
        <f aca="false">INDEX(SETORES!$B:$B,MATCH(A1884,SETORES!$A:$A,0))</f>
        <v>Clientes</v>
      </c>
      <c r="H1884" s="16" t="s">
        <v>88</v>
      </c>
    </row>
    <row r="1885" customFormat="false" ht="14.25" hidden="true" customHeight="true" outlineLevel="0" collapsed="false">
      <c r="A1885" s="16" t="s">
        <v>42</v>
      </c>
      <c r="B1885" s="16" t="s">
        <v>155</v>
      </c>
      <c r="C1885" s="16" t="s">
        <v>160</v>
      </c>
      <c r="D1885" s="38"/>
      <c r="E1885" s="39"/>
      <c r="F1885" s="22" t="n">
        <f aca="false">IFERROR(D1885*E1885,0)</f>
        <v>0</v>
      </c>
      <c r="G1885" s="16" t="str">
        <f aca="false">INDEX(SETORES!$B:$B,MATCH(A1885,SETORES!$A:$A,0))</f>
        <v>Clientes</v>
      </c>
      <c r="H1885" s="16" t="s">
        <v>88</v>
      </c>
    </row>
    <row r="1886" customFormat="false" ht="14.25" hidden="true" customHeight="true" outlineLevel="0" collapsed="false">
      <c r="A1886" s="16" t="s">
        <v>42</v>
      </c>
      <c r="B1886" s="16" t="s">
        <v>155</v>
      </c>
      <c r="C1886" s="16" t="s">
        <v>161</v>
      </c>
      <c r="D1886" s="38" t="n">
        <v>1</v>
      </c>
      <c r="E1886" s="39" t="n">
        <v>28328.94</v>
      </c>
      <c r="F1886" s="22" t="n">
        <f aca="false">IFERROR(D1886*E1886,0)</f>
        <v>28328.94</v>
      </c>
      <c r="G1886" s="16" t="str">
        <f aca="false">INDEX(SETORES!$B:$B,MATCH(A1886,SETORES!$A:$A,0))</f>
        <v>Clientes</v>
      </c>
      <c r="H1886" s="16" t="s">
        <v>88</v>
      </c>
    </row>
    <row r="1887" customFormat="false" ht="14.25" hidden="true" customHeight="true" outlineLevel="0" collapsed="false">
      <c r="A1887" s="16" t="s">
        <v>42</v>
      </c>
      <c r="B1887" s="16" t="s">
        <v>162</v>
      </c>
      <c r="C1887" s="16" t="s">
        <v>215</v>
      </c>
      <c r="D1887" s="38"/>
      <c r="E1887" s="39"/>
      <c r="F1887" s="22" t="n">
        <f aca="false">IFERROR(D1887*E1887,0)</f>
        <v>0</v>
      </c>
      <c r="G1887" s="16" t="str">
        <f aca="false">INDEX(SETORES!$B:$B,MATCH(A1887,SETORES!$A:$A,0))</f>
        <v>Clientes</v>
      </c>
      <c r="H1887" s="16" t="s">
        <v>88</v>
      </c>
    </row>
    <row r="1888" customFormat="false" ht="14.25" hidden="true" customHeight="true" outlineLevel="0" collapsed="false">
      <c r="A1888" s="16" t="s">
        <v>42</v>
      </c>
      <c r="B1888" s="16" t="s">
        <v>162</v>
      </c>
      <c r="C1888" s="16" t="s">
        <v>163</v>
      </c>
      <c r="D1888" s="38"/>
      <c r="E1888" s="39"/>
      <c r="F1888" s="22" t="n">
        <f aca="false">IFERROR(D1888*E1888,0)</f>
        <v>0</v>
      </c>
      <c r="G1888" s="16" t="str">
        <f aca="false">INDEX(SETORES!$B:$B,MATCH(A1888,SETORES!$A:$A,0))</f>
        <v>Clientes</v>
      </c>
      <c r="H1888" s="16" t="s">
        <v>88</v>
      </c>
    </row>
    <row r="1889" customFormat="false" ht="14.25" hidden="true" customHeight="true" outlineLevel="0" collapsed="false">
      <c r="A1889" s="16" t="s">
        <v>42</v>
      </c>
      <c r="B1889" s="16" t="s">
        <v>162</v>
      </c>
      <c r="C1889" s="16" t="s">
        <v>164</v>
      </c>
      <c r="D1889" s="38"/>
      <c r="E1889" s="39"/>
      <c r="F1889" s="22" t="n">
        <f aca="false">IFERROR(D1889*E1889,0)</f>
        <v>0</v>
      </c>
      <c r="G1889" s="16" t="str">
        <f aca="false">INDEX(SETORES!$B:$B,MATCH(A1889,SETORES!$A:$A,0))</f>
        <v>Clientes</v>
      </c>
      <c r="H1889" s="16" t="s">
        <v>88</v>
      </c>
    </row>
    <row r="1890" customFormat="false" ht="14.25" hidden="true" customHeight="true" outlineLevel="0" collapsed="false">
      <c r="A1890" s="16" t="s">
        <v>42</v>
      </c>
      <c r="B1890" s="16" t="s">
        <v>155</v>
      </c>
      <c r="C1890" s="16" t="s">
        <v>166</v>
      </c>
      <c r="D1890" s="38" t="n">
        <v>2</v>
      </c>
      <c r="E1890" s="39" t="n">
        <v>50</v>
      </c>
      <c r="F1890" s="22" t="n">
        <f aca="false">IFERROR(D1890*E1890,0)</f>
        <v>100</v>
      </c>
      <c r="G1890" s="16" t="str">
        <f aca="false">INDEX(SETORES!$B:$B,MATCH(A1890,SETORES!$A:$A,0))</f>
        <v>Clientes</v>
      </c>
      <c r="H1890" s="16" t="s">
        <v>88</v>
      </c>
    </row>
    <row r="1891" customFormat="false" ht="14.25" hidden="true" customHeight="true" outlineLevel="0" collapsed="false">
      <c r="A1891" s="16" t="s">
        <v>42</v>
      </c>
      <c r="B1891" s="16" t="s">
        <v>155</v>
      </c>
      <c r="C1891" s="16" t="s">
        <v>167</v>
      </c>
      <c r="D1891" s="38"/>
      <c r="E1891" s="39"/>
      <c r="F1891" s="22" t="n">
        <f aca="false">IFERROR(D1891*E1891,0)</f>
        <v>0</v>
      </c>
      <c r="G1891" s="16" t="str">
        <f aca="false">INDEX(SETORES!$B:$B,MATCH(A1891,SETORES!$A:$A,0))</f>
        <v>Clientes</v>
      </c>
      <c r="H1891" s="16" t="s">
        <v>88</v>
      </c>
    </row>
    <row r="1892" customFormat="false" ht="14.25" hidden="true" customHeight="true" outlineLevel="0" collapsed="false">
      <c r="A1892" s="16" t="s">
        <v>42</v>
      </c>
      <c r="B1892" s="16" t="s">
        <v>155</v>
      </c>
      <c r="C1892" s="16" t="s">
        <v>168</v>
      </c>
      <c r="D1892" s="38" t="n">
        <v>2</v>
      </c>
      <c r="E1892" s="39" t="n">
        <v>1.87</v>
      </c>
      <c r="F1892" s="22" t="n">
        <f aca="false">IFERROR(D1892*E1892,0)</f>
        <v>3.74</v>
      </c>
      <c r="G1892" s="16" t="str">
        <f aca="false">INDEX(SETORES!$B:$B,MATCH(A1892,SETORES!$A:$A,0))</f>
        <v>Clientes</v>
      </c>
      <c r="H1892" s="16" t="s">
        <v>88</v>
      </c>
    </row>
    <row r="1893" customFormat="false" ht="14.25" hidden="true" customHeight="true" outlineLevel="0" collapsed="false">
      <c r="A1893" s="16" t="s">
        <v>45</v>
      </c>
      <c r="B1893" s="16" t="s">
        <v>155</v>
      </c>
      <c r="C1893" s="16" t="s">
        <v>156</v>
      </c>
      <c r="D1893" s="38"/>
      <c r="E1893" s="39"/>
      <c r="F1893" s="22" t="n">
        <f aca="false">IFERROR(D1893*E1893,0)</f>
        <v>0</v>
      </c>
      <c r="G1893" s="16" t="str">
        <f aca="false">INDEX(SETORES!$B:$B,MATCH(A1893,SETORES!$A:$A,0))</f>
        <v>Clientes</v>
      </c>
      <c r="H1893" s="16" t="s">
        <v>88</v>
      </c>
    </row>
    <row r="1894" customFormat="false" ht="14.25" hidden="true" customHeight="true" outlineLevel="0" collapsed="false">
      <c r="A1894" s="16" t="s">
        <v>45</v>
      </c>
      <c r="B1894" s="16" t="s">
        <v>155</v>
      </c>
      <c r="C1894" s="16" t="s">
        <v>157</v>
      </c>
      <c r="D1894" s="38"/>
      <c r="E1894" s="39"/>
      <c r="F1894" s="22" t="n">
        <f aca="false">IFERROR(D1894*E1894,0)</f>
        <v>0</v>
      </c>
      <c r="G1894" s="16" t="str">
        <f aca="false">INDEX(SETORES!$B:$B,MATCH(A1894,SETORES!$A:$A,0))</f>
        <v>Clientes</v>
      </c>
      <c r="H1894" s="16" t="s">
        <v>88</v>
      </c>
    </row>
    <row r="1895" customFormat="false" ht="14.25" hidden="true" customHeight="true" outlineLevel="0" collapsed="false">
      <c r="A1895" s="16" t="s">
        <v>45</v>
      </c>
      <c r="B1895" s="16" t="s">
        <v>162</v>
      </c>
      <c r="C1895" s="16" t="s">
        <v>194</v>
      </c>
      <c r="D1895" s="38"/>
      <c r="E1895" s="39"/>
      <c r="F1895" s="22" t="n">
        <f aca="false">IFERROR(D1895*E1895,0)</f>
        <v>0</v>
      </c>
      <c r="G1895" s="16" t="str">
        <f aca="false">INDEX(SETORES!$B:$B,MATCH(A1895,SETORES!$A:$A,0))</f>
        <v>Clientes</v>
      </c>
      <c r="H1895" s="16" t="s">
        <v>88</v>
      </c>
    </row>
    <row r="1896" customFormat="false" ht="14.25" hidden="true" customHeight="true" outlineLevel="0" collapsed="false">
      <c r="A1896" s="16" t="s">
        <v>45</v>
      </c>
      <c r="B1896" s="16" t="s">
        <v>155</v>
      </c>
      <c r="C1896" s="16" t="s">
        <v>158</v>
      </c>
      <c r="D1896" s="38"/>
      <c r="E1896" s="39"/>
      <c r="F1896" s="22" t="n">
        <f aca="false">IFERROR(D1896*E1896,0)</f>
        <v>0</v>
      </c>
      <c r="G1896" s="16" t="str">
        <f aca="false">INDEX(SETORES!$B:$B,MATCH(A1896,SETORES!$A:$A,0))</f>
        <v>Clientes</v>
      </c>
      <c r="H1896" s="16" t="s">
        <v>88</v>
      </c>
    </row>
    <row r="1897" customFormat="false" ht="14.25" hidden="true" customHeight="true" outlineLevel="0" collapsed="false">
      <c r="A1897" s="16" t="s">
        <v>45</v>
      </c>
      <c r="B1897" s="16" t="s">
        <v>155</v>
      </c>
      <c r="C1897" s="16" t="s">
        <v>159</v>
      </c>
      <c r="D1897" s="38"/>
      <c r="E1897" s="39"/>
      <c r="F1897" s="22" t="n">
        <f aca="false">IFERROR(D1897*E1897,0)</f>
        <v>0</v>
      </c>
      <c r="G1897" s="16" t="str">
        <f aca="false">INDEX(SETORES!$B:$B,MATCH(A1897,SETORES!$A:$A,0))</f>
        <v>Clientes</v>
      </c>
      <c r="H1897" s="16" t="s">
        <v>88</v>
      </c>
    </row>
    <row r="1898" customFormat="false" ht="14.25" hidden="true" customHeight="true" outlineLevel="0" collapsed="false">
      <c r="A1898" s="16" t="s">
        <v>45</v>
      </c>
      <c r="B1898" s="16" t="s">
        <v>155</v>
      </c>
      <c r="C1898" s="16" t="s">
        <v>160</v>
      </c>
      <c r="D1898" s="38"/>
      <c r="E1898" s="39"/>
      <c r="F1898" s="22" t="n">
        <f aca="false">IFERROR(D1898*E1898,0)</f>
        <v>0</v>
      </c>
      <c r="G1898" s="16" t="str">
        <f aca="false">INDEX(SETORES!$B:$B,MATCH(A1898,SETORES!$A:$A,0))</f>
        <v>Clientes</v>
      </c>
      <c r="H1898" s="16" t="s">
        <v>88</v>
      </c>
    </row>
    <row r="1899" customFormat="false" ht="14.25" hidden="true" customHeight="true" outlineLevel="0" collapsed="false">
      <c r="A1899" s="16" t="s">
        <v>45</v>
      </c>
      <c r="B1899" s="16" t="s">
        <v>155</v>
      </c>
      <c r="C1899" s="16" t="s">
        <v>161</v>
      </c>
      <c r="D1899" s="38" t="n">
        <v>1</v>
      </c>
      <c r="E1899" s="39" t="n">
        <v>64244.34</v>
      </c>
      <c r="F1899" s="22" t="n">
        <f aca="false">IFERROR(D1899*E1899,0)</f>
        <v>64244.34</v>
      </c>
      <c r="G1899" s="16" t="str">
        <f aca="false">INDEX(SETORES!$B:$B,MATCH(A1899,SETORES!$A:$A,0))</f>
        <v>Clientes</v>
      </c>
      <c r="H1899" s="16" t="s">
        <v>88</v>
      </c>
    </row>
    <row r="1900" customFormat="false" ht="14.25" hidden="true" customHeight="true" outlineLevel="0" collapsed="false">
      <c r="A1900" s="16" t="s">
        <v>45</v>
      </c>
      <c r="B1900" s="16" t="s">
        <v>162</v>
      </c>
      <c r="C1900" s="16" t="s">
        <v>163</v>
      </c>
      <c r="D1900" s="38" t="n">
        <v>1</v>
      </c>
      <c r="E1900" s="39" t="n">
        <v>90</v>
      </c>
      <c r="F1900" s="22" t="n">
        <f aca="false">IFERROR(D1900*E1900,0)</f>
        <v>90</v>
      </c>
      <c r="G1900" s="16" t="str">
        <f aca="false">INDEX(SETORES!$B:$B,MATCH(A1900,SETORES!$A:$A,0))</f>
        <v>Clientes</v>
      </c>
      <c r="H1900" s="16" t="s">
        <v>88</v>
      </c>
    </row>
    <row r="1901" customFormat="false" ht="14.25" hidden="true" customHeight="true" outlineLevel="0" collapsed="false">
      <c r="A1901" s="16" t="s">
        <v>45</v>
      </c>
      <c r="B1901" s="16" t="s">
        <v>162</v>
      </c>
      <c r="C1901" s="16" t="s">
        <v>164</v>
      </c>
      <c r="D1901" s="38"/>
      <c r="E1901" s="39"/>
      <c r="F1901" s="22" t="n">
        <f aca="false">IFERROR(D1901*E1901,0)</f>
        <v>0</v>
      </c>
      <c r="G1901" s="16" t="str">
        <f aca="false">INDEX(SETORES!$B:$B,MATCH(A1901,SETORES!$A:$A,0))</f>
        <v>Clientes</v>
      </c>
      <c r="H1901" s="16" t="s">
        <v>88</v>
      </c>
    </row>
    <row r="1902" customFormat="false" ht="14.25" hidden="true" customHeight="true" outlineLevel="0" collapsed="false">
      <c r="A1902" s="16" t="s">
        <v>45</v>
      </c>
      <c r="B1902" s="16" t="s">
        <v>162</v>
      </c>
      <c r="C1902" s="16" t="s">
        <v>209</v>
      </c>
      <c r="D1902" s="38"/>
      <c r="E1902" s="39"/>
      <c r="F1902" s="22" t="n">
        <f aca="false">IFERROR(D1902*E1902,0)</f>
        <v>0</v>
      </c>
      <c r="G1902" s="16" t="str">
        <f aca="false">INDEX(SETORES!$B:$B,MATCH(A1902,SETORES!$A:$A,0))</f>
        <v>Clientes</v>
      </c>
      <c r="H1902" s="16" t="s">
        <v>88</v>
      </c>
    </row>
    <row r="1903" customFormat="false" ht="14.25" hidden="true" customHeight="true" outlineLevel="0" collapsed="false">
      <c r="A1903" s="16" t="s">
        <v>45</v>
      </c>
      <c r="B1903" s="16" t="s">
        <v>162</v>
      </c>
      <c r="C1903" s="16" t="s">
        <v>222</v>
      </c>
      <c r="D1903" s="38"/>
      <c r="E1903" s="39"/>
      <c r="F1903" s="22" t="n">
        <f aca="false">IFERROR(D1903*E1903,0)</f>
        <v>0</v>
      </c>
      <c r="G1903" s="16" t="str">
        <f aca="false">INDEX(SETORES!$B:$B,MATCH(A1903,SETORES!$A:$A,0))</f>
        <v>Clientes</v>
      </c>
      <c r="H1903" s="16" t="s">
        <v>88</v>
      </c>
    </row>
    <row r="1904" customFormat="false" ht="14.25" hidden="true" customHeight="true" outlineLevel="0" collapsed="false">
      <c r="A1904" s="16" t="s">
        <v>45</v>
      </c>
      <c r="B1904" s="16" t="s">
        <v>155</v>
      </c>
      <c r="C1904" s="16" t="s">
        <v>166</v>
      </c>
      <c r="D1904" s="38" t="n">
        <v>9</v>
      </c>
      <c r="E1904" s="39" t="n">
        <v>50</v>
      </c>
      <c r="F1904" s="22" t="n">
        <f aca="false">IFERROR(D1904*E1904,0)</f>
        <v>450</v>
      </c>
      <c r="G1904" s="16" t="str">
        <f aca="false">INDEX(SETORES!$B:$B,MATCH(A1904,SETORES!$A:$A,0))</f>
        <v>Clientes</v>
      </c>
      <c r="H1904" s="16" t="s">
        <v>88</v>
      </c>
    </row>
    <row r="1905" customFormat="false" ht="14.25" hidden="true" customHeight="true" outlineLevel="0" collapsed="false">
      <c r="A1905" s="16" t="s">
        <v>45</v>
      </c>
      <c r="B1905" s="16" t="s">
        <v>162</v>
      </c>
      <c r="C1905" s="16" t="s">
        <v>217</v>
      </c>
      <c r="D1905" s="38"/>
      <c r="E1905" s="39"/>
      <c r="F1905" s="22" t="n">
        <f aca="false">IFERROR(D1905*E1905,0)</f>
        <v>0</v>
      </c>
      <c r="G1905" s="16" t="str">
        <f aca="false">INDEX(SETORES!$B:$B,MATCH(A1905,SETORES!$A:$A,0))</f>
        <v>Clientes</v>
      </c>
      <c r="H1905" s="16" t="s">
        <v>88</v>
      </c>
    </row>
    <row r="1906" customFormat="false" ht="14.25" hidden="true" customHeight="true" outlineLevel="0" collapsed="false">
      <c r="A1906" s="16" t="s">
        <v>45</v>
      </c>
      <c r="B1906" s="16" t="s">
        <v>155</v>
      </c>
      <c r="C1906" s="16" t="s">
        <v>238</v>
      </c>
      <c r="D1906" s="38"/>
      <c r="E1906" s="39"/>
      <c r="F1906" s="22" t="n">
        <f aca="false">IFERROR(D1906*E1906,0)</f>
        <v>0</v>
      </c>
      <c r="G1906" s="16" t="str">
        <f aca="false">INDEX(SETORES!$B:$B,MATCH(A1906,SETORES!$A:$A,0))</f>
        <v>Clientes</v>
      </c>
      <c r="H1906" s="16" t="s">
        <v>88</v>
      </c>
    </row>
    <row r="1907" customFormat="false" ht="14.25" hidden="true" customHeight="true" outlineLevel="0" collapsed="false">
      <c r="A1907" s="16" t="s">
        <v>45</v>
      </c>
      <c r="B1907" s="16" t="s">
        <v>155</v>
      </c>
      <c r="C1907" s="16" t="s">
        <v>167</v>
      </c>
      <c r="D1907" s="38"/>
      <c r="E1907" s="39"/>
      <c r="F1907" s="22" t="n">
        <f aca="false">IFERROR(D1907*E1907,0)</f>
        <v>0</v>
      </c>
      <c r="G1907" s="16" t="str">
        <f aca="false">INDEX(SETORES!$B:$B,MATCH(A1907,SETORES!$A:$A,0))</f>
        <v>Clientes</v>
      </c>
      <c r="H1907" s="16" t="s">
        <v>88</v>
      </c>
    </row>
    <row r="1908" customFormat="false" ht="14.25" hidden="true" customHeight="true" outlineLevel="0" collapsed="false">
      <c r="A1908" s="16" t="s">
        <v>45</v>
      </c>
      <c r="B1908" s="16" t="s">
        <v>155</v>
      </c>
      <c r="C1908" s="16" t="s">
        <v>168</v>
      </c>
      <c r="D1908" s="38" t="n">
        <v>9</v>
      </c>
      <c r="E1908" s="39" t="n">
        <v>1.87</v>
      </c>
      <c r="F1908" s="22" t="n">
        <f aca="false">IFERROR(D1908*E1908,0)</f>
        <v>16.83</v>
      </c>
      <c r="G1908" s="16" t="str">
        <f aca="false">INDEX(SETORES!$B:$B,MATCH(A1908,SETORES!$A:$A,0))</f>
        <v>Clientes</v>
      </c>
      <c r="H1908" s="16" t="s">
        <v>88</v>
      </c>
    </row>
    <row r="1909" customFormat="false" ht="14.25" hidden="true" customHeight="true" outlineLevel="0" collapsed="false">
      <c r="A1909" s="16" t="s">
        <v>50</v>
      </c>
      <c r="B1909" s="16" t="s">
        <v>155</v>
      </c>
      <c r="C1909" s="16" t="s">
        <v>156</v>
      </c>
      <c r="D1909" s="38"/>
      <c r="E1909" s="39"/>
      <c r="F1909" s="22" t="n">
        <f aca="false">IFERROR(D1909*E1909,0)</f>
        <v>0</v>
      </c>
      <c r="G1909" s="16" t="str">
        <f aca="false">INDEX(SETORES!$B:$B,MATCH(A1909,SETORES!$A:$A,0))</f>
        <v>Clientes</v>
      </c>
      <c r="H1909" s="16" t="s">
        <v>88</v>
      </c>
    </row>
    <row r="1910" customFormat="false" ht="14.25" hidden="true" customHeight="true" outlineLevel="0" collapsed="false">
      <c r="A1910" s="16" t="s">
        <v>50</v>
      </c>
      <c r="B1910" s="16" t="s">
        <v>155</v>
      </c>
      <c r="C1910" s="16" t="s">
        <v>157</v>
      </c>
      <c r="D1910" s="38" t="n">
        <v>1</v>
      </c>
      <c r="E1910" s="39" t="n">
        <v>828.61</v>
      </c>
      <c r="F1910" s="22" t="n">
        <f aca="false">IFERROR(D1910*E1910,0)</f>
        <v>828.61</v>
      </c>
      <c r="G1910" s="16" t="str">
        <f aca="false">INDEX(SETORES!$B:$B,MATCH(A1910,SETORES!$A:$A,0))</f>
        <v>Clientes</v>
      </c>
      <c r="H1910" s="16" t="s">
        <v>88</v>
      </c>
    </row>
    <row r="1911" customFormat="false" ht="14.25" hidden="true" customHeight="true" outlineLevel="0" collapsed="false">
      <c r="A1911" s="16" t="s">
        <v>50</v>
      </c>
      <c r="B1911" s="16" t="s">
        <v>155</v>
      </c>
      <c r="C1911" s="16" t="s">
        <v>158</v>
      </c>
      <c r="D1911" s="38"/>
      <c r="E1911" s="39"/>
      <c r="F1911" s="22" t="n">
        <f aca="false">IFERROR(D1911*E1911,0)</f>
        <v>0</v>
      </c>
      <c r="G1911" s="16" t="str">
        <f aca="false">INDEX(SETORES!$B:$B,MATCH(A1911,SETORES!$A:$A,0))</f>
        <v>Clientes</v>
      </c>
      <c r="H1911" s="16" t="s">
        <v>88</v>
      </c>
    </row>
    <row r="1912" customFormat="false" ht="14.25" hidden="true" customHeight="true" outlineLevel="0" collapsed="false">
      <c r="A1912" s="16" t="s">
        <v>50</v>
      </c>
      <c r="B1912" s="16" t="s">
        <v>155</v>
      </c>
      <c r="C1912" s="16" t="s">
        <v>159</v>
      </c>
      <c r="D1912" s="38"/>
      <c r="E1912" s="39"/>
      <c r="F1912" s="22" t="n">
        <f aca="false">IFERROR(D1912*E1912,0)</f>
        <v>0</v>
      </c>
      <c r="G1912" s="16" t="str">
        <f aca="false">INDEX(SETORES!$B:$B,MATCH(A1912,SETORES!$A:$A,0))</f>
        <v>Clientes</v>
      </c>
      <c r="H1912" s="16" t="s">
        <v>88</v>
      </c>
    </row>
    <row r="1913" customFormat="false" ht="14.25" hidden="true" customHeight="true" outlineLevel="0" collapsed="false">
      <c r="A1913" s="16" t="s">
        <v>50</v>
      </c>
      <c r="B1913" s="16" t="s">
        <v>155</v>
      </c>
      <c r="C1913" s="16" t="s">
        <v>160</v>
      </c>
      <c r="D1913" s="38"/>
      <c r="E1913" s="39"/>
      <c r="F1913" s="22" t="n">
        <f aca="false">IFERROR(D1913*E1913,0)</f>
        <v>0</v>
      </c>
      <c r="G1913" s="16" t="str">
        <f aca="false">INDEX(SETORES!$B:$B,MATCH(A1913,SETORES!$A:$A,0))</f>
        <v>Clientes</v>
      </c>
      <c r="H1913" s="16" t="s">
        <v>88</v>
      </c>
    </row>
    <row r="1914" customFormat="false" ht="14.25" hidden="true" customHeight="true" outlineLevel="0" collapsed="false">
      <c r="A1914" s="16" t="s">
        <v>50</v>
      </c>
      <c r="B1914" s="16" t="s">
        <v>155</v>
      </c>
      <c r="C1914" s="16" t="s">
        <v>161</v>
      </c>
      <c r="D1914" s="38" t="n">
        <v>1</v>
      </c>
      <c r="E1914" s="39" t="n">
        <v>96388.9</v>
      </c>
      <c r="F1914" s="22" t="n">
        <f aca="false">IFERROR(D1914*E1914,0)</f>
        <v>96388.9</v>
      </c>
      <c r="G1914" s="16" t="str">
        <f aca="false">INDEX(SETORES!$B:$B,MATCH(A1914,SETORES!$A:$A,0))</f>
        <v>Clientes</v>
      </c>
      <c r="H1914" s="16" t="s">
        <v>88</v>
      </c>
    </row>
    <row r="1915" customFormat="false" ht="14.25" hidden="true" customHeight="true" outlineLevel="0" collapsed="false">
      <c r="A1915" s="16" t="s">
        <v>50</v>
      </c>
      <c r="B1915" s="16" t="s">
        <v>162</v>
      </c>
      <c r="C1915" s="16" t="s">
        <v>163</v>
      </c>
      <c r="D1915" s="38"/>
      <c r="E1915" s="39"/>
      <c r="F1915" s="22" t="n">
        <f aca="false">IFERROR(D1915*E1915,0)</f>
        <v>0</v>
      </c>
      <c r="G1915" s="16" t="str">
        <f aca="false">INDEX(SETORES!$B:$B,MATCH(A1915,SETORES!$A:$A,0))</f>
        <v>Clientes</v>
      </c>
      <c r="H1915" s="16" t="s">
        <v>88</v>
      </c>
    </row>
    <row r="1916" customFormat="false" ht="14.25" hidden="true" customHeight="true" outlineLevel="0" collapsed="false">
      <c r="A1916" s="16" t="s">
        <v>50</v>
      </c>
      <c r="B1916" s="16" t="s">
        <v>162</v>
      </c>
      <c r="C1916" s="16" t="s">
        <v>164</v>
      </c>
      <c r="D1916" s="38"/>
      <c r="E1916" s="39"/>
      <c r="F1916" s="22" t="n">
        <f aca="false">IFERROR(D1916*E1916,0)</f>
        <v>0</v>
      </c>
      <c r="G1916" s="16" t="str">
        <f aca="false">INDEX(SETORES!$B:$B,MATCH(A1916,SETORES!$A:$A,0))</f>
        <v>Clientes</v>
      </c>
      <c r="H1916" s="16" t="s">
        <v>88</v>
      </c>
    </row>
    <row r="1917" customFormat="false" ht="14.25" hidden="true" customHeight="true" outlineLevel="0" collapsed="false">
      <c r="A1917" s="16" t="s">
        <v>50</v>
      </c>
      <c r="B1917" s="16" t="s">
        <v>162</v>
      </c>
      <c r="C1917" s="16" t="s">
        <v>209</v>
      </c>
      <c r="D1917" s="38"/>
      <c r="E1917" s="39"/>
      <c r="F1917" s="22" t="n">
        <f aca="false">IFERROR(D1917*E1917,0)</f>
        <v>0</v>
      </c>
      <c r="G1917" s="16" t="str">
        <f aca="false">INDEX(SETORES!$B:$B,MATCH(A1917,SETORES!$A:$A,0))</f>
        <v>Clientes</v>
      </c>
      <c r="H1917" s="16" t="s">
        <v>88</v>
      </c>
    </row>
    <row r="1918" customFormat="false" ht="14.25" hidden="true" customHeight="true" outlineLevel="0" collapsed="false">
      <c r="A1918" s="16" t="s">
        <v>50</v>
      </c>
      <c r="B1918" s="16" t="s">
        <v>162</v>
      </c>
      <c r="C1918" s="16" t="s">
        <v>222</v>
      </c>
      <c r="D1918" s="38"/>
      <c r="E1918" s="39"/>
      <c r="F1918" s="22" t="n">
        <f aca="false">IFERROR(D1918*E1918,0)</f>
        <v>0</v>
      </c>
      <c r="G1918" s="16" t="str">
        <f aca="false">INDEX(SETORES!$B:$B,MATCH(A1918,SETORES!$A:$A,0))</f>
        <v>Clientes</v>
      </c>
      <c r="H1918" s="16" t="s">
        <v>88</v>
      </c>
    </row>
    <row r="1919" customFormat="false" ht="14.25" hidden="true" customHeight="true" outlineLevel="0" collapsed="false">
      <c r="A1919" s="16" t="s">
        <v>50</v>
      </c>
      <c r="B1919" s="16" t="s">
        <v>162</v>
      </c>
      <c r="C1919" s="16" t="s">
        <v>165</v>
      </c>
      <c r="D1919" s="38"/>
      <c r="E1919" s="39"/>
      <c r="F1919" s="22" t="n">
        <f aca="false">IFERROR(D1919*E1919,0)</f>
        <v>0</v>
      </c>
      <c r="G1919" s="16" t="str">
        <f aca="false">INDEX(SETORES!$B:$B,MATCH(A1919,SETORES!$A:$A,0))</f>
        <v>Clientes</v>
      </c>
      <c r="H1919" s="16" t="s">
        <v>88</v>
      </c>
    </row>
    <row r="1920" customFormat="false" ht="14.25" hidden="true" customHeight="true" outlineLevel="0" collapsed="false">
      <c r="A1920" s="16" t="s">
        <v>50</v>
      </c>
      <c r="B1920" s="16" t="s">
        <v>155</v>
      </c>
      <c r="C1920" s="16" t="s">
        <v>166</v>
      </c>
      <c r="D1920" s="38" t="n">
        <v>16</v>
      </c>
      <c r="E1920" s="39" t="n">
        <v>50</v>
      </c>
      <c r="F1920" s="22" t="n">
        <f aca="false">IFERROR(D1920*E1920,0)</f>
        <v>800</v>
      </c>
      <c r="G1920" s="16" t="str">
        <f aca="false">INDEX(SETORES!$B:$B,MATCH(A1920,SETORES!$A:$A,0))</f>
        <v>Clientes</v>
      </c>
      <c r="H1920" s="16" t="s">
        <v>88</v>
      </c>
    </row>
    <row r="1921" customFormat="false" ht="14.25" hidden="true" customHeight="true" outlineLevel="0" collapsed="false">
      <c r="A1921" s="16" t="s">
        <v>50</v>
      </c>
      <c r="B1921" s="16" t="s">
        <v>155</v>
      </c>
      <c r="C1921" s="16" t="s">
        <v>238</v>
      </c>
      <c r="D1921" s="38"/>
      <c r="E1921" s="39"/>
      <c r="F1921" s="22" t="n">
        <f aca="false">IFERROR(D1921*E1921,0)</f>
        <v>0</v>
      </c>
      <c r="G1921" s="16" t="str">
        <f aca="false">INDEX(SETORES!$B:$B,MATCH(A1921,SETORES!$A:$A,0))</f>
        <v>Clientes</v>
      </c>
      <c r="H1921" s="16" t="s">
        <v>88</v>
      </c>
    </row>
    <row r="1922" customFormat="false" ht="14.25" hidden="true" customHeight="true" outlineLevel="0" collapsed="false">
      <c r="A1922" s="16" t="s">
        <v>50</v>
      </c>
      <c r="B1922" s="16" t="s">
        <v>155</v>
      </c>
      <c r="C1922" s="16" t="s">
        <v>167</v>
      </c>
      <c r="D1922" s="38"/>
      <c r="E1922" s="39"/>
      <c r="F1922" s="22" t="n">
        <f aca="false">IFERROR(D1922*E1922,0)</f>
        <v>0</v>
      </c>
      <c r="G1922" s="16" t="str">
        <f aca="false">INDEX(SETORES!$B:$B,MATCH(A1922,SETORES!$A:$A,0))</f>
        <v>Clientes</v>
      </c>
      <c r="H1922" s="16" t="s">
        <v>88</v>
      </c>
    </row>
    <row r="1923" customFormat="false" ht="14.25" hidden="true" customHeight="true" outlineLevel="0" collapsed="false">
      <c r="A1923" s="16" t="s">
        <v>50</v>
      </c>
      <c r="B1923" s="16" t="s">
        <v>155</v>
      </c>
      <c r="C1923" s="16" t="s">
        <v>168</v>
      </c>
      <c r="D1923" s="38" t="n">
        <v>16</v>
      </c>
      <c r="E1923" s="39" t="n">
        <v>1.87</v>
      </c>
      <c r="F1923" s="22" t="n">
        <f aca="false">IFERROR(D1923*E1923,0)</f>
        <v>29.92</v>
      </c>
      <c r="G1923" s="16" t="str">
        <f aca="false">INDEX(SETORES!$B:$B,MATCH(A1923,SETORES!$A:$A,0))</f>
        <v>Clientes</v>
      </c>
      <c r="H1923" s="16" t="s">
        <v>88</v>
      </c>
    </row>
    <row r="1924" customFormat="false" ht="14.25" hidden="true" customHeight="true" outlineLevel="0" collapsed="false">
      <c r="A1924" s="16" t="s">
        <v>36</v>
      </c>
      <c r="B1924" s="16" t="s">
        <v>155</v>
      </c>
      <c r="C1924" s="16" t="s">
        <v>156</v>
      </c>
      <c r="D1924" s="38" t="n">
        <v>1</v>
      </c>
      <c r="E1924" s="39" t="n">
        <v>4.82</v>
      </c>
      <c r="F1924" s="22" t="n">
        <f aca="false">IFERROR(D1924*E1924,0)</f>
        <v>4.82</v>
      </c>
      <c r="G1924" s="16" t="str">
        <f aca="false">INDEX(SETORES!$B:$B,MATCH(A1924,SETORES!$A:$A,0))</f>
        <v>Clientes</v>
      </c>
      <c r="H1924" s="16" t="s">
        <v>88</v>
      </c>
    </row>
    <row r="1925" customFormat="false" ht="14.25" hidden="true" customHeight="true" outlineLevel="0" collapsed="false">
      <c r="A1925" s="16" t="s">
        <v>36</v>
      </c>
      <c r="B1925" s="16" t="s">
        <v>155</v>
      </c>
      <c r="C1925" s="16" t="s">
        <v>157</v>
      </c>
      <c r="D1925" s="38" t="n">
        <v>1</v>
      </c>
      <c r="E1925" s="39" t="n">
        <v>438.85</v>
      </c>
      <c r="F1925" s="22" t="n">
        <f aca="false">IFERROR(D1925*E1925,0)</f>
        <v>438.85</v>
      </c>
      <c r="G1925" s="16" t="str">
        <f aca="false">INDEX(SETORES!$B:$B,MATCH(A1925,SETORES!$A:$A,0))</f>
        <v>Clientes</v>
      </c>
      <c r="H1925" s="16" t="s">
        <v>88</v>
      </c>
    </row>
    <row r="1926" customFormat="false" ht="14.25" hidden="true" customHeight="true" outlineLevel="0" collapsed="false">
      <c r="A1926" s="16" t="s">
        <v>36</v>
      </c>
      <c r="B1926" s="16" t="s">
        <v>155</v>
      </c>
      <c r="C1926" s="16" t="s">
        <v>158</v>
      </c>
      <c r="D1926" s="38"/>
      <c r="E1926" s="39"/>
      <c r="F1926" s="22" t="n">
        <f aca="false">IFERROR(D1926*E1926,0)</f>
        <v>0</v>
      </c>
      <c r="G1926" s="16" t="str">
        <f aca="false">INDEX(SETORES!$B:$B,MATCH(A1926,SETORES!$A:$A,0))</f>
        <v>Clientes</v>
      </c>
      <c r="H1926" s="16" t="s">
        <v>88</v>
      </c>
    </row>
    <row r="1927" customFormat="false" ht="14.25" hidden="true" customHeight="true" outlineLevel="0" collapsed="false">
      <c r="A1927" s="16" t="s">
        <v>36</v>
      </c>
      <c r="B1927" s="16" t="s">
        <v>155</v>
      </c>
      <c r="C1927" s="16" t="s">
        <v>159</v>
      </c>
      <c r="D1927" s="38"/>
      <c r="E1927" s="39"/>
      <c r="F1927" s="22" t="n">
        <f aca="false">IFERROR(D1927*E1927,0)</f>
        <v>0</v>
      </c>
      <c r="G1927" s="16" t="str">
        <f aca="false">INDEX(SETORES!$B:$B,MATCH(A1927,SETORES!$A:$A,0))</f>
        <v>Clientes</v>
      </c>
      <c r="H1927" s="16" t="s">
        <v>88</v>
      </c>
    </row>
    <row r="1928" customFormat="false" ht="14.25" hidden="true" customHeight="true" outlineLevel="0" collapsed="false">
      <c r="A1928" s="16" t="s">
        <v>36</v>
      </c>
      <c r="B1928" s="16" t="s">
        <v>155</v>
      </c>
      <c r="C1928" s="16" t="s">
        <v>160</v>
      </c>
      <c r="D1928" s="38"/>
      <c r="E1928" s="39"/>
      <c r="F1928" s="22" t="n">
        <f aca="false">IFERROR(D1928*E1928,0)</f>
        <v>0</v>
      </c>
      <c r="G1928" s="16" t="str">
        <f aca="false">INDEX(SETORES!$B:$B,MATCH(A1928,SETORES!$A:$A,0))</f>
        <v>Clientes</v>
      </c>
      <c r="H1928" s="16" t="s">
        <v>88</v>
      </c>
    </row>
    <row r="1929" customFormat="false" ht="14.25" hidden="true" customHeight="true" outlineLevel="0" collapsed="false">
      <c r="A1929" s="16" t="s">
        <v>36</v>
      </c>
      <c r="B1929" s="16" t="s">
        <v>155</v>
      </c>
      <c r="C1929" s="16" t="s">
        <v>161</v>
      </c>
      <c r="D1929" s="38" t="n">
        <v>1</v>
      </c>
      <c r="E1929" s="39" t="n">
        <v>33181.94</v>
      </c>
      <c r="F1929" s="22" t="n">
        <f aca="false">IFERROR(D1929*E1929,0)</f>
        <v>33181.94</v>
      </c>
      <c r="G1929" s="16" t="str">
        <f aca="false">INDEX(SETORES!$B:$B,MATCH(A1929,SETORES!$A:$A,0))</f>
        <v>Clientes</v>
      </c>
      <c r="H1929" s="16" t="s">
        <v>88</v>
      </c>
    </row>
    <row r="1930" customFormat="false" ht="14.25" hidden="true" customHeight="true" outlineLevel="0" collapsed="false">
      <c r="A1930" s="16" t="s">
        <v>36</v>
      </c>
      <c r="B1930" s="16" t="s">
        <v>155</v>
      </c>
      <c r="C1930" s="16" t="s">
        <v>219</v>
      </c>
      <c r="D1930" s="38"/>
      <c r="E1930" s="39"/>
      <c r="F1930" s="22" t="n">
        <f aca="false">IFERROR(D1930*E1930,0)</f>
        <v>0</v>
      </c>
      <c r="G1930" s="16" t="str">
        <f aca="false">INDEX(SETORES!$B:$B,MATCH(A1930,SETORES!$A:$A,0))</f>
        <v>Clientes</v>
      </c>
      <c r="H1930" s="16" t="s">
        <v>88</v>
      </c>
    </row>
    <row r="1931" customFormat="false" ht="14.25" hidden="true" customHeight="true" outlineLevel="0" collapsed="false">
      <c r="A1931" s="16" t="s">
        <v>36</v>
      </c>
      <c r="B1931" s="16" t="s">
        <v>162</v>
      </c>
      <c r="C1931" s="16" t="s">
        <v>163</v>
      </c>
      <c r="D1931" s="38"/>
      <c r="E1931" s="39"/>
      <c r="F1931" s="22" t="n">
        <f aca="false">IFERROR(D1931*E1931,0)</f>
        <v>0</v>
      </c>
      <c r="G1931" s="16" t="str">
        <f aca="false">INDEX(SETORES!$B:$B,MATCH(A1931,SETORES!$A:$A,0))</f>
        <v>Clientes</v>
      </c>
      <c r="H1931" s="16" t="s">
        <v>88</v>
      </c>
    </row>
    <row r="1932" customFormat="false" ht="14.25" hidden="true" customHeight="true" outlineLevel="0" collapsed="false">
      <c r="A1932" s="16" t="s">
        <v>36</v>
      </c>
      <c r="B1932" s="16" t="s">
        <v>162</v>
      </c>
      <c r="C1932" s="16" t="s">
        <v>164</v>
      </c>
      <c r="D1932" s="38"/>
      <c r="E1932" s="39"/>
      <c r="F1932" s="22" t="n">
        <f aca="false">IFERROR(D1932*E1932,0)</f>
        <v>0</v>
      </c>
      <c r="G1932" s="16" t="str">
        <f aca="false">INDEX(SETORES!$B:$B,MATCH(A1932,SETORES!$A:$A,0))</f>
        <v>Clientes</v>
      </c>
      <c r="H1932" s="16" t="s">
        <v>88</v>
      </c>
    </row>
    <row r="1933" customFormat="false" ht="14.25" hidden="true" customHeight="true" outlineLevel="0" collapsed="false">
      <c r="A1933" s="16" t="s">
        <v>36</v>
      </c>
      <c r="B1933" s="16" t="s">
        <v>155</v>
      </c>
      <c r="C1933" s="16" t="s">
        <v>166</v>
      </c>
      <c r="D1933" s="38" t="n">
        <v>8</v>
      </c>
      <c r="E1933" s="39" t="n">
        <v>50</v>
      </c>
      <c r="F1933" s="22" t="n">
        <f aca="false">IFERROR(D1933*E1933,0)</f>
        <v>400</v>
      </c>
      <c r="G1933" s="16" t="str">
        <f aca="false">INDEX(SETORES!$B:$B,MATCH(A1933,SETORES!$A:$A,0))</f>
        <v>Clientes</v>
      </c>
      <c r="H1933" s="16" t="s">
        <v>88</v>
      </c>
    </row>
    <row r="1934" customFormat="false" ht="14.25" hidden="true" customHeight="true" outlineLevel="0" collapsed="false">
      <c r="A1934" s="16" t="s">
        <v>36</v>
      </c>
      <c r="B1934" s="16" t="s">
        <v>155</v>
      </c>
      <c r="C1934" s="16" t="s">
        <v>238</v>
      </c>
      <c r="D1934" s="38"/>
      <c r="E1934" s="39"/>
      <c r="F1934" s="22" t="n">
        <f aca="false">IFERROR(D1934*E1934,0)</f>
        <v>0</v>
      </c>
      <c r="G1934" s="16" t="str">
        <f aca="false">INDEX(SETORES!$B:$B,MATCH(A1934,SETORES!$A:$A,0))</f>
        <v>Clientes</v>
      </c>
      <c r="H1934" s="16" t="s">
        <v>88</v>
      </c>
    </row>
    <row r="1935" customFormat="false" ht="14.25" hidden="true" customHeight="true" outlineLevel="0" collapsed="false">
      <c r="A1935" s="16" t="s">
        <v>36</v>
      </c>
      <c r="B1935" s="16" t="s">
        <v>155</v>
      </c>
      <c r="C1935" s="16" t="s">
        <v>167</v>
      </c>
      <c r="D1935" s="38"/>
      <c r="E1935" s="39"/>
      <c r="F1935" s="22" t="n">
        <f aca="false">IFERROR(D1935*E1935,0)</f>
        <v>0</v>
      </c>
      <c r="G1935" s="16" t="str">
        <f aca="false">INDEX(SETORES!$B:$B,MATCH(A1935,SETORES!$A:$A,0))</f>
        <v>Clientes</v>
      </c>
      <c r="H1935" s="16" t="s">
        <v>88</v>
      </c>
    </row>
    <row r="1936" customFormat="false" ht="14.25" hidden="true" customHeight="true" outlineLevel="0" collapsed="false">
      <c r="A1936" s="16" t="s">
        <v>36</v>
      </c>
      <c r="B1936" s="16" t="s">
        <v>155</v>
      </c>
      <c r="C1936" s="16" t="s">
        <v>168</v>
      </c>
      <c r="D1936" s="38" t="n">
        <v>8</v>
      </c>
      <c r="E1936" s="39" t="n">
        <v>1.87</v>
      </c>
      <c r="F1936" s="22" t="n">
        <f aca="false">IFERROR(D1936*E1936,0)</f>
        <v>14.96</v>
      </c>
      <c r="G1936" s="16" t="str">
        <f aca="false">INDEX(SETORES!$B:$B,MATCH(A1936,SETORES!$A:$A,0))</f>
        <v>Clientes</v>
      </c>
      <c r="H1936" s="16" t="s">
        <v>88</v>
      </c>
    </row>
    <row r="1937" customFormat="false" ht="14.25" hidden="true" customHeight="true" outlineLevel="0" collapsed="false">
      <c r="A1937" s="16" t="s">
        <v>48</v>
      </c>
      <c r="B1937" s="16" t="s">
        <v>155</v>
      </c>
      <c r="C1937" s="16" t="s">
        <v>156</v>
      </c>
      <c r="D1937" s="38" t="n">
        <v>1</v>
      </c>
      <c r="E1937" s="39" t="n">
        <v>89.59</v>
      </c>
      <c r="F1937" s="22" t="n">
        <f aca="false">IFERROR(D1937*E1937,0)</f>
        <v>89.59</v>
      </c>
      <c r="G1937" s="16" t="str">
        <f aca="false">INDEX(SETORES!$B:$B,MATCH(A1937,SETORES!$A:$A,0))</f>
        <v>Clientes</v>
      </c>
      <c r="H1937" s="16" t="s">
        <v>88</v>
      </c>
    </row>
    <row r="1938" customFormat="false" ht="14.25" hidden="true" customHeight="true" outlineLevel="0" collapsed="false">
      <c r="A1938" s="16" t="s">
        <v>48</v>
      </c>
      <c r="B1938" s="16" t="s">
        <v>155</v>
      </c>
      <c r="C1938" s="16" t="s">
        <v>157</v>
      </c>
      <c r="D1938" s="38" t="n">
        <v>1</v>
      </c>
      <c r="E1938" s="39" t="n">
        <v>830.33</v>
      </c>
      <c r="F1938" s="22" t="n">
        <f aca="false">IFERROR(D1938*E1938,0)</f>
        <v>830.33</v>
      </c>
      <c r="G1938" s="16" t="str">
        <f aca="false">INDEX(SETORES!$B:$B,MATCH(A1938,SETORES!$A:$A,0))</f>
        <v>Clientes</v>
      </c>
      <c r="H1938" s="16" t="s">
        <v>88</v>
      </c>
    </row>
    <row r="1939" customFormat="false" ht="14.25" hidden="true" customHeight="true" outlineLevel="0" collapsed="false">
      <c r="A1939" s="16" t="s">
        <v>48</v>
      </c>
      <c r="B1939" s="16" t="s">
        <v>155</v>
      </c>
      <c r="C1939" s="16" t="s">
        <v>158</v>
      </c>
      <c r="D1939" s="38"/>
      <c r="E1939" s="39"/>
      <c r="F1939" s="22" t="n">
        <f aca="false">IFERROR(D1939*E1939,0)</f>
        <v>0</v>
      </c>
      <c r="G1939" s="16" t="str">
        <f aca="false">INDEX(SETORES!$B:$B,MATCH(A1939,SETORES!$A:$A,0))</f>
        <v>Clientes</v>
      </c>
      <c r="H1939" s="16" t="s">
        <v>88</v>
      </c>
    </row>
    <row r="1940" customFormat="false" ht="14.25" hidden="true" customHeight="true" outlineLevel="0" collapsed="false">
      <c r="A1940" s="16" t="s">
        <v>48</v>
      </c>
      <c r="B1940" s="16" t="s">
        <v>155</v>
      </c>
      <c r="C1940" s="16" t="s">
        <v>159</v>
      </c>
      <c r="D1940" s="38"/>
      <c r="E1940" s="39"/>
      <c r="F1940" s="22" t="n">
        <f aca="false">IFERROR(D1940*E1940,0)</f>
        <v>0</v>
      </c>
      <c r="G1940" s="16" t="str">
        <f aca="false">INDEX(SETORES!$B:$B,MATCH(A1940,SETORES!$A:$A,0))</f>
        <v>Clientes</v>
      </c>
      <c r="H1940" s="16" t="s">
        <v>88</v>
      </c>
    </row>
    <row r="1941" customFormat="false" ht="14.25" hidden="true" customHeight="true" outlineLevel="0" collapsed="false">
      <c r="A1941" s="16" t="s">
        <v>48</v>
      </c>
      <c r="B1941" s="16" t="s">
        <v>155</v>
      </c>
      <c r="C1941" s="16" t="s">
        <v>160</v>
      </c>
      <c r="D1941" s="38"/>
      <c r="E1941" s="39"/>
      <c r="F1941" s="22" t="n">
        <f aca="false">IFERROR(D1941*E1941,0)</f>
        <v>0</v>
      </c>
      <c r="G1941" s="16" t="str">
        <f aca="false">INDEX(SETORES!$B:$B,MATCH(A1941,SETORES!$A:$A,0))</f>
        <v>Clientes</v>
      </c>
      <c r="H1941" s="16" t="s">
        <v>88</v>
      </c>
    </row>
    <row r="1942" customFormat="false" ht="14.25" hidden="true" customHeight="true" outlineLevel="0" collapsed="false">
      <c r="A1942" s="16" t="s">
        <v>48</v>
      </c>
      <c r="B1942" s="16" t="s">
        <v>155</v>
      </c>
      <c r="C1942" s="16" t="s">
        <v>161</v>
      </c>
      <c r="D1942" s="38" t="n">
        <v>1</v>
      </c>
      <c r="E1942" s="39" t="n">
        <v>92482.68</v>
      </c>
      <c r="F1942" s="22" t="n">
        <f aca="false">IFERROR(D1942*E1942,0)</f>
        <v>92482.68</v>
      </c>
      <c r="G1942" s="16" t="str">
        <f aca="false">INDEX(SETORES!$B:$B,MATCH(A1942,SETORES!$A:$A,0))</f>
        <v>Clientes</v>
      </c>
      <c r="H1942" s="16" t="s">
        <v>88</v>
      </c>
    </row>
    <row r="1943" customFormat="false" ht="14.25" hidden="true" customHeight="true" outlineLevel="0" collapsed="false">
      <c r="A1943" s="16" t="s">
        <v>48</v>
      </c>
      <c r="B1943" s="16" t="s">
        <v>162</v>
      </c>
      <c r="C1943" s="16" t="s">
        <v>217</v>
      </c>
      <c r="D1943" s="38"/>
      <c r="E1943" s="39"/>
      <c r="F1943" s="22" t="n">
        <f aca="false">IFERROR(D1943*E1943,0)</f>
        <v>0</v>
      </c>
      <c r="G1943" s="16" t="str">
        <f aca="false">INDEX(SETORES!$B:$B,MATCH(A1943,SETORES!$A:$A,0))</f>
        <v>Clientes</v>
      </c>
      <c r="H1943" s="16" t="s">
        <v>88</v>
      </c>
    </row>
    <row r="1944" customFormat="false" ht="14.25" hidden="true" customHeight="true" outlineLevel="0" collapsed="false">
      <c r="A1944" s="16" t="s">
        <v>48</v>
      </c>
      <c r="B1944" s="16" t="s">
        <v>162</v>
      </c>
      <c r="C1944" s="16" t="s">
        <v>220</v>
      </c>
      <c r="D1944" s="38"/>
      <c r="E1944" s="39"/>
      <c r="F1944" s="22" t="n">
        <f aca="false">IFERROR(D1944*E1944,0)</f>
        <v>0</v>
      </c>
      <c r="G1944" s="16" t="str">
        <f aca="false">INDEX(SETORES!$B:$B,MATCH(A1944,SETORES!$A:$A,0))</f>
        <v>Clientes</v>
      </c>
      <c r="H1944" s="16" t="s">
        <v>88</v>
      </c>
    </row>
    <row r="1945" customFormat="false" ht="14.25" hidden="true" customHeight="true" outlineLevel="0" collapsed="false">
      <c r="A1945" s="16" t="s">
        <v>48</v>
      </c>
      <c r="B1945" s="16" t="s">
        <v>162</v>
      </c>
      <c r="C1945" s="16" t="s">
        <v>163</v>
      </c>
      <c r="D1945" s="38" t="n">
        <v>1</v>
      </c>
      <c r="E1945" s="39" t="n">
        <v>90</v>
      </c>
      <c r="F1945" s="22" t="n">
        <f aca="false">IFERROR(D1945*E1945,0)</f>
        <v>90</v>
      </c>
      <c r="G1945" s="16" t="str">
        <f aca="false">INDEX(SETORES!$B:$B,MATCH(A1945,SETORES!$A:$A,0))</f>
        <v>Clientes</v>
      </c>
      <c r="H1945" s="16" t="s">
        <v>88</v>
      </c>
    </row>
    <row r="1946" customFormat="false" ht="14.25" hidden="true" customHeight="true" outlineLevel="0" collapsed="false">
      <c r="A1946" s="16" t="s">
        <v>48</v>
      </c>
      <c r="B1946" s="16" t="s">
        <v>162</v>
      </c>
      <c r="C1946" s="16" t="s">
        <v>164</v>
      </c>
      <c r="D1946" s="38"/>
      <c r="E1946" s="39"/>
      <c r="F1946" s="22" t="n">
        <f aca="false">IFERROR(D1946*E1946,0)</f>
        <v>0</v>
      </c>
      <c r="G1946" s="16" t="str">
        <f aca="false">INDEX(SETORES!$B:$B,MATCH(A1946,SETORES!$A:$A,0))</f>
        <v>Clientes</v>
      </c>
      <c r="H1946" s="16" t="s">
        <v>88</v>
      </c>
    </row>
    <row r="1947" customFormat="false" ht="14.25" hidden="true" customHeight="true" outlineLevel="0" collapsed="false">
      <c r="A1947" s="16" t="s">
        <v>48</v>
      </c>
      <c r="B1947" s="16" t="s">
        <v>162</v>
      </c>
      <c r="C1947" s="16" t="s">
        <v>221</v>
      </c>
      <c r="D1947" s="38"/>
      <c r="E1947" s="39"/>
      <c r="F1947" s="22" t="n">
        <f aca="false">IFERROR(D1947*E1947,0)</f>
        <v>0</v>
      </c>
      <c r="G1947" s="16" t="str">
        <f aca="false">INDEX(SETORES!$B:$B,MATCH(A1947,SETORES!$A:$A,0))</f>
        <v>Clientes</v>
      </c>
      <c r="H1947" s="16" t="s">
        <v>88</v>
      </c>
    </row>
    <row r="1948" customFormat="false" ht="14.25" hidden="true" customHeight="true" outlineLevel="0" collapsed="false">
      <c r="A1948" s="16" t="s">
        <v>48</v>
      </c>
      <c r="B1948" s="16" t="s">
        <v>162</v>
      </c>
      <c r="C1948" s="16" t="s">
        <v>209</v>
      </c>
      <c r="D1948" s="38"/>
      <c r="E1948" s="39"/>
      <c r="F1948" s="22" t="n">
        <f aca="false">IFERROR(D1948*E1948,0)</f>
        <v>0</v>
      </c>
      <c r="G1948" s="16" t="str">
        <f aca="false">INDEX(SETORES!$B:$B,MATCH(A1948,SETORES!$A:$A,0))</f>
        <v>Clientes</v>
      </c>
      <c r="H1948" s="16" t="s">
        <v>88</v>
      </c>
    </row>
    <row r="1949" customFormat="false" ht="14.25" hidden="true" customHeight="true" outlineLevel="0" collapsed="false">
      <c r="A1949" s="16" t="s">
        <v>48</v>
      </c>
      <c r="B1949" s="16" t="s">
        <v>155</v>
      </c>
      <c r="C1949" s="16" t="s">
        <v>166</v>
      </c>
      <c r="D1949" s="38" t="n">
        <v>16</v>
      </c>
      <c r="E1949" s="39" t="n">
        <v>50</v>
      </c>
      <c r="F1949" s="22" t="n">
        <f aca="false">IFERROR(D1949*E1949,0)</f>
        <v>800</v>
      </c>
      <c r="G1949" s="16" t="str">
        <f aca="false">INDEX(SETORES!$B:$B,MATCH(A1949,SETORES!$A:$A,0))</f>
        <v>Clientes</v>
      </c>
      <c r="H1949" s="16" t="s">
        <v>88</v>
      </c>
    </row>
    <row r="1950" customFormat="false" ht="14.25" hidden="true" customHeight="true" outlineLevel="0" collapsed="false">
      <c r="A1950" s="16" t="s">
        <v>48</v>
      </c>
      <c r="B1950" s="16" t="s">
        <v>155</v>
      </c>
      <c r="C1950" s="16" t="s">
        <v>238</v>
      </c>
      <c r="D1950" s="38"/>
      <c r="E1950" s="39"/>
      <c r="F1950" s="22" t="n">
        <f aca="false">IFERROR(D1950*E1950,0)</f>
        <v>0</v>
      </c>
      <c r="G1950" s="16" t="str">
        <f aca="false">INDEX(SETORES!$B:$B,MATCH(A1950,SETORES!$A:$A,0))</f>
        <v>Clientes</v>
      </c>
      <c r="H1950" s="16" t="s">
        <v>88</v>
      </c>
    </row>
    <row r="1951" customFormat="false" ht="14.25" hidden="true" customHeight="true" outlineLevel="0" collapsed="false">
      <c r="A1951" s="16" t="s">
        <v>48</v>
      </c>
      <c r="B1951" s="16" t="s">
        <v>155</v>
      </c>
      <c r="C1951" s="16" t="s">
        <v>167</v>
      </c>
      <c r="D1951" s="38"/>
      <c r="E1951" s="39"/>
      <c r="F1951" s="22" t="n">
        <f aca="false">IFERROR(D1951*E1951,0)</f>
        <v>0</v>
      </c>
      <c r="G1951" s="16" t="str">
        <f aca="false">INDEX(SETORES!$B:$B,MATCH(A1951,SETORES!$A:$A,0))</f>
        <v>Clientes</v>
      </c>
      <c r="H1951" s="16" t="s">
        <v>88</v>
      </c>
    </row>
    <row r="1952" customFormat="false" ht="14.25" hidden="true" customHeight="true" outlineLevel="0" collapsed="false">
      <c r="A1952" s="16" t="s">
        <v>48</v>
      </c>
      <c r="B1952" s="16" t="s">
        <v>155</v>
      </c>
      <c r="C1952" s="16" t="s">
        <v>168</v>
      </c>
      <c r="D1952" s="38" t="n">
        <v>16</v>
      </c>
      <c r="E1952" s="39" t="n">
        <v>1.87</v>
      </c>
      <c r="F1952" s="22" t="n">
        <f aca="false">IFERROR(D1952*E1952,0)</f>
        <v>29.92</v>
      </c>
      <c r="G1952" s="16" t="str">
        <f aca="false">INDEX(SETORES!$B:$B,MATCH(A1952,SETORES!$A:$A,0))</f>
        <v>Clientes</v>
      </c>
      <c r="H1952" s="16" t="s">
        <v>88</v>
      </c>
    </row>
    <row r="1953" customFormat="false" ht="14.25" hidden="true" customHeight="true" outlineLevel="0" collapsed="false">
      <c r="A1953" s="16" t="s">
        <v>47</v>
      </c>
      <c r="B1953" s="16" t="s">
        <v>155</v>
      </c>
      <c r="C1953" s="16" t="s">
        <v>156</v>
      </c>
      <c r="D1953" s="38"/>
      <c r="E1953" s="39"/>
      <c r="F1953" s="22" t="n">
        <f aca="false">IFERROR(D1953*E1953,0)</f>
        <v>0</v>
      </c>
      <c r="G1953" s="16" t="str">
        <f aca="false">INDEX(SETORES!$B:$B,MATCH(A1953,SETORES!$A:$A,0))</f>
        <v>Clientes</v>
      </c>
      <c r="H1953" s="16" t="s">
        <v>88</v>
      </c>
    </row>
    <row r="1954" customFormat="false" ht="14.25" hidden="true" customHeight="true" outlineLevel="0" collapsed="false">
      <c r="A1954" s="16" t="s">
        <v>47</v>
      </c>
      <c r="B1954" s="16" t="s">
        <v>155</v>
      </c>
      <c r="C1954" s="16" t="s">
        <v>157</v>
      </c>
      <c r="D1954" s="38"/>
      <c r="E1954" s="39"/>
      <c r="F1954" s="22" t="n">
        <f aca="false">IFERROR(D1954*E1954,0)</f>
        <v>0</v>
      </c>
      <c r="G1954" s="16" t="str">
        <f aca="false">INDEX(SETORES!$B:$B,MATCH(A1954,SETORES!$A:$A,0))</f>
        <v>Clientes</v>
      </c>
      <c r="H1954" s="16" t="s">
        <v>88</v>
      </c>
    </row>
    <row r="1955" customFormat="false" ht="14.25" hidden="true" customHeight="true" outlineLevel="0" collapsed="false">
      <c r="A1955" s="16" t="s">
        <v>47</v>
      </c>
      <c r="B1955" s="16" t="s">
        <v>155</v>
      </c>
      <c r="C1955" s="16" t="s">
        <v>160</v>
      </c>
      <c r="D1955" s="38"/>
      <c r="E1955" s="39"/>
      <c r="F1955" s="22" t="n">
        <f aca="false">IFERROR(D1955*E1955,0)</f>
        <v>0</v>
      </c>
      <c r="G1955" s="16" t="str">
        <f aca="false">INDEX(SETORES!$B:$B,MATCH(A1955,SETORES!$A:$A,0))</f>
        <v>Clientes</v>
      </c>
      <c r="H1955" s="16" t="s">
        <v>88</v>
      </c>
    </row>
    <row r="1956" customFormat="false" ht="14.25" hidden="true" customHeight="true" outlineLevel="0" collapsed="false">
      <c r="A1956" s="16" t="s">
        <v>47</v>
      </c>
      <c r="B1956" s="16" t="s">
        <v>155</v>
      </c>
      <c r="C1956" s="16" t="s">
        <v>161</v>
      </c>
      <c r="D1956" s="38" t="n">
        <v>1</v>
      </c>
      <c r="E1956" s="39" t="n">
        <v>116417.9</v>
      </c>
      <c r="F1956" s="22" t="n">
        <f aca="false">IFERROR(D1956*E1956,0)</f>
        <v>116417.9</v>
      </c>
      <c r="G1956" s="16" t="str">
        <f aca="false">INDEX(SETORES!$B:$B,MATCH(A1956,SETORES!$A:$A,0))</f>
        <v>Clientes</v>
      </c>
      <c r="H1956" s="16" t="s">
        <v>88</v>
      </c>
    </row>
    <row r="1957" customFormat="false" ht="14.25" hidden="true" customHeight="true" outlineLevel="0" collapsed="false">
      <c r="A1957" s="16" t="s">
        <v>47</v>
      </c>
      <c r="B1957" s="16" t="s">
        <v>162</v>
      </c>
      <c r="C1957" s="16" t="s">
        <v>218</v>
      </c>
      <c r="D1957" s="38"/>
      <c r="E1957" s="39"/>
      <c r="F1957" s="22" t="n">
        <f aca="false">IFERROR(D1957*E1957,0)</f>
        <v>0</v>
      </c>
      <c r="G1957" s="16" t="str">
        <f aca="false">INDEX(SETORES!$B:$B,MATCH(A1957,SETORES!$A:$A,0))</f>
        <v>Clientes</v>
      </c>
      <c r="H1957" s="16" t="s">
        <v>88</v>
      </c>
    </row>
    <row r="1958" customFormat="false" ht="14.25" hidden="true" customHeight="true" outlineLevel="0" collapsed="false">
      <c r="A1958" s="16" t="s">
        <v>47</v>
      </c>
      <c r="B1958" s="16" t="s">
        <v>162</v>
      </c>
      <c r="C1958" s="16" t="s">
        <v>221</v>
      </c>
      <c r="D1958" s="38"/>
      <c r="E1958" s="39"/>
      <c r="F1958" s="22" t="n">
        <f aca="false">IFERROR(D1958*E1958,0)</f>
        <v>0</v>
      </c>
      <c r="G1958" s="16" t="str">
        <f aca="false">INDEX(SETORES!$B:$B,MATCH(A1958,SETORES!$A:$A,0))</f>
        <v>Clientes</v>
      </c>
      <c r="H1958" s="16" t="s">
        <v>88</v>
      </c>
    </row>
    <row r="1959" customFormat="false" ht="14.25" hidden="true" customHeight="true" outlineLevel="0" collapsed="false">
      <c r="A1959" s="16" t="s">
        <v>47</v>
      </c>
      <c r="B1959" s="16" t="s">
        <v>155</v>
      </c>
      <c r="C1959" s="16" t="s">
        <v>166</v>
      </c>
      <c r="D1959" s="38" t="n">
        <v>15</v>
      </c>
      <c r="E1959" s="39" t="n">
        <v>50</v>
      </c>
      <c r="F1959" s="22" t="n">
        <f aca="false">IFERROR(D1959*E1959,0)</f>
        <v>750</v>
      </c>
      <c r="G1959" s="16" t="str">
        <f aca="false">INDEX(SETORES!$B:$B,MATCH(A1959,SETORES!$A:$A,0))</f>
        <v>Clientes</v>
      </c>
      <c r="H1959" s="16" t="s">
        <v>88</v>
      </c>
    </row>
    <row r="1960" customFormat="false" ht="14.25" hidden="true" customHeight="true" outlineLevel="0" collapsed="false">
      <c r="A1960" s="16" t="s">
        <v>47</v>
      </c>
      <c r="B1960" s="16" t="s">
        <v>162</v>
      </c>
      <c r="C1960" s="16" t="s">
        <v>217</v>
      </c>
      <c r="D1960" s="38"/>
      <c r="E1960" s="39"/>
      <c r="F1960" s="22" t="n">
        <f aca="false">IFERROR(D1960*E1960,0)</f>
        <v>0</v>
      </c>
      <c r="G1960" s="16" t="str">
        <f aca="false">INDEX(SETORES!$B:$B,MATCH(A1960,SETORES!$A:$A,0))</f>
        <v>Clientes</v>
      </c>
      <c r="H1960" s="16" t="s">
        <v>88</v>
      </c>
    </row>
    <row r="1961" customFormat="false" ht="14.25" hidden="true" customHeight="true" outlineLevel="0" collapsed="false">
      <c r="A1961" s="16" t="s">
        <v>47</v>
      </c>
      <c r="B1961" s="16" t="s">
        <v>155</v>
      </c>
      <c r="C1961" s="16" t="s">
        <v>167</v>
      </c>
      <c r="D1961" s="38"/>
      <c r="E1961" s="39"/>
      <c r="F1961" s="22" t="n">
        <f aca="false">IFERROR(D1961*E1961,0)</f>
        <v>0</v>
      </c>
      <c r="G1961" s="16" t="str">
        <f aca="false">INDEX(SETORES!$B:$B,MATCH(A1961,SETORES!$A:$A,0))</f>
        <v>Clientes</v>
      </c>
      <c r="H1961" s="16" t="s">
        <v>88</v>
      </c>
    </row>
    <row r="1962" customFormat="false" ht="14.25" hidden="true" customHeight="true" outlineLevel="0" collapsed="false">
      <c r="A1962" s="16" t="s">
        <v>47</v>
      </c>
      <c r="B1962" s="16" t="s">
        <v>155</v>
      </c>
      <c r="C1962" s="16" t="s">
        <v>168</v>
      </c>
      <c r="D1962" s="38" t="n">
        <v>15</v>
      </c>
      <c r="E1962" s="39" t="n">
        <v>1.87</v>
      </c>
      <c r="F1962" s="22" t="n">
        <f aca="false">IFERROR(D1962*E1962,0)</f>
        <v>28.05</v>
      </c>
      <c r="G1962" s="16" t="str">
        <f aca="false">INDEX(SETORES!$B:$B,MATCH(A1962,SETORES!$A:$A,0))</f>
        <v>Clientes</v>
      </c>
      <c r="H1962" s="16" t="s">
        <v>88</v>
      </c>
    </row>
    <row r="1963" customFormat="false" ht="14.25" hidden="true" customHeight="true" outlineLevel="0" collapsed="false">
      <c r="A1963" s="16" t="s">
        <v>31</v>
      </c>
      <c r="B1963" s="16" t="s">
        <v>155</v>
      </c>
      <c r="C1963" s="16" t="s">
        <v>156</v>
      </c>
      <c r="D1963" s="38" t="n">
        <v>1</v>
      </c>
      <c r="E1963" s="39" t="n">
        <v>37.24</v>
      </c>
      <c r="F1963" s="22" t="n">
        <f aca="false">IFERROR(D1963*E1963,0)</f>
        <v>37.24</v>
      </c>
      <c r="G1963" s="16" t="str">
        <f aca="false">INDEX(SETORES!$B:$B,MATCH(A1963,SETORES!$A:$A,0))</f>
        <v>Clientes</v>
      </c>
      <c r="H1963" s="16" t="s">
        <v>88</v>
      </c>
    </row>
    <row r="1964" customFormat="false" ht="14.25" hidden="true" customHeight="true" outlineLevel="0" collapsed="false">
      <c r="A1964" s="16" t="s">
        <v>31</v>
      </c>
      <c r="B1964" s="16" t="s">
        <v>155</v>
      </c>
      <c r="C1964" s="16" t="s">
        <v>157</v>
      </c>
      <c r="D1964" s="38" t="n">
        <v>1</v>
      </c>
      <c r="E1964" s="39" t="n">
        <v>288.15</v>
      </c>
      <c r="F1964" s="22" t="n">
        <f aca="false">IFERROR(D1964*E1964,0)</f>
        <v>288.15</v>
      </c>
      <c r="G1964" s="16" t="str">
        <f aca="false">INDEX(SETORES!$B:$B,MATCH(A1964,SETORES!$A:$A,0))</f>
        <v>Clientes</v>
      </c>
      <c r="H1964" s="16" t="s">
        <v>88</v>
      </c>
    </row>
    <row r="1965" customFormat="false" ht="14.25" hidden="true" customHeight="true" outlineLevel="0" collapsed="false">
      <c r="A1965" s="16" t="s">
        <v>31</v>
      </c>
      <c r="B1965" s="16" t="s">
        <v>155</v>
      </c>
      <c r="C1965" s="16" t="s">
        <v>158</v>
      </c>
      <c r="D1965" s="38"/>
      <c r="E1965" s="39"/>
      <c r="F1965" s="22" t="n">
        <f aca="false">IFERROR(D1965*E1965,0)</f>
        <v>0</v>
      </c>
      <c r="G1965" s="16" t="str">
        <f aca="false">INDEX(SETORES!$B:$B,MATCH(A1965,SETORES!$A:$A,0))</f>
        <v>Clientes</v>
      </c>
      <c r="H1965" s="16" t="s">
        <v>88</v>
      </c>
    </row>
    <row r="1966" customFormat="false" ht="14.25" hidden="true" customHeight="true" outlineLevel="0" collapsed="false">
      <c r="A1966" s="16" t="s">
        <v>31</v>
      </c>
      <c r="B1966" s="16" t="s">
        <v>155</v>
      </c>
      <c r="C1966" s="16" t="s">
        <v>159</v>
      </c>
      <c r="D1966" s="38"/>
      <c r="E1966" s="39"/>
      <c r="F1966" s="22" t="n">
        <f aca="false">IFERROR(D1966*E1966,0)</f>
        <v>0</v>
      </c>
      <c r="G1966" s="16" t="str">
        <f aca="false">INDEX(SETORES!$B:$B,MATCH(A1966,SETORES!$A:$A,0))</f>
        <v>Clientes</v>
      </c>
      <c r="H1966" s="16" t="s">
        <v>88</v>
      </c>
    </row>
    <row r="1967" customFormat="false" ht="14.25" hidden="true" customHeight="true" outlineLevel="0" collapsed="false">
      <c r="A1967" s="16" t="s">
        <v>31</v>
      </c>
      <c r="B1967" s="16" t="s">
        <v>155</v>
      </c>
      <c r="C1967" s="16" t="s">
        <v>160</v>
      </c>
      <c r="D1967" s="38"/>
      <c r="E1967" s="39"/>
      <c r="F1967" s="22" t="n">
        <f aca="false">IFERROR(D1967*E1967,0)</f>
        <v>0</v>
      </c>
      <c r="G1967" s="16" t="str">
        <f aca="false">INDEX(SETORES!$B:$B,MATCH(A1967,SETORES!$A:$A,0))</f>
        <v>Clientes</v>
      </c>
      <c r="H1967" s="16" t="s">
        <v>88</v>
      </c>
    </row>
    <row r="1968" customFormat="false" ht="14.25" hidden="true" customHeight="true" outlineLevel="0" collapsed="false">
      <c r="A1968" s="16" t="s">
        <v>31</v>
      </c>
      <c r="B1968" s="16" t="s">
        <v>155</v>
      </c>
      <c r="C1968" s="16" t="s">
        <v>161</v>
      </c>
      <c r="D1968" s="38" t="n">
        <v>1</v>
      </c>
      <c r="E1968" s="39" t="n">
        <v>42164.64</v>
      </c>
      <c r="F1968" s="22" t="n">
        <f aca="false">IFERROR(D1968*E1968,0)</f>
        <v>42164.64</v>
      </c>
      <c r="G1968" s="16" t="str">
        <f aca="false">INDEX(SETORES!$B:$B,MATCH(A1968,SETORES!$A:$A,0))</f>
        <v>Clientes</v>
      </c>
      <c r="H1968" s="16" t="s">
        <v>88</v>
      </c>
    </row>
    <row r="1969" customFormat="false" ht="14.25" hidden="true" customHeight="true" outlineLevel="0" collapsed="false">
      <c r="A1969" s="16" t="s">
        <v>31</v>
      </c>
      <c r="B1969" s="16" t="s">
        <v>155</v>
      </c>
      <c r="C1969" s="16" t="s">
        <v>166</v>
      </c>
      <c r="D1969" s="38" t="n">
        <v>3</v>
      </c>
      <c r="E1969" s="39" t="n">
        <v>50</v>
      </c>
      <c r="F1969" s="22" t="n">
        <f aca="false">IFERROR(D1969*E1969,0)</f>
        <v>150</v>
      </c>
      <c r="G1969" s="16" t="str">
        <f aca="false">INDEX(SETORES!$B:$B,MATCH(A1969,SETORES!$A:$A,0))</f>
        <v>Clientes</v>
      </c>
      <c r="H1969" s="16" t="s">
        <v>88</v>
      </c>
    </row>
    <row r="1970" customFormat="false" ht="14.25" hidden="true" customHeight="true" outlineLevel="0" collapsed="false">
      <c r="A1970" s="16" t="s">
        <v>31</v>
      </c>
      <c r="B1970" s="16" t="s">
        <v>162</v>
      </c>
      <c r="C1970" s="16" t="s">
        <v>217</v>
      </c>
      <c r="D1970" s="38"/>
      <c r="E1970" s="39"/>
      <c r="F1970" s="22" t="n">
        <f aca="false">IFERROR(D1970*E1970,0)</f>
        <v>0</v>
      </c>
      <c r="G1970" s="16" t="str">
        <f aca="false">INDEX(SETORES!$B:$B,MATCH(A1970,SETORES!$A:$A,0))</f>
        <v>Clientes</v>
      </c>
      <c r="H1970" s="16" t="s">
        <v>88</v>
      </c>
    </row>
    <row r="1971" customFormat="false" ht="14.25" hidden="true" customHeight="true" outlineLevel="0" collapsed="false">
      <c r="A1971" s="16" t="s">
        <v>31</v>
      </c>
      <c r="B1971" s="16" t="s">
        <v>155</v>
      </c>
      <c r="C1971" s="16" t="s">
        <v>167</v>
      </c>
      <c r="D1971" s="38"/>
      <c r="E1971" s="39"/>
      <c r="F1971" s="22" t="n">
        <f aca="false">IFERROR(D1971*E1971,0)</f>
        <v>0</v>
      </c>
      <c r="G1971" s="16" t="str">
        <f aca="false">INDEX(SETORES!$B:$B,MATCH(A1971,SETORES!$A:$A,0))</f>
        <v>Clientes</v>
      </c>
      <c r="H1971" s="16" t="s">
        <v>88</v>
      </c>
    </row>
    <row r="1972" customFormat="false" ht="14.25" hidden="true" customHeight="true" outlineLevel="0" collapsed="false">
      <c r="A1972" s="16" t="s">
        <v>31</v>
      </c>
      <c r="B1972" s="16" t="s">
        <v>155</v>
      </c>
      <c r="C1972" s="16" t="s">
        <v>168</v>
      </c>
      <c r="D1972" s="38" t="n">
        <v>3</v>
      </c>
      <c r="E1972" s="39" t="n">
        <v>1.87</v>
      </c>
      <c r="F1972" s="22" t="n">
        <f aca="false">IFERROR(D1972*E1972,0)</f>
        <v>5.61</v>
      </c>
      <c r="G1972" s="16" t="str">
        <f aca="false">INDEX(SETORES!$B:$B,MATCH(A1972,SETORES!$A:$A,0))</f>
        <v>Clientes</v>
      </c>
      <c r="H1972" s="16" t="s">
        <v>88</v>
      </c>
    </row>
    <row r="1973" customFormat="false" ht="14.25" hidden="true" customHeight="true" outlineLevel="0" collapsed="false">
      <c r="A1973" s="16" t="s">
        <v>37</v>
      </c>
      <c r="B1973" s="16" t="s">
        <v>155</v>
      </c>
      <c r="C1973" s="16" t="s">
        <v>156</v>
      </c>
      <c r="D1973" s="38" t="n">
        <v>1</v>
      </c>
      <c r="E1973" s="39" t="n">
        <v>12.09</v>
      </c>
      <c r="F1973" s="22" t="n">
        <f aca="false">IFERROR(D1973*E1973,0)</f>
        <v>12.09</v>
      </c>
      <c r="G1973" s="16" t="str">
        <f aca="false">INDEX(SETORES!$B:$B,MATCH(A1973,SETORES!$A:$A,0))</f>
        <v>Clientes</v>
      </c>
      <c r="H1973" s="16" t="s">
        <v>88</v>
      </c>
    </row>
    <row r="1974" customFormat="false" ht="14.25" hidden="true" customHeight="true" outlineLevel="0" collapsed="false">
      <c r="A1974" s="16" t="s">
        <v>37</v>
      </c>
      <c r="B1974" s="16" t="s">
        <v>155</v>
      </c>
      <c r="C1974" s="16" t="s">
        <v>157</v>
      </c>
      <c r="D1974" s="38" t="n">
        <v>1</v>
      </c>
      <c r="E1974" s="39" t="n">
        <v>2123.29</v>
      </c>
      <c r="F1974" s="22" t="n">
        <f aca="false">IFERROR(D1974*E1974,0)</f>
        <v>2123.29</v>
      </c>
      <c r="G1974" s="16" t="str">
        <f aca="false">INDEX(SETORES!$B:$B,MATCH(A1974,SETORES!$A:$A,0))</f>
        <v>Clientes</v>
      </c>
      <c r="H1974" s="16" t="s">
        <v>88</v>
      </c>
    </row>
    <row r="1975" customFormat="false" ht="14.25" hidden="true" customHeight="true" outlineLevel="0" collapsed="false">
      <c r="A1975" s="16" t="s">
        <v>37</v>
      </c>
      <c r="B1975" s="16" t="s">
        <v>155</v>
      </c>
      <c r="C1975" s="16" t="s">
        <v>158</v>
      </c>
      <c r="D1975" s="38"/>
      <c r="E1975" s="39"/>
      <c r="F1975" s="22" t="n">
        <f aca="false">IFERROR(D1975*E1975,0)</f>
        <v>0</v>
      </c>
      <c r="G1975" s="16" t="str">
        <f aca="false">INDEX(SETORES!$B:$B,MATCH(A1975,SETORES!$A:$A,0))</f>
        <v>Clientes</v>
      </c>
      <c r="H1975" s="16" t="s">
        <v>88</v>
      </c>
    </row>
    <row r="1976" customFormat="false" ht="14.25" hidden="true" customHeight="true" outlineLevel="0" collapsed="false">
      <c r="A1976" s="16" t="s">
        <v>37</v>
      </c>
      <c r="B1976" s="16" t="s">
        <v>155</v>
      </c>
      <c r="C1976" s="16" t="s">
        <v>159</v>
      </c>
      <c r="D1976" s="38"/>
      <c r="E1976" s="39"/>
      <c r="F1976" s="22" t="n">
        <f aca="false">IFERROR(D1976*E1976,0)</f>
        <v>0</v>
      </c>
      <c r="G1976" s="16" t="str">
        <f aca="false">INDEX(SETORES!$B:$B,MATCH(A1976,SETORES!$A:$A,0))</f>
        <v>Clientes</v>
      </c>
      <c r="H1976" s="16" t="s">
        <v>88</v>
      </c>
    </row>
    <row r="1977" customFormat="false" ht="14.25" hidden="true" customHeight="true" outlineLevel="0" collapsed="false">
      <c r="A1977" s="16" t="s">
        <v>37</v>
      </c>
      <c r="B1977" s="16" t="s">
        <v>155</v>
      </c>
      <c r="C1977" s="16" t="s">
        <v>160</v>
      </c>
      <c r="D1977" s="38"/>
      <c r="E1977" s="39"/>
      <c r="F1977" s="22" t="n">
        <f aca="false">IFERROR(D1977*E1977,0)</f>
        <v>0</v>
      </c>
      <c r="G1977" s="16" t="str">
        <f aca="false">INDEX(SETORES!$B:$B,MATCH(A1977,SETORES!$A:$A,0))</f>
        <v>Clientes</v>
      </c>
      <c r="H1977" s="16" t="s">
        <v>88</v>
      </c>
    </row>
    <row r="1978" customFormat="false" ht="14.25" hidden="true" customHeight="true" outlineLevel="0" collapsed="false">
      <c r="A1978" s="16" t="s">
        <v>37</v>
      </c>
      <c r="B1978" s="16" t="s">
        <v>155</v>
      </c>
      <c r="C1978" s="16" t="s">
        <v>161</v>
      </c>
      <c r="D1978" s="38" t="n">
        <v>1</v>
      </c>
      <c r="E1978" s="39" t="n">
        <v>145351.16</v>
      </c>
      <c r="F1978" s="22" t="n">
        <f aca="false">IFERROR(D1978*E1978,0)</f>
        <v>145351.16</v>
      </c>
      <c r="G1978" s="16" t="str">
        <f aca="false">INDEX(SETORES!$B:$B,MATCH(A1978,SETORES!$A:$A,0))</f>
        <v>Clientes</v>
      </c>
      <c r="H1978" s="16" t="s">
        <v>88</v>
      </c>
    </row>
    <row r="1979" customFormat="false" ht="14.25" hidden="true" customHeight="true" outlineLevel="0" collapsed="false">
      <c r="A1979" s="16" t="s">
        <v>37</v>
      </c>
      <c r="B1979" s="16" t="s">
        <v>155</v>
      </c>
      <c r="C1979" s="16" t="s">
        <v>223</v>
      </c>
      <c r="D1979" s="38"/>
      <c r="E1979" s="39"/>
      <c r="F1979" s="22" t="n">
        <f aca="false">IFERROR(D1979*E1979,0)</f>
        <v>0</v>
      </c>
      <c r="G1979" s="16" t="str">
        <f aca="false">INDEX(SETORES!$B:$B,MATCH(A1979,SETORES!$A:$A,0))</f>
        <v>Clientes</v>
      </c>
      <c r="H1979" s="16" t="s">
        <v>88</v>
      </c>
    </row>
    <row r="1980" customFormat="false" ht="14.25" hidden="true" customHeight="true" outlineLevel="0" collapsed="false">
      <c r="A1980" s="16" t="s">
        <v>37</v>
      </c>
      <c r="B1980" s="16" t="s">
        <v>162</v>
      </c>
      <c r="C1980" s="16" t="s">
        <v>163</v>
      </c>
      <c r="D1980" s="38"/>
      <c r="E1980" s="39"/>
      <c r="F1980" s="22" t="n">
        <f aca="false">IFERROR(D1980*E1980,0)</f>
        <v>0</v>
      </c>
      <c r="G1980" s="16" t="str">
        <f aca="false">INDEX(SETORES!$B:$B,MATCH(A1980,SETORES!$A:$A,0))</f>
        <v>Clientes</v>
      </c>
      <c r="H1980" s="16" t="s">
        <v>88</v>
      </c>
    </row>
    <row r="1981" customFormat="false" ht="14.25" hidden="true" customHeight="true" outlineLevel="0" collapsed="false">
      <c r="A1981" s="16" t="s">
        <v>37</v>
      </c>
      <c r="B1981" s="16" t="s">
        <v>162</v>
      </c>
      <c r="C1981" s="16" t="s">
        <v>164</v>
      </c>
      <c r="D1981" s="38"/>
      <c r="E1981" s="39"/>
      <c r="F1981" s="22" t="n">
        <f aca="false">IFERROR(D1981*E1981,0)</f>
        <v>0</v>
      </c>
      <c r="G1981" s="16" t="str">
        <f aca="false">INDEX(SETORES!$B:$B,MATCH(A1981,SETORES!$A:$A,0))</f>
        <v>Clientes</v>
      </c>
      <c r="H1981" s="16" t="s">
        <v>88</v>
      </c>
    </row>
    <row r="1982" customFormat="false" ht="14.25" hidden="true" customHeight="true" outlineLevel="0" collapsed="false">
      <c r="A1982" s="16" t="s">
        <v>37</v>
      </c>
      <c r="B1982" s="16" t="s">
        <v>162</v>
      </c>
      <c r="C1982" s="16" t="s">
        <v>222</v>
      </c>
      <c r="D1982" s="38"/>
      <c r="E1982" s="39"/>
      <c r="F1982" s="22" t="n">
        <f aca="false">IFERROR(D1982*E1982,0)</f>
        <v>0</v>
      </c>
      <c r="G1982" s="16" t="str">
        <f aca="false">INDEX(SETORES!$B:$B,MATCH(A1982,SETORES!$A:$A,0))</f>
        <v>Clientes</v>
      </c>
      <c r="H1982" s="16" t="s">
        <v>88</v>
      </c>
    </row>
    <row r="1983" customFormat="false" ht="14.25" hidden="true" customHeight="true" outlineLevel="0" collapsed="false">
      <c r="A1983" s="16" t="s">
        <v>37</v>
      </c>
      <c r="B1983" s="16" t="s">
        <v>155</v>
      </c>
      <c r="C1983" s="16" t="s">
        <v>166</v>
      </c>
      <c r="D1983" s="38" t="n">
        <v>42</v>
      </c>
      <c r="E1983" s="39" t="n">
        <v>50</v>
      </c>
      <c r="F1983" s="22" t="n">
        <f aca="false">IFERROR(D1983*E1983,0)</f>
        <v>2100</v>
      </c>
      <c r="G1983" s="16" t="str">
        <f aca="false">INDEX(SETORES!$B:$B,MATCH(A1983,SETORES!$A:$A,0))</f>
        <v>Clientes</v>
      </c>
      <c r="H1983" s="16" t="s">
        <v>88</v>
      </c>
    </row>
    <row r="1984" customFormat="false" ht="14.25" hidden="true" customHeight="true" outlineLevel="0" collapsed="false">
      <c r="A1984" s="16" t="s">
        <v>37</v>
      </c>
      <c r="B1984" s="16" t="s">
        <v>155</v>
      </c>
      <c r="C1984" s="16" t="s">
        <v>187</v>
      </c>
      <c r="D1984" s="38"/>
      <c r="E1984" s="39"/>
      <c r="F1984" s="22" t="n">
        <f aca="false">IFERROR(D1984*E1984,0)</f>
        <v>0</v>
      </c>
      <c r="G1984" s="16" t="str">
        <f aca="false">INDEX(SETORES!$B:$B,MATCH(A1984,SETORES!$A:$A,0))</f>
        <v>Clientes</v>
      </c>
      <c r="H1984" s="16" t="s">
        <v>88</v>
      </c>
    </row>
    <row r="1985" customFormat="false" ht="14.25" hidden="true" customHeight="true" outlineLevel="0" collapsed="false">
      <c r="A1985" s="16" t="s">
        <v>37</v>
      </c>
      <c r="B1985" s="16" t="s">
        <v>155</v>
      </c>
      <c r="C1985" s="16" t="s">
        <v>240</v>
      </c>
      <c r="D1985" s="38"/>
      <c r="E1985" s="39"/>
      <c r="F1985" s="22" t="n">
        <f aca="false">IFERROR(D1985*E1985,0)</f>
        <v>0</v>
      </c>
      <c r="G1985" s="16" t="str">
        <f aca="false">INDEX(SETORES!$B:$B,MATCH(A1985,SETORES!$A:$A,0))</f>
        <v>Clientes</v>
      </c>
      <c r="H1985" s="16" t="s">
        <v>88</v>
      </c>
    </row>
    <row r="1986" customFormat="false" ht="14.25" hidden="true" customHeight="true" outlineLevel="0" collapsed="false">
      <c r="A1986" s="16" t="s">
        <v>37</v>
      </c>
      <c r="B1986" s="16" t="s">
        <v>155</v>
      </c>
      <c r="C1986" s="16" t="s">
        <v>167</v>
      </c>
      <c r="D1986" s="38"/>
      <c r="E1986" s="39"/>
      <c r="F1986" s="22" t="n">
        <f aca="false">IFERROR(D1986*E1986,0)</f>
        <v>0</v>
      </c>
      <c r="G1986" s="16" t="str">
        <f aca="false">INDEX(SETORES!$B:$B,MATCH(A1986,SETORES!$A:$A,0))</f>
        <v>Clientes</v>
      </c>
      <c r="H1986" s="16" t="s">
        <v>88</v>
      </c>
    </row>
    <row r="1987" customFormat="false" ht="14.25" hidden="true" customHeight="true" outlineLevel="0" collapsed="false">
      <c r="A1987" s="16" t="s">
        <v>37</v>
      </c>
      <c r="B1987" s="16" t="s">
        <v>155</v>
      </c>
      <c r="C1987" s="16" t="s">
        <v>168</v>
      </c>
      <c r="D1987" s="38" t="n">
        <v>42</v>
      </c>
      <c r="E1987" s="39" t="n">
        <v>1.87</v>
      </c>
      <c r="F1987" s="22" t="n">
        <f aca="false">IFERROR(D1987*E1987,0)</f>
        <v>78.54</v>
      </c>
      <c r="G1987" s="16" t="str">
        <f aca="false">INDEX(SETORES!$B:$B,MATCH(A1987,SETORES!$A:$A,0))</f>
        <v>Clientes</v>
      </c>
      <c r="H1987" s="16" t="s">
        <v>88</v>
      </c>
    </row>
    <row r="1988" customFormat="false" ht="14.25" hidden="true" customHeight="true" outlineLevel="0" collapsed="false">
      <c r="A1988" s="16" t="s">
        <v>46</v>
      </c>
      <c r="B1988" s="16" t="s">
        <v>155</v>
      </c>
      <c r="C1988" s="16" t="s">
        <v>160</v>
      </c>
      <c r="D1988" s="38"/>
      <c r="E1988" s="39"/>
      <c r="F1988" s="22" t="n">
        <f aca="false">IFERROR(D1988*E1988,0)</f>
        <v>0</v>
      </c>
      <c r="G1988" s="16" t="str">
        <f aca="false">INDEX(SETORES!$B:$B,MATCH(A1988,SETORES!$A:$A,0))</f>
        <v>Clientes</v>
      </c>
      <c r="H1988" s="16" t="s">
        <v>88</v>
      </c>
    </row>
    <row r="1989" customFormat="false" ht="14.25" hidden="true" customHeight="true" outlineLevel="0" collapsed="false">
      <c r="A1989" s="16" t="s">
        <v>46</v>
      </c>
      <c r="B1989" s="16" t="s">
        <v>155</v>
      </c>
      <c r="C1989" s="16" t="s">
        <v>161</v>
      </c>
      <c r="D1989" s="38" t="n">
        <v>1</v>
      </c>
      <c r="E1989" s="39" t="n">
        <v>155833.72</v>
      </c>
      <c r="F1989" s="22" t="n">
        <f aca="false">IFERROR(D1989*E1989,0)</f>
        <v>155833.72</v>
      </c>
      <c r="G1989" s="16" t="str">
        <f aca="false">INDEX(SETORES!$B:$B,MATCH(A1989,SETORES!$A:$A,0))</f>
        <v>Clientes</v>
      </c>
      <c r="H1989" s="16" t="s">
        <v>88</v>
      </c>
    </row>
    <row r="1990" customFormat="false" ht="14.25" hidden="true" customHeight="true" outlineLevel="0" collapsed="false">
      <c r="A1990" s="16" t="s">
        <v>46</v>
      </c>
      <c r="B1990" s="16" t="s">
        <v>162</v>
      </c>
      <c r="C1990" s="16" t="s">
        <v>218</v>
      </c>
      <c r="D1990" s="38"/>
      <c r="E1990" s="39"/>
      <c r="F1990" s="22" t="n">
        <f aca="false">IFERROR(D1990*E1990,0)</f>
        <v>0</v>
      </c>
      <c r="G1990" s="16" t="str">
        <f aca="false">INDEX(SETORES!$B:$B,MATCH(A1990,SETORES!$A:$A,0))</f>
        <v>Clientes</v>
      </c>
      <c r="H1990" s="16" t="s">
        <v>88</v>
      </c>
    </row>
    <row r="1991" customFormat="false" ht="14.25" hidden="true" customHeight="true" outlineLevel="0" collapsed="false">
      <c r="A1991" s="16" t="s">
        <v>46</v>
      </c>
      <c r="B1991" s="16" t="s">
        <v>162</v>
      </c>
      <c r="C1991" s="16" t="s">
        <v>221</v>
      </c>
      <c r="D1991" s="38"/>
      <c r="E1991" s="39"/>
      <c r="F1991" s="22" t="n">
        <f aca="false">IFERROR(D1991*E1991,0)</f>
        <v>0</v>
      </c>
      <c r="G1991" s="16" t="str">
        <f aca="false">INDEX(SETORES!$B:$B,MATCH(A1991,SETORES!$A:$A,0))</f>
        <v>Clientes</v>
      </c>
      <c r="H1991" s="16" t="s">
        <v>88</v>
      </c>
    </row>
    <row r="1992" customFormat="false" ht="14.25" hidden="true" customHeight="true" outlineLevel="0" collapsed="false">
      <c r="A1992" s="16" t="s">
        <v>46</v>
      </c>
      <c r="B1992" s="16" t="s">
        <v>162</v>
      </c>
      <c r="C1992" s="16" t="s">
        <v>222</v>
      </c>
      <c r="D1992" s="38"/>
      <c r="E1992" s="39"/>
      <c r="F1992" s="22" t="n">
        <f aca="false">IFERROR(D1992*E1992,0)</f>
        <v>0</v>
      </c>
      <c r="G1992" s="16" t="str">
        <f aca="false">INDEX(SETORES!$B:$B,MATCH(A1992,SETORES!$A:$A,0))</f>
        <v>Clientes</v>
      </c>
      <c r="H1992" s="16" t="s">
        <v>88</v>
      </c>
    </row>
    <row r="1993" customFormat="false" ht="14.25" hidden="true" customHeight="true" outlineLevel="0" collapsed="false">
      <c r="A1993" s="16" t="s">
        <v>46</v>
      </c>
      <c r="B1993" s="16" t="s">
        <v>155</v>
      </c>
      <c r="C1993" s="16" t="s">
        <v>166</v>
      </c>
      <c r="D1993" s="38" t="n">
        <v>24</v>
      </c>
      <c r="E1993" s="39" t="n">
        <v>50</v>
      </c>
      <c r="F1993" s="22" t="n">
        <f aca="false">IFERROR(D1993*E1993,0)</f>
        <v>1200</v>
      </c>
      <c r="G1993" s="16" t="str">
        <f aca="false">INDEX(SETORES!$B:$B,MATCH(A1993,SETORES!$A:$A,0))</f>
        <v>Clientes</v>
      </c>
      <c r="H1993" s="16" t="s">
        <v>88</v>
      </c>
    </row>
    <row r="1994" customFormat="false" ht="14.25" hidden="true" customHeight="true" outlineLevel="0" collapsed="false">
      <c r="A1994" s="16" t="s">
        <v>46</v>
      </c>
      <c r="B1994" s="16" t="s">
        <v>162</v>
      </c>
      <c r="C1994" s="16" t="s">
        <v>217</v>
      </c>
      <c r="D1994" s="38"/>
      <c r="E1994" s="39"/>
      <c r="F1994" s="22" t="n">
        <f aca="false">IFERROR(D1994*E1994,0)</f>
        <v>0</v>
      </c>
      <c r="G1994" s="16" t="str">
        <f aca="false">INDEX(SETORES!$B:$B,MATCH(A1994,SETORES!$A:$A,0))</f>
        <v>Clientes</v>
      </c>
      <c r="H1994" s="16" t="s">
        <v>88</v>
      </c>
    </row>
    <row r="1995" customFormat="false" ht="14.25" hidden="true" customHeight="true" outlineLevel="0" collapsed="false">
      <c r="A1995" s="16" t="s">
        <v>46</v>
      </c>
      <c r="B1995" s="16" t="s">
        <v>155</v>
      </c>
      <c r="C1995" s="16" t="s">
        <v>167</v>
      </c>
      <c r="D1995" s="38"/>
      <c r="E1995" s="39"/>
      <c r="F1995" s="22" t="n">
        <f aca="false">IFERROR(D1995*E1995,0)</f>
        <v>0</v>
      </c>
      <c r="G1995" s="16" t="str">
        <f aca="false">INDEX(SETORES!$B:$B,MATCH(A1995,SETORES!$A:$A,0))</f>
        <v>Clientes</v>
      </c>
      <c r="H1995" s="16" t="s">
        <v>88</v>
      </c>
    </row>
    <row r="1996" customFormat="false" ht="14.25" hidden="true" customHeight="true" outlineLevel="0" collapsed="false">
      <c r="A1996" s="16" t="s">
        <v>46</v>
      </c>
      <c r="B1996" s="16" t="s">
        <v>155</v>
      </c>
      <c r="C1996" s="16" t="s">
        <v>168</v>
      </c>
      <c r="D1996" s="38" t="n">
        <v>24</v>
      </c>
      <c r="E1996" s="39" t="n">
        <v>1.87</v>
      </c>
      <c r="F1996" s="22" t="n">
        <f aca="false">IFERROR(D1996*E1996,0)</f>
        <v>44.88</v>
      </c>
      <c r="G1996" s="16" t="str">
        <f aca="false">INDEX(SETORES!$B:$B,MATCH(A1996,SETORES!$A:$A,0))</f>
        <v>Clientes</v>
      </c>
      <c r="H1996" s="16" t="s">
        <v>88</v>
      </c>
    </row>
    <row r="1997" customFormat="false" ht="14.25" hidden="true" customHeight="true" outlineLevel="0" collapsed="false">
      <c r="A1997" s="16" t="s">
        <v>49</v>
      </c>
      <c r="B1997" s="16" t="s">
        <v>155</v>
      </c>
      <c r="C1997" s="16" t="s">
        <v>156</v>
      </c>
      <c r="D1997" s="38"/>
      <c r="E1997" s="39"/>
      <c r="F1997" s="22" t="n">
        <f aca="false">IFERROR(D1997*E1997,0)</f>
        <v>0</v>
      </c>
      <c r="G1997" s="16" t="str">
        <f aca="false">INDEX(SETORES!$B:$B,MATCH(A1997,SETORES!$A:$A,0))</f>
        <v>Clientes</v>
      </c>
      <c r="H1997" s="16" t="s">
        <v>88</v>
      </c>
    </row>
    <row r="1998" customFormat="false" ht="14.25" hidden="true" customHeight="true" outlineLevel="0" collapsed="false">
      <c r="A1998" s="16" t="s">
        <v>49</v>
      </c>
      <c r="B1998" s="16" t="s">
        <v>155</v>
      </c>
      <c r="C1998" s="16" t="s">
        <v>157</v>
      </c>
      <c r="D1998" s="38"/>
      <c r="E1998" s="39"/>
      <c r="F1998" s="22" t="n">
        <f aca="false">IFERROR(D1998*E1998,0)</f>
        <v>0</v>
      </c>
      <c r="G1998" s="16" t="str">
        <f aca="false">INDEX(SETORES!$B:$B,MATCH(A1998,SETORES!$A:$A,0))</f>
        <v>Clientes</v>
      </c>
      <c r="H1998" s="16" t="s">
        <v>88</v>
      </c>
    </row>
    <row r="1999" customFormat="false" ht="14.25" hidden="true" customHeight="true" outlineLevel="0" collapsed="false">
      <c r="A1999" s="16" t="s">
        <v>49</v>
      </c>
      <c r="B1999" s="16" t="s">
        <v>155</v>
      </c>
      <c r="C1999" s="16" t="s">
        <v>224</v>
      </c>
      <c r="D1999" s="38" t="n">
        <v>1</v>
      </c>
      <c r="E1999" s="39" t="n">
        <v>1800</v>
      </c>
      <c r="F1999" s="22" t="n">
        <f aca="false">IFERROR(D1999*E1999,0)</f>
        <v>1800</v>
      </c>
      <c r="G1999" s="16" t="str">
        <f aca="false">INDEX(SETORES!$B:$B,MATCH(A1999,SETORES!$A:$A,0))</f>
        <v>Clientes</v>
      </c>
      <c r="H1999" s="16" t="s">
        <v>88</v>
      </c>
    </row>
    <row r="2000" customFormat="false" ht="14.25" hidden="true" customHeight="true" outlineLevel="0" collapsed="false">
      <c r="A2000" s="16" t="s">
        <v>49</v>
      </c>
      <c r="B2000" s="16" t="s">
        <v>155</v>
      </c>
      <c r="C2000" s="16" t="s">
        <v>158</v>
      </c>
      <c r="D2000" s="38"/>
      <c r="E2000" s="39"/>
      <c r="F2000" s="22" t="n">
        <f aca="false">IFERROR(D2000*E2000,0)</f>
        <v>0</v>
      </c>
      <c r="G2000" s="16" t="str">
        <f aca="false">INDEX(SETORES!$B:$B,MATCH(A2000,SETORES!$A:$A,0))</f>
        <v>Clientes</v>
      </c>
      <c r="H2000" s="16" t="s">
        <v>88</v>
      </c>
    </row>
    <row r="2001" customFormat="false" ht="14.25" hidden="true" customHeight="true" outlineLevel="0" collapsed="false">
      <c r="A2001" s="16" t="s">
        <v>49</v>
      </c>
      <c r="B2001" s="16" t="s">
        <v>155</v>
      </c>
      <c r="C2001" s="16" t="s">
        <v>159</v>
      </c>
      <c r="D2001" s="38"/>
      <c r="E2001" s="39"/>
      <c r="F2001" s="22" t="n">
        <f aca="false">IFERROR(D2001*E2001,0)</f>
        <v>0</v>
      </c>
      <c r="G2001" s="16" t="str">
        <f aca="false">INDEX(SETORES!$B:$B,MATCH(A2001,SETORES!$A:$A,0))</f>
        <v>Clientes</v>
      </c>
      <c r="H2001" s="16" t="s">
        <v>88</v>
      </c>
    </row>
    <row r="2002" customFormat="false" ht="14.25" hidden="true" customHeight="true" outlineLevel="0" collapsed="false">
      <c r="A2002" s="16" t="s">
        <v>49</v>
      </c>
      <c r="B2002" s="16" t="s">
        <v>155</v>
      </c>
      <c r="C2002" s="16" t="s">
        <v>160</v>
      </c>
      <c r="D2002" s="38"/>
      <c r="E2002" s="39"/>
      <c r="F2002" s="22" t="n">
        <f aca="false">IFERROR(D2002*E2002,0)</f>
        <v>0</v>
      </c>
      <c r="G2002" s="16" t="str">
        <f aca="false">INDEX(SETORES!$B:$B,MATCH(A2002,SETORES!$A:$A,0))</f>
        <v>Clientes</v>
      </c>
      <c r="H2002" s="16" t="s">
        <v>88</v>
      </c>
    </row>
    <row r="2003" customFormat="false" ht="14.25" hidden="true" customHeight="true" outlineLevel="0" collapsed="false">
      <c r="A2003" s="16" t="s">
        <v>49</v>
      </c>
      <c r="B2003" s="16" t="s">
        <v>155</v>
      </c>
      <c r="C2003" s="16" t="s">
        <v>161</v>
      </c>
      <c r="D2003" s="38" t="n">
        <v>1</v>
      </c>
      <c r="E2003" s="39" t="n">
        <v>25793.59</v>
      </c>
      <c r="F2003" s="22" t="n">
        <f aca="false">IFERROR(D2003*E2003,0)</f>
        <v>25793.59</v>
      </c>
      <c r="G2003" s="16" t="str">
        <f aca="false">INDEX(SETORES!$B:$B,MATCH(A2003,SETORES!$A:$A,0))</f>
        <v>Clientes</v>
      </c>
      <c r="H2003" s="16" t="s">
        <v>88</v>
      </c>
    </row>
    <row r="2004" customFormat="false" ht="14.25" hidden="true" customHeight="true" outlineLevel="0" collapsed="false">
      <c r="A2004" s="16" t="s">
        <v>49</v>
      </c>
      <c r="B2004" s="16" t="s">
        <v>162</v>
      </c>
      <c r="C2004" s="16" t="s">
        <v>217</v>
      </c>
      <c r="D2004" s="38"/>
      <c r="E2004" s="39"/>
      <c r="F2004" s="22" t="n">
        <f aca="false">IFERROR(D2004*E2004,0)</f>
        <v>0</v>
      </c>
      <c r="G2004" s="16" t="str">
        <f aca="false">INDEX(SETORES!$B:$B,MATCH(A2004,SETORES!$A:$A,0))</f>
        <v>Clientes</v>
      </c>
      <c r="H2004" s="16" t="s">
        <v>88</v>
      </c>
    </row>
    <row r="2005" customFormat="false" ht="14.25" hidden="true" customHeight="true" outlineLevel="0" collapsed="false">
      <c r="A2005" s="16" t="s">
        <v>49</v>
      </c>
      <c r="B2005" s="16" t="s">
        <v>162</v>
      </c>
      <c r="C2005" s="16" t="s">
        <v>220</v>
      </c>
      <c r="D2005" s="38"/>
      <c r="E2005" s="39"/>
      <c r="F2005" s="22" t="n">
        <f aca="false">IFERROR(D2005*E2005,0)</f>
        <v>0</v>
      </c>
      <c r="G2005" s="16" t="str">
        <f aca="false">INDEX(SETORES!$B:$B,MATCH(A2005,SETORES!$A:$A,0))</f>
        <v>Clientes</v>
      </c>
      <c r="H2005" s="16" t="s">
        <v>88</v>
      </c>
    </row>
    <row r="2006" customFormat="false" ht="14.25" hidden="true" customHeight="true" outlineLevel="0" collapsed="false">
      <c r="A2006" s="16" t="s">
        <v>49</v>
      </c>
      <c r="B2006" s="16" t="s">
        <v>162</v>
      </c>
      <c r="C2006" s="16" t="s">
        <v>209</v>
      </c>
      <c r="D2006" s="38"/>
      <c r="E2006" s="39"/>
      <c r="F2006" s="22" t="n">
        <f aca="false">IFERROR(D2006*E2006,0)</f>
        <v>0</v>
      </c>
      <c r="G2006" s="16" t="str">
        <f aca="false">INDEX(SETORES!$B:$B,MATCH(A2006,SETORES!$A:$A,0))</f>
        <v>Clientes</v>
      </c>
      <c r="H2006" s="16" t="s">
        <v>88</v>
      </c>
    </row>
    <row r="2007" customFormat="false" ht="14.25" hidden="true" customHeight="true" outlineLevel="0" collapsed="false">
      <c r="A2007" s="16" t="s">
        <v>49</v>
      </c>
      <c r="B2007" s="16" t="s">
        <v>155</v>
      </c>
      <c r="C2007" s="16" t="s">
        <v>167</v>
      </c>
      <c r="D2007" s="38"/>
      <c r="E2007" s="39"/>
      <c r="F2007" s="22" t="n">
        <f aca="false">IFERROR(D2007*E2007,0)</f>
        <v>0</v>
      </c>
      <c r="G2007" s="16" t="str">
        <f aca="false">INDEX(SETORES!$B:$B,MATCH(A2007,SETORES!$A:$A,0))</f>
        <v>Clientes</v>
      </c>
      <c r="H2007" s="16" t="s">
        <v>88</v>
      </c>
    </row>
    <row r="2008" customFormat="false" ht="14.25" hidden="true" customHeight="true" outlineLevel="0" collapsed="false">
      <c r="A2008" s="16" t="s">
        <v>49</v>
      </c>
      <c r="B2008" s="16" t="s">
        <v>155</v>
      </c>
      <c r="C2008" s="16" t="s">
        <v>168</v>
      </c>
      <c r="D2008" s="38" t="n">
        <v>4</v>
      </c>
      <c r="E2008" s="39" t="n">
        <v>1.87</v>
      </c>
      <c r="F2008" s="22" t="n">
        <f aca="false">IFERROR(D2008*E2008,0)</f>
        <v>7.48</v>
      </c>
      <c r="G2008" s="16" t="str">
        <f aca="false">INDEX(SETORES!$B:$B,MATCH(A2008,SETORES!$A:$A,0))</f>
        <v>Clientes</v>
      </c>
      <c r="H2008" s="16" t="s">
        <v>88</v>
      </c>
    </row>
    <row r="2009" customFormat="false" ht="14.25" hidden="true" customHeight="true" outlineLevel="0" collapsed="false">
      <c r="A2009" s="16" t="s">
        <v>32</v>
      </c>
      <c r="B2009" s="16" t="s">
        <v>155</v>
      </c>
      <c r="C2009" s="16" t="s">
        <v>156</v>
      </c>
      <c r="D2009" s="38" t="n">
        <v>1</v>
      </c>
      <c r="E2009" s="39" t="n">
        <v>9.85</v>
      </c>
      <c r="F2009" s="22" t="n">
        <f aca="false">IFERROR(D2009*E2009,0)</f>
        <v>9.85</v>
      </c>
      <c r="G2009" s="16" t="str">
        <f aca="false">INDEX(SETORES!$B:$B,MATCH(A2009,SETORES!$A:$A,0))</f>
        <v>Funcionários</v>
      </c>
      <c r="H2009" s="16" t="s">
        <v>88</v>
      </c>
    </row>
    <row r="2010" customFormat="false" ht="14.25" hidden="true" customHeight="true" outlineLevel="0" collapsed="false">
      <c r="A2010" s="16" t="s">
        <v>32</v>
      </c>
      <c r="B2010" s="16" t="s">
        <v>155</v>
      </c>
      <c r="C2010" s="16" t="s">
        <v>157</v>
      </c>
      <c r="D2010" s="38" t="n">
        <v>1</v>
      </c>
      <c r="E2010" s="39" t="n">
        <v>167.98</v>
      </c>
      <c r="F2010" s="22" t="n">
        <f aca="false">IFERROR(D2010*E2010,0)</f>
        <v>167.98</v>
      </c>
      <c r="G2010" s="16" t="str">
        <f aca="false">INDEX(SETORES!$B:$B,MATCH(A2010,SETORES!$A:$A,0))</f>
        <v>Funcionários</v>
      </c>
      <c r="H2010" s="16" t="s">
        <v>88</v>
      </c>
    </row>
    <row r="2011" customFormat="false" ht="14.25" hidden="true" customHeight="true" outlineLevel="0" collapsed="false">
      <c r="A2011" s="16" t="s">
        <v>32</v>
      </c>
      <c r="B2011" s="16" t="s">
        <v>155</v>
      </c>
      <c r="C2011" s="16" t="s">
        <v>158</v>
      </c>
      <c r="D2011" s="38"/>
      <c r="E2011" s="39"/>
      <c r="F2011" s="22" t="n">
        <f aca="false">IFERROR(D2011*E2011,0)</f>
        <v>0</v>
      </c>
      <c r="G2011" s="16" t="str">
        <f aca="false">INDEX(SETORES!$B:$B,MATCH(A2011,SETORES!$A:$A,0))</f>
        <v>Funcionários</v>
      </c>
      <c r="H2011" s="16" t="s">
        <v>88</v>
      </c>
    </row>
    <row r="2012" customFormat="false" ht="14.25" hidden="true" customHeight="true" outlineLevel="0" collapsed="false">
      <c r="A2012" s="16" t="s">
        <v>32</v>
      </c>
      <c r="B2012" s="16" t="s">
        <v>155</v>
      </c>
      <c r="C2012" s="16" t="s">
        <v>159</v>
      </c>
      <c r="D2012" s="38"/>
      <c r="E2012" s="39"/>
      <c r="F2012" s="22" t="n">
        <f aca="false">IFERROR(D2012*E2012,0)</f>
        <v>0</v>
      </c>
      <c r="G2012" s="16" t="str">
        <f aca="false">INDEX(SETORES!$B:$B,MATCH(A2012,SETORES!$A:$A,0))</f>
        <v>Funcionários</v>
      </c>
      <c r="H2012" s="16" t="s">
        <v>88</v>
      </c>
    </row>
    <row r="2013" customFormat="false" ht="14.25" hidden="true" customHeight="true" outlineLevel="0" collapsed="false">
      <c r="A2013" s="16" t="s">
        <v>32</v>
      </c>
      <c r="B2013" s="16" t="s">
        <v>155</v>
      </c>
      <c r="C2013" s="16" t="s">
        <v>160</v>
      </c>
      <c r="D2013" s="38"/>
      <c r="E2013" s="39"/>
      <c r="F2013" s="22" t="n">
        <f aca="false">IFERROR(D2013*E2013,0)</f>
        <v>0</v>
      </c>
      <c r="G2013" s="16" t="str">
        <f aca="false">INDEX(SETORES!$B:$B,MATCH(A2013,SETORES!$A:$A,0))</f>
        <v>Funcionários</v>
      </c>
      <c r="H2013" s="16" t="s">
        <v>88</v>
      </c>
    </row>
    <row r="2014" customFormat="false" ht="14.25" hidden="true" customHeight="true" outlineLevel="0" collapsed="false">
      <c r="A2014" s="16" t="s">
        <v>32</v>
      </c>
      <c r="B2014" s="16" t="s">
        <v>155</v>
      </c>
      <c r="C2014" s="16" t="s">
        <v>161</v>
      </c>
      <c r="D2014" s="38" t="n">
        <v>1</v>
      </c>
      <c r="E2014" s="39" t="n">
        <v>30326.87</v>
      </c>
      <c r="F2014" s="22" t="n">
        <f aca="false">IFERROR(D2014*E2014,0)</f>
        <v>30326.87</v>
      </c>
      <c r="G2014" s="16" t="str">
        <f aca="false">INDEX(SETORES!$B:$B,MATCH(A2014,SETORES!$A:$A,0))</f>
        <v>Funcionários</v>
      </c>
      <c r="H2014" s="16" t="s">
        <v>88</v>
      </c>
    </row>
    <row r="2015" customFormat="false" ht="14.25" hidden="true" customHeight="true" outlineLevel="0" collapsed="false">
      <c r="A2015" s="16" t="s">
        <v>32</v>
      </c>
      <c r="B2015" s="16" t="s">
        <v>162</v>
      </c>
      <c r="C2015" s="16" t="s">
        <v>225</v>
      </c>
      <c r="D2015" s="38"/>
      <c r="E2015" s="39"/>
      <c r="F2015" s="22" t="n">
        <f aca="false">IFERROR(D2015*E2015,0)</f>
        <v>0</v>
      </c>
      <c r="G2015" s="16" t="str">
        <f aca="false">INDEX(SETORES!$B:$B,MATCH(A2015,SETORES!$A:$A,0))</f>
        <v>Funcionários</v>
      </c>
      <c r="H2015" s="16" t="s">
        <v>88</v>
      </c>
    </row>
    <row r="2016" customFormat="false" ht="14.25" hidden="true" customHeight="true" outlineLevel="0" collapsed="false">
      <c r="A2016" s="16" t="s">
        <v>32</v>
      </c>
      <c r="B2016" s="16" t="s">
        <v>162</v>
      </c>
      <c r="C2016" s="16" t="s">
        <v>226</v>
      </c>
      <c r="D2016" s="38"/>
      <c r="E2016" s="39"/>
      <c r="F2016" s="22" t="n">
        <f aca="false">IFERROR(D2016*E2016,0)</f>
        <v>0</v>
      </c>
      <c r="G2016" s="16" t="str">
        <f aca="false">INDEX(SETORES!$B:$B,MATCH(A2016,SETORES!$A:$A,0))</f>
        <v>Funcionários</v>
      </c>
      <c r="H2016" s="16" t="s">
        <v>88</v>
      </c>
    </row>
    <row r="2017" customFormat="false" ht="14.25" hidden="true" customHeight="true" outlineLevel="0" collapsed="false">
      <c r="A2017" s="16" t="s">
        <v>32</v>
      </c>
      <c r="B2017" s="16" t="s">
        <v>155</v>
      </c>
      <c r="C2017" s="16" t="s">
        <v>227</v>
      </c>
      <c r="D2017" s="38"/>
      <c r="E2017" s="39"/>
      <c r="F2017" s="22" t="n">
        <f aca="false">IFERROR(D2017*E2017,0)</f>
        <v>0</v>
      </c>
      <c r="G2017" s="16" t="str">
        <f aca="false">INDEX(SETORES!$B:$B,MATCH(A2017,SETORES!$A:$A,0))</f>
        <v>Funcionários</v>
      </c>
      <c r="H2017" s="16" t="s">
        <v>88</v>
      </c>
    </row>
    <row r="2018" customFormat="false" ht="14.25" hidden="true" customHeight="true" outlineLevel="0" collapsed="false">
      <c r="A2018" s="16" t="s">
        <v>32</v>
      </c>
      <c r="B2018" s="16" t="s">
        <v>162</v>
      </c>
      <c r="C2018" s="16" t="s">
        <v>228</v>
      </c>
      <c r="D2018" s="38"/>
      <c r="E2018" s="39"/>
      <c r="F2018" s="22" t="n">
        <f aca="false">IFERROR(D2018*E2018,0)</f>
        <v>0</v>
      </c>
      <c r="G2018" s="16" t="str">
        <f aca="false">INDEX(SETORES!$B:$B,MATCH(A2018,SETORES!$A:$A,0))</f>
        <v>Funcionários</v>
      </c>
      <c r="H2018" s="16" t="s">
        <v>88</v>
      </c>
    </row>
    <row r="2019" customFormat="false" ht="14.25" hidden="true" customHeight="true" outlineLevel="0" collapsed="false">
      <c r="A2019" s="16" t="s">
        <v>32</v>
      </c>
      <c r="B2019" s="16" t="s">
        <v>155</v>
      </c>
      <c r="C2019" s="16" t="s">
        <v>229</v>
      </c>
      <c r="D2019" s="38"/>
      <c r="E2019" s="39"/>
      <c r="F2019" s="22" t="n">
        <f aca="false">IFERROR(D2019*E2019,0)</f>
        <v>0</v>
      </c>
      <c r="G2019" s="16" t="str">
        <f aca="false">INDEX(SETORES!$B:$B,MATCH(A2019,SETORES!$A:$A,0))</f>
        <v>Funcionários</v>
      </c>
      <c r="H2019" s="16" t="s">
        <v>88</v>
      </c>
    </row>
    <row r="2020" customFormat="false" ht="14.25" hidden="true" customHeight="true" outlineLevel="0" collapsed="false">
      <c r="A2020" s="16" t="s">
        <v>32</v>
      </c>
      <c r="B2020" s="16" t="s">
        <v>155</v>
      </c>
      <c r="C2020" s="16" t="s">
        <v>230</v>
      </c>
      <c r="D2020" s="38"/>
      <c r="E2020" s="39"/>
      <c r="F2020" s="22" t="n">
        <f aca="false">IFERROR(D2020*E2020,0)</f>
        <v>0</v>
      </c>
      <c r="G2020" s="16" t="str">
        <f aca="false">INDEX(SETORES!$B:$B,MATCH(A2020,SETORES!$A:$A,0))</f>
        <v>Funcionários</v>
      </c>
      <c r="H2020" s="16" t="s">
        <v>88</v>
      </c>
    </row>
    <row r="2021" customFormat="false" ht="14.25" hidden="true" customHeight="true" outlineLevel="0" collapsed="false">
      <c r="A2021" s="16" t="s">
        <v>32</v>
      </c>
      <c r="B2021" s="16" t="s">
        <v>155</v>
      </c>
      <c r="C2021" s="16" t="s">
        <v>166</v>
      </c>
      <c r="D2021" s="38" t="n">
        <v>6</v>
      </c>
      <c r="E2021" s="39" t="n">
        <v>50</v>
      </c>
      <c r="F2021" s="22" t="n">
        <f aca="false">IFERROR(D2021*E2021,0)</f>
        <v>300</v>
      </c>
      <c r="G2021" s="16" t="str">
        <f aca="false">INDEX(SETORES!$B:$B,MATCH(A2021,SETORES!$A:$A,0))</f>
        <v>Funcionários</v>
      </c>
      <c r="H2021" s="16" t="s">
        <v>88</v>
      </c>
    </row>
    <row r="2022" customFormat="false" ht="14.25" hidden="true" customHeight="true" outlineLevel="0" collapsed="false">
      <c r="A2022" s="16" t="s">
        <v>32</v>
      </c>
      <c r="B2022" s="16" t="s">
        <v>155</v>
      </c>
      <c r="C2022" s="16" t="s">
        <v>238</v>
      </c>
      <c r="D2022" s="38"/>
      <c r="E2022" s="39"/>
      <c r="F2022" s="22" t="n">
        <f aca="false">IFERROR(D2022*E2022,0)</f>
        <v>0</v>
      </c>
      <c r="G2022" s="16" t="str">
        <f aca="false">INDEX(SETORES!$B:$B,MATCH(A2022,SETORES!$A:$A,0))</f>
        <v>Funcionários</v>
      </c>
      <c r="H2022" s="16" t="s">
        <v>88</v>
      </c>
    </row>
    <row r="2023" customFormat="false" ht="14.25" hidden="true" customHeight="true" outlineLevel="0" collapsed="false">
      <c r="A2023" s="16" t="s">
        <v>32</v>
      </c>
      <c r="B2023" s="16" t="s">
        <v>155</v>
      </c>
      <c r="C2023" s="16" t="s">
        <v>167</v>
      </c>
      <c r="D2023" s="38"/>
      <c r="E2023" s="39"/>
      <c r="F2023" s="22" t="n">
        <f aca="false">IFERROR(D2023*E2023,0)</f>
        <v>0</v>
      </c>
      <c r="G2023" s="16" t="str">
        <f aca="false">INDEX(SETORES!$B:$B,MATCH(A2023,SETORES!$A:$A,0))</f>
        <v>Funcionários</v>
      </c>
      <c r="H2023" s="16" t="s">
        <v>88</v>
      </c>
    </row>
    <row r="2024" customFormat="false" ht="14.25" hidden="true" customHeight="true" outlineLevel="0" collapsed="false">
      <c r="A2024" s="16" t="s">
        <v>32</v>
      </c>
      <c r="B2024" s="16" t="s">
        <v>155</v>
      </c>
      <c r="C2024" s="16" t="s">
        <v>168</v>
      </c>
      <c r="D2024" s="38" t="n">
        <v>6</v>
      </c>
      <c r="E2024" s="39" t="n">
        <v>1.87</v>
      </c>
      <c r="F2024" s="22" t="n">
        <f aca="false">IFERROR(D2024*E2024,0)</f>
        <v>11.22</v>
      </c>
      <c r="G2024" s="16" t="str">
        <f aca="false">INDEX(SETORES!$B:$B,MATCH(A2024,SETORES!$A:$A,0))</f>
        <v>Funcionários</v>
      </c>
      <c r="H2024" s="16" t="s">
        <v>88</v>
      </c>
    </row>
    <row r="2025" customFormat="false" ht="14.25" hidden="true" customHeight="true" outlineLevel="0" collapsed="false">
      <c r="A2025" s="16" t="s">
        <v>39</v>
      </c>
      <c r="B2025" s="16" t="s">
        <v>155</v>
      </c>
      <c r="C2025" s="16" t="s">
        <v>156</v>
      </c>
      <c r="D2025" s="38" t="n">
        <v>1</v>
      </c>
      <c r="E2025" s="39" t="n">
        <v>3.45</v>
      </c>
      <c r="F2025" s="22" t="n">
        <f aca="false">IFERROR(D2025*E2025,0)</f>
        <v>3.45</v>
      </c>
      <c r="G2025" s="16" t="str">
        <f aca="false">INDEX(SETORES!$B:$B,MATCH(A2025,SETORES!$A:$A,0))</f>
        <v>Clientes</v>
      </c>
      <c r="H2025" s="16" t="s">
        <v>88</v>
      </c>
    </row>
    <row r="2026" customFormat="false" ht="14.25" hidden="true" customHeight="true" outlineLevel="0" collapsed="false">
      <c r="A2026" s="16" t="s">
        <v>39</v>
      </c>
      <c r="B2026" s="16" t="s">
        <v>155</v>
      </c>
      <c r="C2026" s="16" t="s">
        <v>157</v>
      </c>
      <c r="D2026" s="38" t="n">
        <v>1</v>
      </c>
      <c r="E2026" s="39" t="n">
        <v>606.65</v>
      </c>
      <c r="F2026" s="22" t="n">
        <f aca="false">IFERROR(D2026*E2026,0)</f>
        <v>606.65</v>
      </c>
      <c r="G2026" s="16" t="str">
        <f aca="false">INDEX(SETORES!$B:$B,MATCH(A2026,SETORES!$A:$A,0))</f>
        <v>Clientes</v>
      </c>
      <c r="H2026" s="16" t="s">
        <v>88</v>
      </c>
    </row>
    <row r="2027" customFormat="false" ht="14.25" hidden="true" customHeight="true" outlineLevel="0" collapsed="false">
      <c r="A2027" s="16" t="s">
        <v>39</v>
      </c>
      <c r="B2027" s="16" t="s">
        <v>155</v>
      </c>
      <c r="C2027" s="16" t="s">
        <v>158</v>
      </c>
      <c r="D2027" s="38"/>
      <c r="E2027" s="39"/>
      <c r="F2027" s="22" t="n">
        <f aca="false">IFERROR(D2027*E2027,0)</f>
        <v>0</v>
      </c>
      <c r="G2027" s="16" t="str">
        <f aca="false">INDEX(SETORES!$B:$B,MATCH(A2027,SETORES!$A:$A,0))</f>
        <v>Clientes</v>
      </c>
      <c r="H2027" s="16" t="s">
        <v>88</v>
      </c>
    </row>
    <row r="2028" customFormat="false" ht="14.25" hidden="true" customHeight="true" outlineLevel="0" collapsed="false">
      <c r="A2028" s="16" t="s">
        <v>39</v>
      </c>
      <c r="B2028" s="16" t="s">
        <v>155</v>
      </c>
      <c r="C2028" s="16" t="s">
        <v>159</v>
      </c>
      <c r="D2028" s="38"/>
      <c r="E2028" s="39"/>
      <c r="F2028" s="22" t="n">
        <f aca="false">IFERROR(D2028*E2028,0)</f>
        <v>0</v>
      </c>
      <c r="G2028" s="16" t="str">
        <f aca="false">INDEX(SETORES!$B:$B,MATCH(A2028,SETORES!$A:$A,0))</f>
        <v>Clientes</v>
      </c>
      <c r="H2028" s="16" t="s">
        <v>88</v>
      </c>
    </row>
    <row r="2029" customFormat="false" ht="14.25" hidden="true" customHeight="true" outlineLevel="0" collapsed="false">
      <c r="A2029" s="16" t="s">
        <v>39</v>
      </c>
      <c r="B2029" s="16" t="s">
        <v>155</v>
      </c>
      <c r="C2029" s="16" t="s">
        <v>160</v>
      </c>
      <c r="D2029" s="38"/>
      <c r="E2029" s="39"/>
      <c r="F2029" s="22" t="n">
        <f aca="false">IFERROR(D2029*E2029,0)</f>
        <v>0</v>
      </c>
      <c r="G2029" s="16" t="str">
        <f aca="false">INDEX(SETORES!$B:$B,MATCH(A2029,SETORES!$A:$A,0))</f>
        <v>Clientes</v>
      </c>
      <c r="H2029" s="16" t="s">
        <v>88</v>
      </c>
    </row>
    <row r="2030" customFormat="false" ht="14.25" hidden="true" customHeight="true" outlineLevel="0" collapsed="false">
      <c r="A2030" s="16" t="s">
        <v>39</v>
      </c>
      <c r="B2030" s="16" t="s">
        <v>155</v>
      </c>
      <c r="C2030" s="16" t="s">
        <v>161</v>
      </c>
      <c r="D2030" s="38" t="n">
        <v>1</v>
      </c>
      <c r="E2030" s="39" t="n">
        <v>41989.1</v>
      </c>
      <c r="F2030" s="22" t="n">
        <f aca="false">IFERROR(D2030*E2030,0)</f>
        <v>41989.1</v>
      </c>
      <c r="G2030" s="16" t="str">
        <f aca="false">INDEX(SETORES!$B:$B,MATCH(A2030,SETORES!$A:$A,0))</f>
        <v>Clientes</v>
      </c>
      <c r="H2030" s="16" t="s">
        <v>88</v>
      </c>
    </row>
    <row r="2031" customFormat="false" ht="14.25" hidden="true" customHeight="true" outlineLevel="0" collapsed="false">
      <c r="A2031" s="16" t="s">
        <v>39</v>
      </c>
      <c r="B2031" s="16" t="s">
        <v>162</v>
      </c>
      <c r="C2031" s="16" t="s">
        <v>163</v>
      </c>
      <c r="D2031" s="38"/>
      <c r="E2031" s="39"/>
      <c r="F2031" s="22" t="n">
        <f aca="false">IFERROR(D2031*E2031,0)</f>
        <v>0</v>
      </c>
      <c r="G2031" s="16" t="str">
        <f aca="false">INDEX(SETORES!$B:$B,MATCH(A2031,SETORES!$A:$A,0))</f>
        <v>Clientes</v>
      </c>
      <c r="H2031" s="16" t="s">
        <v>88</v>
      </c>
    </row>
    <row r="2032" customFormat="false" ht="14.25" hidden="true" customHeight="true" outlineLevel="0" collapsed="false">
      <c r="A2032" s="16" t="s">
        <v>39</v>
      </c>
      <c r="B2032" s="16" t="s">
        <v>162</v>
      </c>
      <c r="C2032" s="16" t="s">
        <v>164</v>
      </c>
      <c r="D2032" s="38"/>
      <c r="E2032" s="39"/>
      <c r="F2032" s="22" t="n">
        <f aca="false">IFERROR(D2032*E2032,0)</f>
        <v>0</v>
      </c>
      <c r="G2032" s="16" t="str">
        <f aca="false">INDEX(SETORES!$B:$B,MATCH(A2032,SETORES!$A:$A,0))</f>
        <v>Clientes</v>
      </c>
      <c r="H2032" s="16" t="s">
        <v>88</v>
      </c>
    </row>
    <row r="2033" customFormat="false" ht="14.25" hidden="true" customHeight="true" outlineLevel="0" collapsed="false">
      <c r="A2033" s="16" t="s">
        <v>39</v>
      </c>
      <c r="B2033" s="16" t="s">
        <v>162</v>
      </c>
      <c r="C2033" s="16" t="s">
        <v>222</v>
      </c>
      <c r="D2033" s="38"/>
      <c r="E2033" s="39"/>
      <c r="F2033" s="22" t="n">
        <f aca="false">IFERROR(D2033*E2033,0)</f>
        <v>0</v>
      </c>
      <c r="G2033" s="16" t="str">
        <f aca="false">INDEX(SETORES!$B:$B,MATCH(A2033,SETORES!$A:$A,0))</f>
        <v>Clientes</v>
      </c>
      <c r="H2033" s="16" t="s">
        <v>88</v>
      </c>
    </row>
    <row r="2034" customFormat="false" ht="14.25" hidden="true" customHeight="true" outlineLevel="0" collapsed="false">
      <c r="A2034" s="16" t="s">
        <v>39</v>
      </c>
      <c r="B2034" s="16" t="s">
        <v>155</v>
      </c>
      <c r="C2034" s="16" t="s">
        <v>166</v>
      </c>
      <c r="D2034" s="38" t="n">
        <v>12</v>
      </c>
      <c r="E2034" s="39" t="n">
        <v>50</v>
      </c>
      <c r="F2034" s="22" t="n">
        <f aca="false">IFERROR(D2034*E2034,0)</f>
        <v>600</v>
      </c>
      <c r="G2034" s="16" t="str">
        <f aca="false">INDEX(SETORES!$B:$B,MATCH(A2034,SETORES!$A:$A,0))</f>
        <v>Clientes</v>
      </c>
      <c r="H2034" s="16" t="s">
        <v>88</v>
      </c>
    </row>
    <row r="2035" customFormat="false" ht="14.25" hidden="true" customHeight="true" outlineLevel="0" collapsed="false">
      <c r="A2035" s="16" t="s">
        <v>39</v>
      </c>
      <c r="B2035" s="16" t="s">
        <v>155</v>
      </c>
      <c r="C2035" s="16" t="s">
        <v>187</v>
      </c>
      <c r="D2035" s="38"/>
      <c r="E2035" s="39"/>
      <c r="F2035" s="22" t="n">
        <f aca="false">IFERROR(D2035*E2035,0)</f>
        <v>0</v>
      </c>
      <c r="G2035" s="16" t="str">
        <f aca="false">INDEX(SETORES!$B:$B,MATCH(A2035,SETORES!$A:$A,0))</f>
        <v>Clientes</v>
      </c>
      <c r="H2035" s="16" t="s">
        <v>88</v>
      </c>
    </row>
    <row r="2036" customFormat="false" ht="14.25" hidden="true" customHeight="true" outlineLevel="0" collapsed="false">
      <c r="A2036" s="16" t="s">
        <v>39</v>
      </c>
      <c r="B2036" s="16" t="s">
        <v>155</v>
      </c>
      <c r="C2036" s="16" t="s">
        <v>240</v>
      </c>
      <c r="D2036" s="38"/>
      <c r="E2036" s="39"/>
      <c r="F2036" s="22" t="n">
        <f aca="false">IFERROR(D2036*E2036,0)</f>
        <v>0</v>
      </c>
      <c r="G2036" s="16" t="str">
        <f aca="false">INDEX(SETORES!$B:$B,MATCH(A2036,SETORES!$A:$A,0))</f>
        <v>Clientes</v>
      </c>
      <c r="H2036" s="16" t="s">
        <v>88</v>
      </c>
    </row>
    <row r="2037" customFormat="false" ht="14.25" hidden="true" customHeight="true" outlineLevel="0" collapsed="false">
      <c r="A2037" s="16" t="s">
        <v>39</v>
      </c>
      <c r="B2037" s="16" t="s">
        <v>155</v>
      </c>
      <c r="C2037" s="16" t="s">
        <v>167</v>
      </c>
      <c r="D2037" s="38"/>
      <c r="E2037" s="39"/>
      <c r="F2037" s="22" t="n">
        <f aca="false">IFERROR(D2037*E2037,0)</f>
        <v>0</v>
      </c>
      <c r="G2037" s="16" t="str">
        <f aca="false">INDEX(SETORES!$B:$B,MATCH(A2037,SETORES!$A:$A,0))</f>
        <v>Clientes</v>
      </c>
      <c r="H2037" s="16" t="s">
        <v>88</v>
      </c>
    </row>
    <row r="2038" customFormat="false" ht="14.25" hidden="true" customHeight="true" outlineLevel="0" collapsed="false">
      <c r="A2038" s="16" t="s">
        <v>39</v>
      </c>
      <c r="B2038" s="16" t="s">
        <v>155</v>
      </c>
      <c r="C2038" s="16" t="s">
        <v>168</v>
      </c>
      <c r="D2038" s="38" t="n">
        <v>12</v>
      </c>
      <c r="E2038" s="39" t="n">
        <v>1.87</v>
      </c>
      <c r="F2038" s="22" t="n">
        <f aca="false">IFERROR(D2038*E2038,0)</f>
        <v>22.44</v>
      </c>
      <c r="G2038" s="16" t="str">
        <f aca="false">INDEX(SETORES!$B:$B,MATCH(A2038,SETORES!$A:$A,0))</f>
        <v>Clientes</v>
      </c>
      <c r="H2038" s="16" t="s">
        <v>88</v>
      </c>
    </row>
    <row r="2039" customFormat="false" ht="14.25" hidden="true" customHeight="true" outlineLevel="0" collapsed="false">
      <c r="A2039" s="16" t="s">
        <v>44</v>
      </c>
      <c r="B2039" s="16" t="s">
        <v>155</v>
      </c>
      <c r="C2039" s="16" t="s">
        <v>156</v>
      </c>
      <c r="D2039" s="38" t="n">
        <v>1</v>
      </c>
      <c r="E2039" s="39" t="n">
        <v>56.96</v>
      </c>
      <c r="F2039" s="22" t="n">
        <f aca="false">IFERROR(D2039*E2039,0)</f>
        <v>56.96</v>
      </c>
      <c r="G2039" s="16" t="str">
        <f aca="false">INDEX(SETORES!$B:$B,MATCH(A2039,SETORES!$A:$A,0))</f>
        <v>Funcionários</v>
      </c>
      <c r="H2039" s="16" t="s">
        <v>88</v>
      </c>
    </row>
    <row r="2040" customFormat="false" ht="14.25" hidden="true" customHeight="true" outlineLevel="0" collapsed="false">
      <c r="A2040" s="16" t="s">
        <v>44</v>
      </c>
      <c r="B2040" s="16" t="s">
        <v>155</v>
      </c>
      <c r="C2040" s="16" t="s">
        <v>157</v>
      </c>
      <c r="D2040" s="38"/>
      <c r="E2040" s="39"/>
      <c r="F2040" s="22" t="n">
        <f aca="false">IFERROR(D2040*E2040,0)</f>
        <v>0</v>
      </c>
      <c r="G2040" s="16" t="str">
        <f aca="false">INDEX(SETORES!$B:$B,MATCH(A2040,SETORES!$A:$A,0))</f>
        <v>Funcionários</v>
      </c>
      <c r="H2040" s="16" t="s">
        <v>88</v>
      </c>
    </row>
    <row r="2041" customFormat="false" ht="14.25" hidden="true" customHeight="true" outlineLevel="0" collapsed="false">
      <c r="A2041" s="16" t="s">
        <v>44</v>
      </c>
      <c r="B2041" s="16" t="s">
        <v>155</v>
      </c>
      <c r="C2041" s="16" t="s">
        <v>158</v>
      </c>
      <c r="D2041" s="38"/>
      <c r="E2041" s="39"/>
      <c r="F2041" s="22" t="n">
        <f aca="false">IFERROR(D2041*E2041,0)</f>
        <v>0</v>
      </c>
      <c r="G2041" s="16" t="str">
        <f aca="false">INDEX(SETORES!$B:$B,MATCH(A2041,SETORES!$A:$A,0))</f>
        <v>Funcionários</v>
      </c>
      <c r="H2041" s="16" t="s">
        <v>88</v>
      </c>
    </row>
    <row r="2042" customFormat="false" ht="14.25" hidden="true" customHeight="true" outlineLevel="0" collapsed="false">
      <c r="A2042" s="16" t="s">
        <v>44</v>
      </c>
      <c r="B2042" s="16" t="s">
        <v>155</v>
      </c>
      <c r="C2042" s="16" t="s">
        <v>159</v>
      </c>
      <c r="D2042" s="38"/>
      <c r="E2042" s="39"/>
      <c r="F2042" s="22" t="n">
        <f aca="false">IFERROR(D2042*E2042,0)</f>
        <v>0</v>
      </c>
      <c r="G2042" s="16" t="str">
        <f aca="false">INDEX(SETORES!$B:$B,MATCH(A2042,SETORES!$A:$A,0))</f>
        <v>Funcionários</v>
      </c>
      <c r="H2042" s="16" t="s">
        <v>88</v>
      </c>
    </row>
    <row r="2043" customFormat="false" ht="14.25" hidden="true" customHeight="true" outlineLevel="0" collapsed="false">
      <c r="A2043" s="16" t="s">
        <v>44</v>
      </c>
      <c r="B2043" s="16" t="s">
        <v>155</v>
      </c>
      <c r="C2043" s="16" t="s">
        <v>160</v>
      </c>
      <c r="D2043" s="38"/>
      <c r="E2043" s="39"/>
      <c r="F2043" s="22" t="n">
        <f aca="false">IFERROR(D2043*E2043,0)</f>
        <v>0</v>
      </c>
      <c r="G2043" s="16" t="str">
        <f aca="false">INDEX(SETORES!$B:$B,MATCH(A2043,SETORES!$A:$A,0))</f>
        <v>Funcionários</v>
      </c>
      <c r="H2043" s="16" t="s">
        <v>88</v>
      </c>
    </row>
    <row r="2044" customFormat="false" ht="14.25" hidden="true" customHeight="true" outlineLevel="0" collapsed="false">
      <c r="A2044" s="16" t="s">
        <v>44</v>
      </c>
      <c r="B2044" s="16" t="s">
        <v>155</v>
      </c>
      <c r="C2044" s="16" t="s">
        <v>161</v>
      </c>
      <c r="D2044" s="38" t="n">
        <v>1</v>
      </c>
      <c r="E2044" s="39" t="n">
        <v>43760.48</v>
      </c>
      <c r="F2044" s="22" t="n">
        <f aca="false">IFERROR(D2044*E2044,0)</f>
        <v>43760.48</v>
      </c>
      <c r="G2044" s="16" t="str">
        <f aca="false">INDEX(SETORES!$B:$B,MATCH(A2044,SETORES!$A:$A,0))</f>
        <v>Funcionários</v>
      </c>
      <c r="H2044" s="16" t="s">
        <v>88</v>
      </c>
    </row>
    <row r="2045" customFormat="false" ht="14.25" hidden="true" customHeight="true" outlineLevel="0" collapsed="false">
      <c r="A2045" s="16" t="s">
        <v>44</v>
      </c>
      <c r="B2045" s="16" t="s">
        <v>162</v>
      </c>
      <c r="C2045" s="16" t="s">
        <v>221</v>
      </c>
      <c r="D2045" s="38"/>
      <c r="E2045" s="39"/>
      <c r="F2045" s="22" t="n">
        <f aca="false">IFERROR(D2045*E2045,0)</f>
        <v>0</v>
      </c>
      <c r="G2045" s="16" t="str">
        <f aca="false">INDEX(SETORES!$B:$B,MATCH(A2045,SETORES!$A:$A,0))</f>
        <v>Funcionários</v>
      </c>
      <c r="H2045" s="16" t="s">
        <v>88</v>
      </c>
    </row>
    <row r="2046" customFormat="false" ht="14.25" hidden="true" customHeight="true" outlineLevel="0" collapsed="false">
      <c r="A2046" s="16" t="s">
        <v>38</v>
      </c>
      <c r="B2046" s="16" t="s">
        <v>162</v>
      </c>
      <c r="C2046" s="16" t="s">
        <v>165</v>
      </c>
      <c r="D2046" s="38"/>
      <c r="E2046" s="39"/>
      <c r="F2046" s="22" t="n">
        <f aca="false">IFERROR(D2046*E2046,0)</f>
        <v>0</v>
      </c>
      <c r="G2046" s="16" t="str">
        <f aca="false">INDEX(SETORES!$B:$B,MATCH(A2046,SETORES!$A:$A,0))</f>
        <v>Clientes</v>
      </c>
      <c r="H2046" s="16" t="s">
        <v>88</v>
      </c>
    </row>
    <row r="2047" customFormat="false" ht="14.25" hidden="true" customHeight="true" outlineLevel="0" collapsed="false">
      <c r="A2047" s="16" t="s">
        <v>37</v>
      </c>
      <c r="B2047" s="16" t="s">
        <v>162</v>
      </c>
      <c r="C2047" s="16" t="s">
        <v>165</v>
      </c>
      <c r="D2047" s="38"/>
      <c r="E2047" s="39"/>
      <c r="F2047" s="22" t="n">
        <f aca="false">IFERROR(D2047*E2047,0)</f>
        <v>0</v>
      </c>
      <c r="G2047" s="16" t="str">
        <f aca="false">INDEX(SETORES!$B:$B,MATCH(A2047,SETORES!$A:$A,0))</f>
        <v>Clientes</v>
      </c>
      <c r="H2047" s="16" t="s">
        <v>88</v>
      </c>
    </row>
    <row r="2048" customFormat="false" ht="14.25" hidden="true" customHeight="true" outlineLevel="0" collapsed="false">
      <c r="A2048" s="16" t="s">
        <v>53</v>
      </c>
      <c r="B2048" s="16" t="s">
        <v>162</v>
      </c>
      <c r="C2048" s="16" t="s">
        <v>165</v>
      </c>
      <c r="D2048" s="38"/>
      <c r="E2048" s="39"/>
      <c r="F2048" s="22" t="n">
        <f aca="false">IFERROR(D2048*E2048,0)</f>
        <v>0</v>
      </c>
      <c r="G2048" s="16" t="str">
        <f aca="false">INDEX(SETORES!$B:$B,MATCH(A2048,SETORES!$A:$A,0))</f>
        <v>Clientes</v>
      </c>
      <c r="H2048" s="16" t="s">
        <v>88</v>
      </c>
    </row>
    <row r="2049" customFormat="false" ht="14.25" hidden="true" customHeight="true" outlineLevel="0" collapsed="false">
      <c r="A2049" s="16" t="s">
        <v>47</v>
      </c>
      <c r="B2049" s="16" t="s">
        <v>162</v>
      </c>
      <c r="C2049" s="16" t="s">
        <v>165</v>
      </c>
      <c r="D2049" s="38"/>
      <c r="E2049" s="39"/>
      <c r="F2049" s="22" t="n">
        <f aca="false">IFERROR(D2049*E2049,0)</f>
        <v>0</v>
      </c>
      <c r="G2049" s="16" t="str">
        <f aca="false">INDEX(SETORES!$B:$B,MATCH(A2049,SETORES!$A:$A,0))</f>
        <v>Clientes</v>
      </c>
      <c r="H2049" s="16" t="s">
        <v>88</v>
      </c>
    </row>
    <row r="2050" customFormat="false" ht="14.25" hidden="true" customHeight="true" outlineLevel="0" collapsed="false">
      <c r="A2050" s="16" t="s">
        <v>44</v>
      </c>
      <c r="B2050" s="16" t="s">
        <v>162</v>
      </c>
      <c r="C2050" s="16" t="s">
        <v>165</v>
      </c>
      <c r="D2050" s="38"/>
      <c r="E2050" s="39"/>
      <c r="F2050" s="22" t="n">
        <f aca="false">IFERROR(D2050*E2050,0)</f>
        <v>0</v>
      </c>
      <c r="G2050" s="16" t="str">
        <f aca="false">INDEX(SETORES!$B:$B,MATCH(A2050,SETORES!$A:$A,0))</f>
        <v>Funcionários</v>
      </c>
      <c r="H2050" s="16" t="s">
        <v>88</v>
      </c>
    </row>
    <row r="2051" customFormat="false" ht="14.25" hidden="true" customHeight="true" outlineLevel="0" collapsed="false">
      <c r="A2051" s="16" t="s">
        <v>44</v>
      </c>
      <c r="B2051" s="16" t="s">
        <v>162</v>
      </c>
      <c r="C2051" s="16" t="s">
        <v>163</v>
      </c>
      <c r="D2051" s="38"/>
      <c r="E2051" s="39"/>
      <c r="F2051" s="22" t="n">
        <f aca="false">IFERROR(D2051*E2051,0)</f>
        <v>0</v>
      </c>
      <c r="G2051" s="16" t="str">
        <f aca="false">INDEX(SETORES!$B:$B,MATCH(A2051,SETORES!$A:$A,0))</f>
        <v>Funcionários</v>
      </c>
      <c r="H2051" s="16" t="s">
        <v>88</v>
      </c>
    </row>
    <row r="2052" customFormat="false" ht="14.25" hidden="true" customHeight="true" outlineLevel="0" collapsed="false">
      <c r="A2052" s="16" t="s">
        <v>44</v>
      </c>
      <c r="B2052" s="16" t="s">
        <v>162</v>
      </c>
      <c r="C2052" s="16" t="s">
        <v>164</v>
      </c>
      <c r="D2052" s="38" t="n">
        <v>1</v>
      </c>
      <c r="E2052" s="39" t="n">
        <v>204</v>
      </c>
      <c r="F2052" s="22" t="n">
        <f aca="false">IFERROR(D2052*E2052,0)</f>
        <v>204</v>
      </c>
      <c r="G2052" s="16" t="str">
        <f aca="false">INDEX(SETORES!$B:$B,MATCH(A2052,SETORES!$A:$A,0))</f>
        <v>Funcionários</v>
      </c>
      <c r="H2052" s="16" t="s">
        <v>88</v>
      </c>
    </row>
    <row r="2053" customFormat="false" ht="14.25" hidden="true" customHeight="true" outlineLevel="0" collapsed="false">
      <c r="A2053" s="16" t="s">
        <v>44</v>
      </c>
      <c r="B2053" s="16" t="s">
        <v>162</v>
      </c>
      <c r="C2053" s="16" t="s">
        <v>209</v>
      </c>
      <c r="D2053" s="38"/>
      <c r="E2053" s="39"/>
      <c r="F2053" s="22" t="n">
        <f aca="false">IFERROR(D2053*E2053,0)</f>
        <v>0</v>
      </c>
      <c r="G2053" s="16" t="str">
        <f aca="false">INDEX(SETORES!$B:$B,MATCH(A2053,SETORES!$A:$A,0))</f>
        <v>Funcionários</v>
      </c>
      <c r="H2053" s="16" t="s">
        <v>88</v>
      </c>
    </row>
    <row r="2054" customFormat="false" ht="14.25" hidden="true" customHeight="true" outlineLevel="0" collapsed="false">
      <c r="A2054" s="16" t="s">
        <v>44</v>
      </c>
      <c r="B2054" s="16" t="s">
        <v>162</v>
      </c>
      <c r="C2054" s="16" t="s">
        <v>232</v>
      </c>
      <c r="D2054" s="38" t="n">
        <v>1</v>
      </c>
      <c r="E2054" s="39" t="n">
        <v>7689.5</v>
      </c>
      <c r="F2054" s="22" t="n">
        <f aca="false">IFERROR(D2054*E2054,0)</f>
        <v>7689.5</v>
      </c>
      <c r="G2054" s="16" t="str">
        <f aca="false">INDEX(SETORES!$B:$B,MATCH(A2054,SETORES!$A:$A,0))</f>
        <v>Funcionários</v>
      </c>
      <c r="H2054" s="16" t="s">
        <v>88</v>
      </c>
    </row>
    <row r="2055" customFormat="false" ht="14.25" hidden="true" customHeight="true" outlineLevel="0" collapsed="false">
      <c r="A2055" s="16" t="s">
        <v>44</v>
      </c>
      <c r="B2055" s="16" t="s">
        <v>155</v>
      </c>
      <c r="C2055" s="16" t="s">
        <v>166</v>
      </c>
      <c r="D2055" s="38" t="n">
        <v>8</v>
      </c>
      <c r="E2055" s="39" t="n">
        <v>50</v>
      </c>
      <c r="F2055" s="22" t="n">
        <f aca="false">IFERROR(D2055*E2055,0)</f>
        <v>400</v>
      </c>
      <c r="G2055" s="16" t="str">
        <f aca="false">INDEX(SETORES!$B:$B,MATCH(A2055,SETORES!$A:$A,0))</f>
        <v>Funcionários</v>
      </c>
      <c r="H2055" s="16" t="s">
        <v>88</v>
      </c>
    </row>
    <row r="2056" customFormat="false" ht="14.25" hidden="true" customHeight="true" outlineLevel="0" collapsed="false">
      <c r="A2056" s="16" t="s">
        <v>44</v>
      </c>
      <c r="B2056" s="16" t="s">
        <v>162</v>
      </c>
      <c r="C2056" s="16" t="s">
        <v>217</v>
      </c>
      <c r="D2056" s="38"/>
      <c r="E2056" s="39"/>
      <c r="F2056" s="22" t="n">
        <f aca="false">IFERROR(D2056*E2056,0)</f>
        <v>0</v>
      </c>
      <c r="G2056" s="16" t="str">
        <f aca="false">INDEX(SETORES!$B:$B,MATCH(A2056,SETORES!$A:$A,0))</f>
        <v>Funcionários</v>
      </c>
      <c r="H2056" s="16" t="s">
        <v>88</v>
      </c>
    </row>
    <row r="2057" customFormat="false" ht="14.25" hidden="true" customHeight="true" outlineLevel="0" collapsed="false">
      <c r="A2057" s="16" t="s">
        <v>44</v>
      </c>
      <c r="B2057" s="16" t="s">
        <v>155</v>
      </c>
      <c r="C2057" s="16" t="s">
        <v>238</v>
      </c>
      <c r="D2057" s="38"/>
      <c r="E2057" s="39"/>
      <c r="F2057" s="22" t="n">
        <f aca="false">IFERROR(D2057*E2057,0)</f>
        <v>0</v>
      </c>
      <c r="G2057" s="16" t="str">
        <f aca="false">INDEX(SETORES!$B:$B,MATCH(A2057,SETORES!$A:$A,0))</f>
        <v>Funcionários</v>
      </c>
      <c r="H2057" s="16" t="s">
        <v>88</v>
      </c>
    </row>
    <row r="2058" customFormat="false" ht="14.25" hidden="true" customHeight="true" outlineLevel="0" collapsed="false">
      <c r="A2058" s="16" t="s">
        <v>44</v>
      </c>
      <c r="B2058" s="16" t="s">
        <v>155</v>
      </c>
      <c r="C2058" s="16" t="s">
        <v>167</v>
      </c>
      <c r="D2058" s="38"/>
      <c r="E2058" s="39"/>
      <c r="F2058" s="22" t="n">
        <f aca="false">IFERROR(D2058*E2058,0)</f>
        <v>0</v>
      </c>
      <c r="G2058" s="16" t="str">
        <f aca="false">INDEX(SETORES!$B:$B,MATCH(A2058,SETORES!$A:$A,0))</f>
        <v>Funcionários</v>
      </c>
      <c r="H2058" s="16" t="s">
        <v>88</v>
      </c>
    </row>
    <row r="2059" customFormat="false" ht="14.25" hidden="true" customHeight="true" outlineLevel="0" collapsed="false">
      <c r="A2059" s="16" t="s">
        <v>44</v>
      </c>
      <c r="B2059" s="16" t="s">
        <v>155</v>
      </c>
      <c r="C2059" s="16" t="s">
        <v>168</v>
      </c>
      <c r="D2059" s="38" t="n">
        <v>8</v>
      </c>
      <c r="E2059" s="39" t="n">
        <v>1.87</v>
      </c>
      <c r="F2059" s="22" t="n">
        <f aca="false">IFERROR(D2059*E2059,0)</f>
        <v>14.96</v>
      </c>
      <c r="G2059" s="16" t="str">
        <f aca="false">INDEX(SETORES!$B:$B,MATCH(A2059,SETORES!$A:$A,0))</f>
        <v>Funcionários</v>
      </c>
      <c r="H2059" s="16" t="s">
        <v>88</v>
      </c>
    </row>
    <row r="2060" customFormat="false" ht="14.25" hidden="true" customHeight="true" outlineLevel="0" collapsed="false">
      <c r="A2060" s="16" t="s">
        <v>52</v>
      </c>
      <c r="B2060" s="16" t="s">
        <v>155</v>
      </c>
      <c r="C2060" s="16" t="s">
        <v>156</v>
      </c>
      <c r="D2060" s="38" t="n">
        <v>1</v>
      </c>
      <c r="E2060" s="39" t="n">
        <v>2.3</v>
      </c>
      <c r="F2060" s="22" t="n">
        <f aca="false">IFERROR(D2060*E2060,0)</f>
        <v>2.3</v>
      </c>
      <c r="G2060" s="16" t="str">
        <f aca="false">INDEX(SETORES!$B:$B,MATCH(A2060,SETORES!$A:$A,0))</f>
        <v>Clientes</v>
      </c>
      <c r="H2060" s="16" t="s">
        <v>88</v>
      </c>
    </row>
    <row r="2061" customFormat="false" ht="14.25" hidden="true" customHeight="true" outlineLevel="0" collapsed="false">
      <c r="A2061" s="16" t="s">
        <v>52</v>
      </c>
      <c r="B2061" s="16" t="s">
        <v>155</v>
      </c>
      <c r="C2061" s="16" t="s">
        <v>157</v>
      </c>
      <c r="D2061" s="38" t="n">
        <v>1</v>
      </c>
      <c r="E2061" s="39" t="n">
        <v>404.44</v>
      </c>
      <c r="F2061" s="22" t="n">
        <f aca="false">IFERROR(D2061*E2061,0)</f>
        <v>404.44</v>
      </c>
      <c r="G2061" s="16" t="str">
        <f aca="false">INDEX(SETORES!$B:$B,MATCH(A2061,SETORES!$A:$A,0))</f>
        <v>Clientes</v>
      </c>
      <c r="H2061" s="16" t="s">
        <v>88</v>
      </c>
    </row>
    <row r="2062" customFormat="false" ht="14.25" hidden="true" customHeight="true" outlineLevel="0" collapsed="false">
      <c r="A2062" s="16" t="s">
        <v>52</v>
      </c>
      <c r="B2062" s="16" t="s">
        <v>155</v>
      </c>
      <c r="C2062" s="16" t="s">
        <v>158</v>
      </c>
      <c r="D2062" s="38"/>
      <c r="E2062" s="39"/>
      <c r="F2062" s="22" t="n">
        <f aca="false">IFERROR(D2062*E2062,0)</f>
        <v>0</v>
      </c>
      <c r="G2062" s="16" t="str">
        <f aca="false">INDEX(SETORES!$B:$B,MATCH(A2062,SETORES!$A:$A,0))</f>
        <v>Clientes</v>
      </c>
      <c r="H2062" s="16" t="s">
        <v>88</v>
      </c>
    </row>
    <row r="2063" customFormat="false" ht="14.25" hidden="true" customHeight="true" outlineLevel="0" collapsed="false">
      <c r="A2063" s="16" t="s">
        <v>52</v>
      </c>
      <c r="B2063" s="16" t="s">
        <v>155</v>
      </c>
      <c r="C2063" s="16" t="s">
        <v>159</v>
      </c>
      <c r="D2063" s="38"/>
      <c r="E2063" s="39"/>
      <c r="F2063" s="22" t="n">
        <f aca="false">IFERROR(D2063*E2063,0)</f>
        <v>0</v>
      </c>
      <c r="G2063" s="16" t="str">
        <f aca="false">INDEX(SETORES!$B:$B,MATCH(A2063,SETORES!$A:$A,0))</f>
        <v>Clientes</v>
      </c>
      <c r="H2063" s="16" t="s">
        <v>88</v>
      </c>
    </row>
    <row r="2064" customFormat="false" ht="14.25" hidden="true" customHeight="true" outlineLevel="0" collapsed="false">
      <c r="A2064" s="16" t="s">
        <v>52</v>
      </c>
      <c r="B2064" s="16" t="s">
        <v>155</v>
      </c>
      <c r="C2064" s="16" t="s">
        <v>160</v>
      </c>
      <c r="D2064" s="38"/>
      <c r="E2064" s="39"/>
      <c r="F2064" s="22" t="n">
        <f aca="false">IFERROR(D2064*E2064,0)</f>
        <v>0</v>
      </c>
      <c r="G2064" s="16" t="str">
        <f aca="false">INDEX(SETORES!$B:$B,MATCH(A2064,SETORES!$A:$A,0))</f>
        <v>Clientes</v>
      </c>
      <c r="H2064" s="16" t="s">
        <v>88</v>
      </c>
    </row>
    <row r="2065" customFormat="false" ht="14.25" hidden="true" customHeight="true" outlineLevel="0" collapsed="false">
      <c r="A2065" s="16" t="s">
        <v>52</v>
      </c>
      <c r="B2065" s="16" t="s">
        <v>155</v>
      </c>
      <c r="C2065" s="16" t="s">
        <v>161</v>
      </c>
      <c r="D2065" s="38" t="n">
        <v>1</v>
      </c>
      <c r="E2065" s="39" t="n">
        <v>30736.23</v>
      </c>
      <c r="F2065" s="22" t="n">
        <f aca="false">IFERROR(D2065*E2065,0)</f>
        <v>30736.23</v>
      </c>
      <c r="G2065" s="16" t="str">
        <f aca="false">INDEX(SETORES!$B:$B,MATCH(A2065,SETORES!$A:$A,0))</f>
        <v>Clientes</v>
      </c>
      <c r="H2065" s="16" t="s">
        <v>88</v>
      </c>
    </row>
    <row r="2066" customFormat="false" ht="14.25" hidden="true" customHeight="true" outlineLevel="0" collapsed="false">
      <c r="A2066" s="16" t="s">
        <v>52</v>
      </c>
      <c r="B2066" s="16" t="s">
        <v>155</v>
      </c>
      <c r="C2066" s="16" t="s">
        <v>166</v>
      </c>
      <c r="D2066" s="38" t="n">
        <v>8</v>
      </c>
      <c r="E2066" s="39" t="n">
        <v>50</v>
      </c>
      <c r="F2066" s="22" t="n">
        <f aca="false">IFERROR(D2066*E2066,0)</f>
        <v>400</v>
      </c>
      <c r="G2066" s="16" t="str">
        <f aca="false">INDEX(SETORES!$B:$B,MATCH(A2066,SETORES!$A:$A,0))</f>
        <v>Clientes</v>
      </c>
      <c r="H2066" s="16" t="s">
        <v>88</v>
      </c>
    </row>
    <row r="2067" customFormat="false" ht="14.25" hidden="true" customHeight="true" outlineLevel="0" collapsed="false">
      <c r="A2067" s="16" t="s">
        <v>52</v>
      </c>
      <c r="B2067" s="16" t="s">
        <v>155</v>
      </c>
      <c r="C2067" s="16" t="s">
        <v>187</v>
      </c>
      <c r="D2067" s="38"/>
      <c r="E2067" s="39"/>
      <c r="F2067" s="22" t="n">
        <f aca="false">IFERROR(D2067*E2067,0)</f>
        <v>0</v>
      </c>
      <c r="G2067" s="16" t="str">
        <f aca="false">INDEX(SETORES!$B:$B,MATCH(A2067,SETORES!$A:$A,0))</f>
        <v>Clientes</v>
      </c>
      <c r="H2067" s="16" t="s">
        <v>88</v>
      </c>
    </row>
    <row r="2068" customFormat="false" ht="14.25" hidden="true" customHeight="true" outlineLevel="0" collapsed="false">
      <c r="A2068" s="16" t="s">
        <v>52</v>
      </c>
      <c r="B2068" s="16" t="s">
        <v>155</v>
      </c>
      <c r="C2068" s="16" t="s">
        <v>240</v>
      </c>
      <c r="D2068" s="38"/>
      <c r="E2068" s="39"/>
      <c r="F2068" s="22" t="n">
        <f aca="false">IFERROR(D2068*E2068,0)</f>
        <v>0</v>
      </c>
      <c r="G2068" s="16" t="str">
        <f aca="false">INDEX(SETORES!$B:$B,MATCH(A2068,SETORES!$A:$A,0))</f>
        <v>Clientes</v>
      </c>
      <c r="H2068" s="16" t="s">
        <v>88</v>
      </c>
    </row>
    <row r="2069" customFormat="false" ht="14.25" hidden="true" customHeight="true" outlineLevel="0" collapsed="false">
      <c r="A2069" s="16" t="s">
        <v>52</v>
      </c>
      <c r="B2069" s="16" t="s">
        <v>155</v>
      </c>
      <c r="C2069" s="16" t="s">
        <v>167</v>
      </c>
      <c r="D2069" s="38"/>
      <c r="E2069" s="39"/>
      <c r="F2069" s="22" t="n">
        <f aca="false">IFERROR(D2069*E2069,0)</f>
        <v>0</v>
      </c>
      <c r="G2069" s="16" t="str">
        <f aca="false">INDEX(SETORES!$B:$B,MATCH(A2069,SETORES!$A:$A,0))</f>
        <v>Clientes</v>
      </c>
      <c r="H2069" s="16" t="s">
        <v>88</v>
      </c>
    </row>
    <row r="2070" customFormat="false" ht="14.25" hidden="true" customHeight="true" outlineLevel="0" collapsed="false">
      <c r="A2070" s="16" t="s">
        <v>52</v>
      </c>
      <c r="B2070" s="16" t="s">
        <v>155</v>
      </c>
      <c r="C2070" s="16" t="s">
        <v>168</v>
      </c>
      <c r="D2070" s="38" t="n">
        <v>8</v>
      </c>
      <c r="E2070" s="39" t="n">
        <v>1.87</v>
      </c>
      <c r="F2070" s="22" t="n">
        <f aca="false">IFERROR(D2070*E2070,0)</f>
        <v>14.96</v>
      </c>
      <c r="G2070" s="16" t="str">
        <f aca="false">INDEX(SETORES!$B:$B,MATCH(A2070,SETORES!$A:$A,0))</f>
        <v>Clientes</v>
      </c>
      <c r="H2070" s="16" t="s">
        <v>88</v>
      </c>
    </row>
    <row r="2071" customFormat="false" ht="14.25" hidden="true" customHeight="true" outlineLevel="0" collapsed="false">
      <c r="A2071" s="16" t="s">
        <v>53</v>
      </c>
      <c r="B2071" s="16" t="s">
        <v>155</v>
      </c>
      <c r="C2071" s="16" t="s">
        <v>156</v>
      </c>
      <c r="D2071" s="38" t="n">
        <v>1</v>
      </c>
      <c r="E2071" s="39" t="n">
        <v>9.5</v>
      </c>
      <c r="F2071" s="22" t="n">
        <f aca="false">IFERROR(D2071*E2071,0)</f>
        <v>9.5</v>
      </c>
      <c r="G2071" s="16" t="str">
        <f aca="false">INDEX(SETORES!$B:$B,MATCH(A2071,SETORES!$A:$A,0))</f>
        <v>Clientes</v>
      </c>
      <c r="H2071" s="16" t="s">
        <v>88</v>
      </c>
    </row>
    <row r="2072" customFormat="false" ht="14.25" hidden="true" customHeight="true" outlineLevel="0" collapsed="false">
      <c r="A2072" s="16" t="s">
        <v>53</v>
      </c>
      <c r="B2072" s="16" t="s">
        <v>155</v>
      </c>
      <c r="C2072" s="16" t="s">
        <v>157</v>
      </c>
      <c r="D2072" s="38" t="n">
        <v>1</v>
      </c>
      <c r="E2072" s="39" t="n">
        <v>1668.3</v>
      </c>
      <c r="F2072" s="22" t="n">
        <f aca="false">IFERROR(D2072*E2072,0)</f>
        <v>1668.3</v>
      </c>
      <c r="G2072" s="16" t="str">
        <f aca="false">INDEX(SETORES!$B:$B,MATCH(A2072,SETORES!$A:$A,0))</f>
        <v>Clientes</v>
      </c>
      <c r="H2072" s="16" t="s">
        <v>88</v>
      </c>
    </row>
    <row r="2073" customFormat="false" ht="14.25" hidden="true" customHeight="true" outlineLevel="0" collapsed="false">
      <c r="A2073" s="16" t="s">
        <v>53</v>
      </c>
      <c r="B2073" s="16" t="s">
        <v>155</v>
      </c>
      <c r="C2073" s="16" t="s">
        <v>158</v>
      </c>
      <c r="D2073" s="38"/>
      <c r="E2073" s="39"/>
      <c r="F2073" s="22" t="n">
        <f aca="false">IFERROR(D2073*E2073,0)</f>
        <v>0</v>
      </c>
      <c r="G2073" s="16" t="str">
        <f aca="false">INDEX(SETORES!$B:$B,MATCH(A2073,SETORES!$A:$A,0))</f>
        <v>Clientes</v>
      </c>
      <c r="H2073" s="16" t="s">
        <v>88</v>
      </c>
    </row>
    <row r="2074" customFormat="false" ht="14.25" hidden="true" customHeight="true" outlineLevel="0" collapsed="false">
      <c r="A2074" s="16" t="s">
        <v>53</v>
      </c>
      <c r="B2074" s="16" t="s">
        <v>155</v>
      </c>
      <c r="C2074" s="16" t="s">
        <v>159</v>
      </c>
      <c r="D2074" s="38"/>
      <c r="E2074" s="39"/>
      <c r="F2074" s="22" t="n">
        <f aca="false">IFERROR(D2074*E2074,0)</f>
        <v>0</v>
      </c>
      <c r="G2074" s="16" t="str">
        <f aca="false">INDEX(SETORES!$B:$B,MATCH(A2074,SETORES!$A:$A,0))</f>
        <v>Clientes</v>
      </c>
      <c r="H2074" s="16" t="s">
        <v>88</v>
      </c>
    </row>
    <row r="2075" customFormat="false" ht="14.25" hidden="true" customHeight="true" outlineLevel="0" collapsed="false">
      <c r="A2075" s="16" t="s">
        <v>53</v>
      </c>
      <c r="B2075" s="16" t="s">
        <v>155</v>
      </c>
      <c r="C2075" s="16" t="s">
        <v>160</v>
      </c>
      <c r="D2075" s="38"/>
      <c r="E2075" s="39"/>
      <c r="F2075" s="22" t="n">
        <f aca="false">IFERROR(D2075*E2075,0)</f>
        <v>0</v>
      </c>
      <c r="G2075" s="16" t="str">
        <f aca="false">INDEX(SETORES!$B:$B,MATCH(A2075,SETORES!$A:$A,0))</f>
        <v>Clientes</v>
      </c>
      <c r="H2075" s="16" t="s">
        <v>88</v>
      </c>
    </row>
    <row r="2076" customFormat="false" ht="14.25" hidden="true" customHeight="true" outlineLevel="0" collapsed="false">
      <c r="A2076" s="16" t="s">
        <v>53</v>
      </c>
      <c r="B2076" s="16" t="s">
        <v>155</v>
      </c>
      <c r="C2076" s="16" t="s">
        <v>161</v>
      </c>
      <c r="D2076" s="38" t="n">
        <v>1</v>
      </c>
      <c r="E2076" s="39" t="n">
        <v>106886.23</v>
      </c>
      <c r="F2076" s="22" t="n">
        <f aca="false">IFERROR(D2076*E2076,0)</f>
        <v>106886.23</v>
      </c>
      <c r="G2076" s="16" t="str">
        <f aca="false">INDEX(SETORES!$B:$B,MATCH(A2076,SETORES!$A:$A,0))</f>
        <v>Clientes</v>
      </c>
      <c r="H2076" s="16" t="s">
        <v>88</v>
      </c>
    </row>
    <row r="2077" customFormat="false" ht="14.25" hidden="true" customHeight="true" outlineLevel="0" collapsed="false">
      <c r="A2077" s="16" t="s">
        <v>53</v>
      </c>
      <c r="B2077" s="16" t="s">
        <v>155</v>
      </c>
      <c r="C2077" s="16" t="s">
        <v>166</v>
      </c>
      <c r="D2077" s="38" t="n">
        <v>33</v>
      </c>
      <c r="E2077" s="39" t="n">
        <v>50</v>
      </c>
      <c r="F2077" s="22" t="n">
        <f aca="false">IFERROR(D2077*E2077,0)</f>
        <v>1650</v>
      </c>
      <c r="G2077" s="16" t="str">
        <f aca="false">INDEX(SETORES!$B:$B,MATCH(A2077,SETORES!$A:$A,0))</f>
        <v>Clientes</v>
      </c>
      <c r="H2077" s="16" t="s">
        <v>88</v>
      </c>
    </row>
    <row r="2078" customFormat="false" ht="14.25" hidden="true" customHeight="true" outlineLevel="0" collapsed="false">
      <c r="A2078" s="16" t="s">
        <v>53</v>
      </c>
      <c r="B2078" s="16" t="s">
        <v>155</v>
      </c>
      <c r="C2078" s="16" t="s">
        <v>187</v>
      </c>
      <c r="D2078" s="38"/>
      <c r="E2078" s="39"/>
      <c r="F2078" s="22" t="n">
        <f aca="false">IFERROR(D2078*E2078,0)</f>
        <v>0</v>
      </c>
      <c r="G2078" s="16" t="str">
        <f aca="false">INDEX(SETORES!$B:$B,MATCH(A2078,SETORES!$A:$A,0))</f>
        <v>Clientes</v>
      </c>
      <c r="H2078" s="16" t="s">
        <v>88</v>
      </c>
    </row>
    <row r="2079" customFormat="false" ht="14.25" hidden="true" customHeight="true" outlineLevel="0" collapsed="false">
      <c r="A2079" s="16" t="s">
        <v>53</v>
      </c>
      <c r="B2079" s="16" t="s">
        <v>155</v>
      </c>
      <c r="C2079" s="16" t="s">
        <v>240</v>
      </c>
      <c r="D2079" s="38"/>
      <c r="E2079" s="39"/>
      <c r="F2079" s="22" t="n">
        <f aca="false">IFERROR(D2079*E2079,0)</f>
        <v>0</v>
      </c>
      <c r="G2079" s="16" t="str">
        <f aca="false">INDEX(SETORES!$B:$B,MATCH(A2079,SETORES!$A:$A,0))</f>
        <v>Clientes</v>
      </c>
      <c r="H2079" s="16" t="s">
        <v>88</v>
      </c>
    </row>
    <row r="2080" customFormat="false" ht="14.25" hidden="true" customHeight="true" outlineLevel="0" collapsed="false">
      <c r="A2080" s="16" t="s">
        <v>53</v>
      </c>
      <c r="B2080" s="16" t="s">
        <v>155</v>
      </c>
      <c r="C2080" s="16" t="s">
        <v>167</v>
      </c>
      <c r="D2080" s="38"/>
      <c r="E2080" s="39"/>
      <c r="F2080" s="22" t="n">
        <f aca="false">IFERROR(D2080*E2080,0)</f>
        <v>0</v>
      </c>
      <c r="G2080" s="16" t="str">
        <f aca="false">INDEX(SETORES!$B:$B,MATCH(A2080,SETORES!$A:$A,0))</f>
        <v>Clientes</v>
      </c>
      <c r="H2080" s="16" t="s">
        <v>88</v>
      </c>
    </row>
    <row r="2081" customFormat="false" ht="14.25" hidden="true" customHeight="true" outlineLevel="0" collapsed="false">
      <c r="A2081" s="16" t="s">
        <v>53</v>
      </c>
      <c r="B2081" s="16" t="s">
        <v>155</v>
      </c>
      <c r="C2081" s="16" t="s">
        <v>168</v>
      </c>
      <c r="D2081" s="38" t="n">
        <v>33</v>
      </c>
      <c r="E2081" s="39" t="n">
        <v>1.87</v>
      </c>
      <c r="F2081" s="22" t="n">
        <f aca="false">IFERROR(D2081*E2081,0)</f>
        <v>61.71</v>
      </c>
      <c r="G2081" s="16" t="str">
        <f aca="false">INDEX(SETORES!$B:$B,MATCH(A2081,SETORES!$A:$A,0))</f>
        <v>Clientes</v>
      </c>
      <c r="H2081" s="16" t="s">
        <v>88</v>
      </c>
    </row>
    <row r="2082" customFormat="false" ht="14.25" hidden="true" customHeight="true" outlineLevel="0" collapsed="false">
      <c r="A2082" s="16" t="s">
        <v>51</v>
      </c>
      <c r="B2082" s="16" t="s">
        <v>155</v>
      </c>
      <c r="C2082" s="16" t="s">
        <v>156</v>
      </c>
      <c r="D2082" s="38" t="n">
        <v>1</v>
      </c>
      <c r="E2082" s="39" t="n">
        <v>3.17</v>
      </c>
      <c r="F2082" s="22" t="n">
        <f aca="false">IFERROR(D2082*E2082,0)</f>
        <v>3.17</v>
      </c>
      <c r="G2082" s="16" t="str">
        <f aca="false">INDEX(SETORES!$B:$B,MATCH(A2082,SETORES!$A:$A,0))</f>
        <v>Clientes</v>
      </c>
      <c r="H2082" s="16" t="s">
        <v>88</v>
      </c>
    </row>
    <row r="2083" customFormat="false" ht="14.25" hidden="true" customHeight="true" outlineLevel="0" collapsed="false">
      <c r="A2083" s="16" t="s">
        <v>51</v>
      </c>
      <c r="B2083" s="16" t="s">
        <v>155</v>
      </c>
      <c r="C2083" s="16" t="s">
        <v>157</v>
      </c>
      <c r="D2083" s="38" t="n">
        <v>1</v>
      </c>
      <c r="E2083" s="39" t="n">
        <v>556.1</v>
      </c>
      <c r="F2083" s="22" t="n">
        <f aca="false">IFERROR(D2083*E2083,0)</f>
        <v>556.1</v>
      </c>
      <c r="G2083" s="16" t="str">
        <f aca="false">INDEX(SETORES!$B:$B,MATCH(A2083,SETORES!$A:$A,0))</f>
        <v>Clientes</v>
      </c>
      <c r="H2083" s="16" t="s">
        <v>88</v>
      </c>
    </row>
    <row r="2084" customFormat="false" ht="14.25" hidden="true" customHeight="true" outlineLevel="0" collapsed="false">
      <c r="A2084" s="16" t="s">
        <v>51</v>
      </c>
      <c r="B2084" s="16" t="s">
        <v>155</v>
      </c>
      <c r="C2084" s="16" t="s">
        <v>158</v>
      </c>
      <c r="D2084" s="38"/>
      <c r="E2084" s="39"/>
      <c r="F2084" s="22" t="n">
        <f aca="false">IFERROR(D2084*E2084,0)</f>
        <v>0</v>
      </c>
      <c r="G2084" s="16" t="str">
        <f aca="false">INDEX(SETORES!$B:$B,MATCH(A2084,SETORES!$A:$A,0))</f>
        <v>Clientes</v>
      </c>
      <c r="H2084" s="16" t="s">
        <v>88</v>
      </c>
    </row>
    <row r="2085" customFormat="false" ht="14.25" hidden="true" customHeight="true" outlineLevel="0" collapsed="false">
      <c r="A2085" s="16" t="s">
        <v>51</v>
      </c>
      <c r="B2085" s="16" t="s">
        <v>155</v>
      </c>
      <c r="C2085" s="16" t="s">
        <v>159</v>
      </c>
      <c r="D2085" s="38"/>
      <c r="E2085" s="39"/>
      <c r="F2085" s="22" t="n">
        <f aca="false">IFERROR(D2085*E2085,0)</f>
        <v>0</v>
      </c>
      <c r="G2085" s="16" t="str">
        <f aca="false">INDEX(SETORES!$B:$B,MATCH(A2085,SETORES!$A:$A,0))</f>
        <v>Clientes</v>
      </c>
      <c r="H2085" s="16" t="s">
        <v>88</v>
      </c>
    </row>
    <row r="2086" customFormat="false" ht="14.25" hidden="true" customHeight="true" outlineLevel="0" collapsed="false">
      <c r="A2086" s="16" t="s">
        <v>51</v>
      </c>
      <c r="B2086" s="16" t="s">
        <v>155</v>
      </c>
      <c r="C2086" s="16" t="s">
        <v>160</v>
      </c>
      <c r="D2086" s="38"/>
      <c r="E2086" s="39"/>
      <c r="F2086" s="22" t="n">
        <f aca="false">IFERROR(D2086*E2086,0)</f>
        <v>0</v>
      </c>
      <c r="G2086" s="16" t="str">
        <f aca="false">INDEX(SETORES!$B:$B,MATCH(A2086,SETORES!$A:$A,0))</f>
        <v>Clientes</v>
      </c>
      <c r="H2086" s="16" t="s">
        <v>88</v>
      </c>
    </row>
    <row r="2087" customFormat="false" ht="14.25" hidden="true" customHeight="true" outlineLevel="0" collapsed="false">
      <c r="A2087" s="16" t="s">
        <v>51</v>
      </c>
      <c r="B2087" s="16" t="s">
        <v>155</v>
      </c>
      <c r="C2087" s="16" t="s">
        <v>161</v>
      </c>
      <c r="D2087" s="38" t="n">
        <v>1</v>
      </c>
      <c r="E2087" s="39" t="n">
        <v>128483.01</v>
      </c>
      <c r="F2087" s="22" t="n">
        <f aca="false">IFERROR(D2087*E2087,0)</f>
        <v>128483.01</v>
      </c>
      <c r="G2087" s="16" t="str">
        <f aca="false">INDEX(SETORES!$B:$B,MATCH(A2087,SETORES!$A:$A,0))</f>
        <v>Clientes</v>
      </c>
      <c r="H2087" s="16" t="s">
        <v>88</v>
      </c>
    </row>
    <row r="2088" customFormat="false" ht="14.25" hidden="true" customHeight="true" outlineLevel="0" collapsed="false">
      <c r="A2088" s="16" t="s">
        <v>51</v>
      </c>
      <c r="B2088" s="16" t="s">
        <v>155</v>
      </c>
      <c r="C2088" s="16" t="s">
        <v>166</v>
      </c>
      <c r="D2088" s="38" t="n">
        <v>11</v>
      </c>
      <c r="E2088" s="39" t="n">
        <v>50</v>
      </c>
      <c r="F2088" s="22" t="n">
        <f aca="false">IFERROR(D2088*E2088,0)</f>
        <v>550</v>
      </c>
      <c r="G2088" s="16" t="str">
        <f aca="false">INDEX(SETORES!$B:$B,MATCH(A2088,SETORES!$A:$A,0))</f>
        <v>Clientes</v>
      </c>
      <c r="H2088" s="16" t="s">
        <v>88</v>
      </c>
    </row>
    <row r="2089" customFormat="false" ht="14.25" hidden="true" customHeight="true" outlineLevel="0" collapsed="false">
      <c r="A2089" s="16" t="s">
        <v>51</v>
      </c>
      <c r="B2089" s="16" t="s">
        <v>155</v>
      </c>
      <c r="C2089" s="16" t="s">
        <v>167</v>
      </c>
      <c r="D2089" s="38"/>
      <c r="E2089" s="39"/>
      <c r="F2089" s="22" t="n">
        <f aca="false">IFERROR(D2089*E2089,0)</f>
        <v>0</v>
      </c>
      <c r="G2089" s="16" t="str">
        <f aca="false">INDEX(SETORES!$B:$B,MATCH(A2089,SETORES!$A:$A,0))</f>
        <v>Clientes</v>
      </c>
      <c r="H2089" s="16" t="s">
        <v>88</v>
      </c>
    </row>
    <row r="2090" customFormat="false" ht="14.25" hidden="true" customHeight="true" outlineLevel="0" collapsed="false">
      <c r="A2090" s="16" t="s">
        <v>51</v>
      </c>
      <c r="B2090" s="16" t="s">
        <v>155</v>
      </c>
      <c r="C2090" s="16" t="s">
        <v>168</v>
      </c>
      <c r="D2090" s="38" t="n">
        <v>11</v>
      </c>
      <c r="E2090" s="39" t="n">
        <v>1.87</v>
      </c>
      <c r="F2090" s="22" t="n">
        <f aca="false">IFERROR(D2090*E2090,0)</f>
        <v>20.57</v>
      </c>
      <c r="G2090" s="16" t="str">
        <f aca="false">INDEX(SETORES!$B:$B,MATCH(A2090,SETORES!$A:$A,0))</f>
        <v>Clientes</v>
      </c>
      <c r="H2090" s="16" t="s">
        <v>88</v>
      </c>
    </row>
    <row r="2091" customFormat="false" ht="14.25" hidden="false" customHeight="true" outlineLevel="0" collapsed="false">
      <c r="A2091" s="16" t="s">
        <v>55</v>
      </c>
      <c r="B2091" s="16" t="s">
        <v>155</v>
      </c>
      <c r="C2091" s="16" t="s">
        <v>236</v>
      </c>
      <c r="D2091" s="38" t="n">
        <v>1</v>
      </c>
      <c r="E2091" s="39" t="n">
        <v>21454</v>
      </c>
      <c r="F2091" s="22" t="n">
        <f aca="false">IFERROR(D2091*E2091,0)</f>
        <v>21454</v>
      </c>
      <c r="G2091" s="16" t="str">
        <f aca="false">INDEX(SETORES!$B:$B,MATCH(A2091,SETORES!$A:$A,0))</f>
        <v>Funcionários</v>
      </c>
      <c r="H2091" s="16" t="s">
        <v>88</v>
      </c>
    </row>
    <row r="2092" customFormat="false" ht="14.25" hidden="true" customHeight="true" outlineLevel="0" collapsed="false">
      <c r="A2092" s="16" t="s">
        <v>34</v>
      </c>
      <c r="B2092" s="16" t="s">
        <v>155</v>
      </c>
      <c r="C2092" s="16" t="s">
        <v>170</v>
      </c>
      <c r="D2092" s="38"/>
      <c r="E2092" s="39"/>
      <c r="F2092" s="22" t="n">
        <f aca="false">IFERROR(D2092*E2092,0)</f>
        <v>0</v>
      </c>
      <c r="G2092" s="16" t="str">
        <f aca="false">INDEX(SETORES!$B:$B,MATCH(A2092,SETORES!$A:$A,0))</f>
        <v>Clientes</v>
      </c>
      <c r="H2092" s="16" t="s">
        <v>88</v>
      </c>
    </row>
    <row r="2093" customFormat="false" ht="14.25" hidden="true" customHeight="true" outlineLevel="0" collapsed="false">
      <c r="A2093" s="16" t="s">
        <v>34</v>
      </c>
      <c r="B2093" s="16" t="s">
        <v>155</v>
      </c>
      <c r="C2093" s="16" t="s">
        <v>171</v>
      </c>
      <c r="D2093" s="38"/>
      <c r="E2093" s="39"/>
      <c r="F2093" s="22" t="n">
        <f aca="false">IFERROR(D2093*E2093,0)</f>
        <v>0</v>
      </c>
      <c r="G2093" s="16" t="str">
        <f aca="false">INDEX(SETORES!$B:$B,MATCH(A2093,SETORES!$A:$A,0))</f>
        <v>Clientes</v>
      </c>
      <c r="H2093" s="16" t="s">
        <v>88</v>
      </c>
    </row>
    <row r="2094" customFormat="false" ht="14.25" hidden="true" customHeight="true" outlineLevel="0" collapsed="false">
      <c r="A2094" s="16" t="s">
        <v>34</v>
      </c>
      <c r="B2094" s="16" t="s">
        <v>155</v>
      </c>
      <c r="C2094" s="16" t="s">
        <v>169</v>
      </c>
      <c r="D2094" s="38"/>
      <c r="E2094" s="39"/>
      <c r="F2094" s="22" t="n">
        <f aca="false">IFERROR(D2094*E2094,0)</f>
        <v>0</v>
      </c>
      <c r="G2094" s="16" t="str">
        <f aca="false">INDEX(SETORES!$B:$B,MATCH(A2094,SETORES!$A:$A,0))</f>
        <v>Clientes</v>
      </c>
      <c r="H2094" s="16" t="s">
        <v>88</v>
      </c>
    </row>
    <row r="2095" customFormat="false" ht="14.25" hidden="true" customHeight="true" outlineLevel="0" collapsed="false">
      <c r="A2095" s="16" t="s">
        <v>35</v>
      </c>
      <c r="B2095" s="16" t="s">
        <v>155</v>
      </c>
      <c r="C2095" s="16" t="s">
        <v>170</v>
      </c>
      <c r="D2095" s="38"/>
      <c r="E2095" s="39"/>
      <c r="F2095" s="22" t="n">
        <f aca="false">IFERROR(D2095*E2095,0)</f>
        <v>0</v>
      </c>
      <c r="G2095" s="16" t="str">
        <f aca="false">INDEX(SETORES!$B:$B,MATCH(A2095,SETORES!$A:$A,0))</f>
        <v>Clientes</v>
      </c>
      <c r="H2095" s="16" t="s">
        <v>88</v>
      </c>
    </row>
    <row r="2096" customFormat="false" ht="14.25" hidden="true" customHeight="true" outlineLevel="0" collapsed="false">
      <c r="A2096" s="16" t="s">
        <v>35</v>
      </c>
      <c r="B2096" s="16" t="s">
        <v>155</v>
      </c>
      <c r="C2096" s="16" t="s">
        <v>171</v>
      </c>
      <c r="D2096" s="38"/>
      <c r="E2096" s="39"/>
      <c r="F2096" s="22" t="n">
        <f aca="false">IFERROR(D2096*E2096,0)</f>
        <v>0</v>
      </c>
      <c r="G2096" s="16" t="str">
        <f aca="false">INDEX(SETORES!$B:$B,MATCH(A2096,SETORES!$A:$A,0))</f>
        <v>Clientes</v>
      </c>
      <c r="H2096" s="16" t="s">
        <v>88</v>
      </c>
    </row>
    <row r="2097" customFormat="false" ht="14.25" hidden="true" customHeight="true" outlineLevel="0" collapsed="false">
      <c r="A2097" s="16" t="s">
        <v>35</v>
      </c>
      <c r="B2097" s="16" t="s">
        <v>155</v>
      </c>
      <c r="C2097" s="16" t="s">
        <v>169</v>
      </c>
      <c r="D2097" s="38"/>
      <c r="E2097" s="39"/>
      <c r="F2097" s="22" t="n">
        <f aca="false">IFERROR(D2097*E2097,0)</f>
        <v>0</v>
      </c>
      <c r="G2097" s="16" t="str">
        <f aca="false">INDEX(SETORES!$B:$B,MATCH(A2097,SETORES!$A:$A,0))</f>
        <v>Clientes</v>
      </c>
      <c r="H2097" s="16" t="s">
        <v>88</v>
      </c>
    </row>
    <row r="2098" customFormat="false" ht="14.25" hidden="true" customHeight="true" outlineLevel="0" collapsed="false">
      <c r="A2098" s="16" t="s">
        <v>38</v>
      </c>
      <c r="B2098" s="16" t="s">
        <v>155</v>
      </c>
      <c r="C2098" s="16" t="s">
        <v>170</v>
      </c>
      <c r="D2098" s="38"/>
      <c r="E2098" s="39"/>
      <c r="F2098" s="22" t="n">
        <f aca="false">IFERROR(D2098*E2098,0)</f>
        <v>0</v>
      </c>
      <c r="G2098" s="16" t="str">
        <f aca="false">INDEX(SETORES!$B:$B,MATCH(A2098,SETORES!$A:$A,0))</f>
        <v>Clientes</v>
      </c>
      <c r="H2098" s="16" t="s">
        <v>88</v>
      </c>
    </row>
    <row r="2099" customFormat="false" ht="14.25" hidden="true" customHeight="true" outlineLevel="0" collapsed="false">
      <c r="A2099" s="16" t="s">
        <v>38</v>
      </c>
      <c r="B2099" s="16" t="s">
        <v>155</v>
      </c>
      <c r="C2099" s="16" t="s">
        <v>171</v>
      </c>
      <c r="D2099" s="38"/>
      <c r="E2099" s="39"/>
      <c r="F2099" s="22" t="n">
        <f aca="false">IFERROR(D2099*E2099,0)</f>
        <v>0</v>
      </c>
      <c r="G2099" s="16" t="str">
        <f aca="false">INDEX(SETORES!$B:$B,MATCH(A2099,SETORES!$A:$A,0))</f>
        <v>Clientes</v>
      </c>
      <c r="H2099" s="16" t="s">
        <v>88</v>
      </c>
    </row>
    <row r="2100" customFormat="false" ht="14.25" hidden="true" customHeight="true" outlineLevel="0" collapsed="false">
      <c r="A2100" s="16" t="s">
        <v>38</v>
      </c>
      <c r="B2100" s="16" t="s">
        <v>155</v>
      </c>
      <c r="C2100" s="16" t="s">
        <v>169</v>
      </c>
      <c r="D2100" s="38"/>
      <c r="E2100" s="39"/>
      <c r="F2100" s="22" t="n">
        <f aca="false">IFERROR(D2100*E2100,0)</f>
        <v>0</v>
      </c>
      <c r="G2100" s="16" t="str">
        <f aca="false">INDEX(SETORES!$B:$B,MATCH(A2100,SETORES!$A:$A,0))</f>
        <v>Clientes</v>
      </c>
      <c r="H2100" s="16" t="s">
        <v>88</v>
      </c>
    </row>
    <row r="2101" customFormat="false" ht="14.25" hidden="true" customHeight="true" outlineLevel="0" collapsed="false">
      <c r="A2101" s="16" t="s">
        <v>43</v>
      </c>
      <c r="B2101" s="16" t="s">
        <v>155</v>
      </c>
      <c r="C2101" s="16" t="s">
        <v>170</v>
      </c>
      <c r="D2101" s="38"/>
      <c r="E2101" s="39"/>
      <c r="F2101" s="22" t="n">
        <f aca="false">IFERROR(D2101*E2101,0)</f>
        <v>0</v>
      </c>
      <c r="G2101" s="16" t="str">
        <f aca="false">INDEX(SETORES!$B:$B,MATCH(A2101,SETORES!$A:$A,0))</f>
        <v>Clientes</v>
      </c>
      <c r="H2101" s="16" t="s">
        <v>88</v>
      </c>
    </row>
    <row r="2102" customFormat="false" ht="14.25" hidden="true" customHeight="true" outlineLevel="0" collapsed="false">
      <c r="A2102" s="16" t="s">
        <v>43</v>
      </c>
      <c r="B2102" s="16" t="s">
        <v>155</v>
      </c>
      <c r="C2102" s="16" t="s">
        <v>171</v>
      </c>
      <c r="D2102" s="38"/>
      <c r="E2102" s="39"/>
      <c r="F2102" s="22" t="n">
        <f aca="false">IFERROR(D2102*E2102,0)</f>
        <v>0</v>
      </c>
      <c r="G2102" s="16" t="str">
        <f aca="false">INDEX(SETORES!$B:$B,MATCH(A2102,SETORES!$A:$A,0))</f>
        <v>Clientes</v>
      </c>
      <c r="H2102" s="16" t="s">
        <v>88</v>
      </c>
    </row>
    <row r="2103" customFormat="false" ht="14.25" hidden="true" customHeight="true" outlineLevel="0" collapsed="false">
      <c r="A2103" s="16" t="s">
        <v>43</v>
      </c>
      <c r="B2103" s="16" t="s">
        <v>155</v>
      </c>
      <c r="C2103" s="16" t="s">
        <v>169</v>
      </c>
      <c r="D2103" s="38"/>
      <c r="E2103" s="39"/>
      <c r="F2103" s="22" t="n">
        <f aca="false">IFERROR(D2103*E2103,0)</f>
        <v>0</v>
      </c>
      <c r="G2103" s="16" t="str">
        <f aca="false">INDEX(SETORES!$B:$B,MATCH(A2103,SETORES!$A:$A,0))</f>
        <v>Clientes</v>
      </c>
      <c r="H2103" s="16" t="s">
        <v>88</v>
      </c>
    </row>
    <row r="2104" customFormat="false" ht="14.25" hidden="true" customHeight="true" outlineLevel="0" collapsed="false">
      <c r="A2104" s="16" t="s">
        <v>40</v>
      </c>
      <c r="B2104" s="16" t="s">
        <v>155</v>
      </c>
      <c r="C2104" s="16" t="s">
        <v>170</v>
      </c>
      <c r="D2104" s="38"/>
      <c r="E2104" s="39"/>
      <c r="F2104" s="22" t="n">
        <f aca="false">IFERROR(D2104*E2104,0)</f>
        <v>0</v>
      </c>
      <c r="G2104" s="16" t="str">
        <f aca="false">INDEX(SETORES!$B:$B,MATCH(A2104,SETORES!$A:$A,0))</f>
        <v>Clientes</v>
      </c>
      <c r="H2104" s="16" t="s">
        <v>88</v>
      </c>
    </row>
    <row r="2105" customFormat="false" ht="14.25" hidden="true" customHeight="true" outlineLevel="0" collapsed="false">
      <c r="A2105" s="16" t="s">
        <v>40</v>
      </c>
      <c r="B2105" s="16" t="s">
        <v>155</v>
      </c>
      <c r="C2105" s="16" t="s">
        <v>171</v>
      </c>
      <c r="D2105" s="38"/>
      <c r="E2105" s="39"/>
      <c r="F2105" s="22" t="n">
        <f aca="false">IFERROR(D2105*E2105,0)</f>
        <v>0</v>
      </c>
      <c r="G2105" s="16" t="str">
        <f aca="false">INDEX(SETORES!$B:$B,MATCH(A2105,SETORES!$A:$A,0))</f>
        <v>Clientes</v>
      </c>
      <c r="H2105" s="16" t="s">
        <v>88</v>
      </c>
    </row>
    <row r="2106" customFormat="false" ht="14.25" hidden="true" customHeight="true" outlineLevel="0" collapsed="false">
      <c r="A2106" s="16" t="s">
        <v>40</v>
      </c>
      <c r="B2106" s="16" t="s">
        <v>155</v>
      </c>
      <c r="C2106" s="16" t="s">
        <v>169</v>
      </c>
      <c r="D2106" s="38"/>
      <c r="E2106" s="39"/>
      <c r="F2106" s="22" t="n">
        <f aca="false">IFERROR(D2106*E2106,0)</f>
        <v>0</v>
      </c>
      <c r="G2106" s="16" t="str">
        <f aca="false">INDEX(SETORES!$B:$B,MATCH(A2106,SETORES!$A:$A,0))</f>
        <v>Clientes</v>
      </c>
      <c r="H2106" s="16" t="s">
        <v>88</v>
      </c>
    </row>
    <row r="2107" customFormat="false" ht="14.25" hidden="true" customHeight="true" outlineLevel="0" collapsed="false">
      <c r="A2107" s="16" t="s">
        <v>41</v>
      </c>
      <c r="B2107" s="16" t="s">
        <v>155</v>
      </c>
      <c r="C2107" s="16" t="s">
        <v>170</v>
      </c>
      <c r="D2107" s="38"/>
      <c r="E2107" s="39"/>
      <c r="F2107" s="22" t="n">
        <f aca="false">IFERROR(D2107*E2107,0)</f>
        <v>0</v>
      </c>
      <c r="G2107" s="16" t="str">
        <f aca="false">INDEX(SETORES!$B:$B,MATCH(A2107,SETORES!$A:$A,0))</f>
        <v>Clientes</v>
      </c>
      <c r="H2107" s="16" t="s">
        <v>88</v>
      </c>
    </row>
    <row r="2108" customFormat="false" ht="14.25" hidden="true" customHeight="true" outlineLevel="0" collapsed="false">
      <c r="A2108" s="16" t="s">
        <v>41</v>
      </c>
      <c r="B2108" s="16" t="s">
        <v>155</v>
      </c>
      <c r="C2108" s="16" t="s">
        <v>171</v>
      </c>
      <c r="D2108" s="38"/>
      <c r="E2108" s="39"/>
      <c r="F2108" s="22" t="n">
        <f aca="false">IFERROR(D2108*E2108,0)</f>
        <v>0</v>
      </c>
      <c r="G2108" s="16" t="str">
        <f aca="false">INDEX(SETORES!$B:$B,MATCH(A2108,SETORES!$A:$A,0))</f>
        <v>Clientes</v>
      </c>
      <c r="H2108" s="16" t="s">
        <v>88</v>
      </c>
    </row>
    <row r="2109" customFormat="false" ht="14.25" hidden="true" customHeight="true" outlineLevel="0" collapsed="false">
      <c r="A2109" s="16" t="s">
        <v>41</v>
      </c>
      <c r="B2109" s="16" t="s">
        <v>155</v>
      </c>
      <c r="C2109" s="16" t="s">
        <v>169</v>
      </c>
      <c r="D2109" s="38"/>
      <c r="E2109" s="39"/>
      <c r="F2109" s="22" t="n">
        <f aca="false">IFERROR(D2109*E2109,0)</f>
        <v>0</v>
      </c>
      <c r="G2109" s="16" t="str">
        <f aca="false">INDEX(SETORES!$B:$B,MATCH(A2109,SETORES!$A:$A,0))</f>
        <v>Clientes</v>
      </c>
      <c r="H2109" s="16" t="s">
        <v>88</v>
      </c>
    </row>
    <row r="2110" customFormat="false" ht="14.25" hidden="true" customHeight="true" outlineLevel="0" collapsed="false">
      <c r="A2110" s="16" t="s">
        <v>33</v>
      </c>
      <c r="B2110" s="16" t="s">
        <v>155</v>
      </c>
      <c r="C2110" s="16" t="s">
        <v>170</v>
      </c>
      <c r="D2110" s="38"/>
      <c r="E2110" s="39"/>
      <c r="F2110" s="22" t="n">
        <f aca="false">IFERROR(D2110*E2110,0)</f>
        <v>0</v>
      </c>
      <c r="G2110" s="16" t="str">
        <f aca="false">INDEX(SETORES!$B:$B,MATCH(A2110,SETORES!$A:$A,0))</f>
        <v>Funcionários</v>
      </c>
      <c r="H2110" s="16" t="s">
        <v>88</v>
      </c>
    </row>
    <row r="2111" customFormat="false" ht="14.25" hidden="true" customHeight="true" outlineLevel="0" collapsed="false">
      <c r="A2111" s="16" t="s">
        <v>33</v>
      </c>
      <c r="B2111" s="16" t="s">
        <v>155</v>
      </c>
      <c r="C2111" s="16" t="s">
        <v>171</v>
      </c>
      <c r="D2111" s="38"/>
      <c r="E2111" s="39"/>
      <c r="F2111" s="22" t="n">
        <f aca="false">IFERROR(D2111*E2111,0)</f>
        <v>0</v>
      </c>
      <c r="G2111" s="16" t="str">
        <f aca="false">INDEX(SETORES!$B:$B,MATCH(A2111,SETORES!$A:$A,0))</f>
        <v>Funcionários</v>
      </c>
      <c r="H2111" s="16" t="s">
        <v>88</v>
      </c>
    </row>
    <row r="2112" customFormat="false" ht="14.25" hidden="true" customHeight="true" outlineLevel="0" collapsed="false">
      <c r="A2112" s="16" t="s">
        <v>33</v>
      </c>
      <c r="B2112" s="16" t="s">
        <v>155</v>
      </c>
      <c r="C2112" s="16" t="s">
        <v>169</v>
      </c>
      <c r="D2112" s="38"/>
      <c r="E2112" s="39"/>
      <c r="F2112" s="22" t="n">
        <f aca="false">IFERROR(D2112*E2112,0)</f>
        <v>0</v>
      </c>
      <c r="G2112" s="16" t="str">
        <f aca="false">INDEX(SETORES!$B:$B,MATCH(A2112,SETORES!$A:$A,0))</f>
        <v>Funcionários</v>
      </c>
      <c r="H2112" s="16" t="s">
        <v>88</v>
      </c>
    </row>
    <row r="2113" customFormat="false" ht="14.25" hidden="true" customHeight="true" outlineLevel="0" collapsed="false">
      <c r="A2113" s="16" t="s">
        <v>42</v>
      </c>
      <c r="B2113" s="16" t="s">
        <v>155</v>
      </c>
      <c r="C2113" s="16" t="s">
        <v>170</v>
      </c>
      <c r="D2113" s="38"/>
      <c r="E2113" s="39"/>
      <c r="F2113" s="22" t="n">
        <f aca="false">IFERROR(D2113*E2113,0)</f>
        <v>0</v>
      </c>
      <c r="G2113" s="16" t="str">
        <f aca="false">INDEX(SETORES!$B:$B,MATCH(A2113,SETORES!$A:$A,0))</f>
        <v>Clientes</v>
      </c>
      <c r="H2113" s="16" t="s">
        <v>88</v>
      </c>
    </row>
    <row r="2114" customFormat="false" ht="14.25" hidden="true" customHeight="true" outlineLevel="0" collapsed="false">
      <c r="A2114" s="16" t="s">
        <v>42</v>
      </c>
      <c r="B2114" s="16" t="s">
        <v>155</v>
      </c>
      <c r="C2114" s="16" t="s">
        <v>171</v>
      </c>
      <c r="D2114" s="38"/>
      <c r="E2114" s="39"/>
      <c r="F2114" s="22" t="n">
        <f aca="false">IFERROR(D2114*E2114,0)</f>
        <v>0</v>
      </c>
      <c r="G2114" s="16" t="str">
        <f aca="false">INDEX(SETORES!$B:$B,MATCH(A2114,SETORES!$A:$A,0))</f>
        <v>Clientes</v>
      </c>
      <c r="H2114" s="16" t="s">
        <v>88</v>
      </c>
    </row>
    <row r="2115" customFormat="false" ht="14.25" hidden="true" customHeight="true" outlineLevel="0" collapsed="false">
      <c r="A2115" s="16" t="s">
        <v>42</v>
      </c>
      <c r="B2115" s="16" t="s">
        <v>155</v>
      </c>
      <c r="C2115" s="16" t="s">
        <v>169</v>
      </c>
      <c r="D2115" s="38"/>
      <c r="E2115" s="39"/>
      <c r="F2115" s="22" t="n">
        <f aca="false">IFERROR(D2115*E2115,0)</f>
        <v>0</v>
      </c>
      <c r="G2115" s="16" t="str">
        <f aca="false">INDEX(SETORES!$B:$B,MATCH(A2115,SETORES!$A:$A,0))</f>
        <v>Clientes</v>
      </c>
      <c r="H2115" s="16" t="s">
        <v>88</v>
      </c>
    </row>
    <row r="2116" customFormat="false" ht="14.25" hidden="true" customHeight="true" outlineLevel="0" collapsed="false">
      <c r="A2116" s="16" t="s">
        <v>45</v>
      </c>
      <c r="B2116" s="16" t="s">
        <v>155</v>
      </c>
      <c r="C2116" s="16" t="s">
        <v>170</v>
      </c>
      <c r="D2116" s="38"/>
      <c r="E2116" s="39"/>
      <c r="F2116" s="22" t="n">
        <f aca="false">IFERROR(D2116*E2116,0)</f>
        <v>0</v>
      </c>
      <c r="G2116" s="16" t="str">
        <f aca="false">INDEX(SETORES!$B:$B,MATCH(A2116,SETORES!$A:$A,0))</f>
        <v>Clientes</v>
      </c>
      <c r="H2116" s="16" t="s">
        <v>88</v>
      </c>
    </row>
    <row r="2117" customFormat="false" ht="14.25" hidden="true" customHeight="true" outlineLevel="0" collapsed="false">
      <c r="A2117" s="16" t="s">
        <v>45</v>
      </c>
      <c r="B2117" s="16" t="s">
        <v>155</v>
      </c>
      <c r="C2117" s="16" t="s">
        <v>171</v>
      </c>
      <c r="D2117" s="38"/>
      <c r="E2117" s="39"/>
      <c r="F2117" s="22" t="n">
        <f aca="false">IFERROR(D2117*E2117,0)</f>
        <v>0</v>
      </c>
      <c r="G2117" s="16" t="str">
        <f aca="false">INDEX(SETORES!$B:$B,MATCH(A2117,SETORES!$A:$A,0))</f>
        <v>Clientes</v>
      </c>
      <c r="H2117" s="16" t="s">
        <v>88</v>
      </c>
    </row>
    <row r="2118" customFormat="false" ht="14.25" hidden="true" customHeight="true" outlineLevel="0" collapsed="false">
      <c r="A2118" s="16" t="s">
        <v>45</v>
      </c>
      <c r="B2118" s="16" t="s">
        <v>155</v>
      </c>
      <c r="C2118" s="16" t="s">
        <v>169</v>
      </c>
      <c r="D2118" s="38"/>
      <c r="E2118" s="39"/>
      <c r="F2118" s="22" t="n">
        <f aca="false">IFERROR(D2118*E2118,0)</f>
        <v>0</v>
      </c>
      <c r="G2118" s="16" t="str">
        <f aca="false">INDEX(SETORES!$B:$B,MATCH(A2118,SETORES!$A:$A,0))</f>
        <v>Clientes</v>
      </c>
      <c r="H2118" s="16" t="s">
        <v>88</v>
      </c>
    </row>
    <row r="2119" customFormat="false" ht="14.25" hidden="true" customHeight="true" outlineLevel="0" collapsed="false">
      <c r="A2119" s="16" t="s">
        <v>50</v>
      </c>
      <c r="B2119" s="16" t="s">
        <v>155</v>
      </c>
      <c r="C2119" s="16" t="s">
        <v>170</v>
      </c>
      <c r="D2119" s="38"/>
      <c r="E2119" s="39"/>
      <c r="F2119" s="22" t="n">
        <f aca="false">IFERROR(D2119*E2119,0)</f>
        <v>0</v>
      </c>
      <c r="G2119" s="16" t="str">
        <f aca="false">INDEX(SETORES!$B:$B,MATCH(A2119,SETORES!$A:$A,0))</f>
        <v>Clientes</v>
      </c>
      <c r="H2119" s="16" t="s">
        <v>88</v>
      </c>
    </row>
    <row r="2120" customFormat="false" ht="14.25" hidden="true" customHeight="true" outlineLevel="0" collapsed="false">
      <c r="A2120" s="16" t="s">
        <v>50</v>
      </c>
      <c r="B2120" s="16" t="s">
        <v>155</v>
      </c>
      <c r="C2120" s="16" t="s">
        <v>171</v>
      </c>
      <c r="D2120" s="38"/>
      <c r="E2120" s="39"/>
      <c r="F2120" s="22" t="n">
        <f aca="false">IFERROR(D2120*E2120,0)</f>
        <v>0</v>
      </c>
      <c r="G2120" s="16" t="str">
        <f aca="false">INDEX(SETORES!$B:$B,MATCH(A2120,SETORES!$A:$A,0))</f>
        <v>Clientes</v>
      </c>
      <c r="H2120" s="16" t="s">
        <v>88</v>
      </c>
    </row>
    <row r="2121" customFormat="false" ht="14.25" hidden="true" customHeight="true" outlineLevel="0" collapsed="false">
      <c r="A2121" s="16" t="s">
        <v>50</v>
      </c>
      <c r="B2121" s="16" t="s">
        <v>155</v>
      </c>
      <c r="C2121" s="16" t="s">
        <v>169</v>
      </c>
      <c r="D2121" s="38"/>
      <c r="E2121" s="39"/>
      <c r="F2121" s="22" t="n">
        <f aca="false">IFERROR(D2121*E2121,0)</f>
        <v>0</v>
      </c>
      <c r="G2121" s="16" t="str">
        <f aca="false">INDEX(SETORES!$B:$B,MATCH(A2121,SETORES!$A:$A,0))</f>
        <v>Clientes</v>
      </c>
      <c r="H2121" s="16" t="s">
        <v>88</v>
      </c>
    </row>
    <row r="2122" customFormat="false" ht="14.25" hidden="true" customHeight="true" outlineLevel="0" collapsed="false">
      <c r="A2122" s="16" t="s">
        <v>36</v>
      </c>
      <c r="B2122" s="16" t="s">
        <v>155</v>
      </c>
      <c r="C2122" s="16" t="s">
        <v>170</v>
      </c>
      <c r="D2122" s="38"/>
      <c r="E2122" s="39"/>
      <c r="F2122" s="22" t="n">
        <f aca="false">IFERROR(D2122*E2122,0)</f>
        <v>0</v>
      </c>
      <c r="G2122" s="16" t="str">
        <f aca="false">INDEX(SETORES!$B:$B,MATCH(A2122,SETORES!$A:$A,0))</f>
        <v>Clientes</v>
      </c>
      <c r="H2122" s="16" t="s">
        <v>88</v>
      </c>
    </row>
    <row r="2123" customFormat="false" ht="14.25" hidden="true" customHeight="true" outlineLevel="0" collapsed="false">
      <c r="A2123" s="16" t="s">
        <v>36</v>
      </c>
      <c r="B2123" s="16" t="s">
        <v>155</v>
      </c>
      <c r="C2123" s="16" t="s">
        <v>171</v>
      </c>
      <c r="D2123" s="38"/>
      <c r="E2123" s="39"/>
      <c r="F2123" s="22" t="n">
        <f aca="false">IFERROR(D2123*E2123,0)</f>
        <v>0</v>
      </c>
      <c r="G2123" s="16" t="str">
        <f aca="false">INDEX(SETORES!$B:$B,MATCH(A2123,SETORES!$A:$A,0))</f>
        <v>Clientes</v>
      </c>
      <c r="H2123" s="16" t="s">
        <v>88</v>
      </c>
    </row>
    <row r="2124" customFormat="false" ht="14.25" hidden="true" customHeight="true" outlineLevel="0" collapsed="false">
      <c r="A2124" s="16" t="s">
        <v>36</v>
      </c>
      <c r="B2124" s="16" t="s">
        <v>155</v>
      </c>
      <c r="C2124" s="16" t="s">
        <v>169</v>
      </c>
      <c r="D2124" s="38"/>
      <c r="E2124" s="39"/>
      <c r="F2124" s="22" t="n">
        <f aca="false">IFERROR(D2124*E2124,0)</f>
        <v>0</v>
      </c>
      <c r="G2124" s="16" t="str">
        <f aca="false">INDEX(SETORES!$B:$B,MATCH(A2124,SETORES!$A:$A,0))</f>
        <v>Clientes</v>
      </c>
      <c r="H2124" s="16" t="s">
        <v>88</v>
      </c>
    </row>
    <row r="2125" customFormat="false" ht="14.25" hidden="true" customHeight="true" outlineLevel="0" collapsed="false">
      <c r="A2125" s="16" t="s">
        <v>48</v>
      </c>
      <c r="B2125" s="16" t="s">
        <v>155</v>
      </c>
      <c r="C2125" s="16" t="s">
        <v>170</v>
      </c>
      <c r="D2125" s="38"/>
      <c r="E2125" s="39"/>
      <c r="F2125" s="22" t="n">
        <f aca="false">IFERROR(D2125*E2125,0)</f>
        <v>0</v>
      </c>
      <c r="G2125" s="16" t="str">
        <f aca="false">INDEX(SETORES!$B:$B,MATCH(A2125,SETORES!$A:$A,0))</f>
        <v>Clientes</v>
      </c>
      <c r="H2125" s="16" t="s">
        <v>88</v>
      </c>
    </row>
    <row r="2126" customFormat="false" ht="14.25" hidden="true" customHeight="true" outlineLevel="0" collapsed="false">
      <c r="A2126" s="16" t="s">
        <v>48</v>
      </c>
      <c r="B2126" s="16" t="s">
        <v>155</v>
      </c>
      <c r="C2126" s="16" t="s">
        <v>171</v>
      </c>
      <c r="D2126" s="38"/>
      <c r="E2126" s="39"/>
      <c r="F2126" s="22" t="n">
        <f aca="false">IFERROR(D2126*E2126,0)</f>
        <v>0</v>
      </c>
      <c r="G2126" s="16" t="str">
        <f aca="false">INDEX(SETORES!$B:$B,MATCH(A2126,SETORES!$A:$A,0))</f>
        <v>Clientes</v>
      </c>
      <c r="H2126" s="16" t="s">
        <v>88</v>
      </c>
    </row>
    <row r="2127" customFormat="false" ht="14.25" hidden="true" customHeight="true" outlineLevel="0" collapsed="false">
      <c r="A2127" s="16" t="s">
        <v>48</v>
      </c>
      <c r="B2127" s="16" t="s">
        <v>155</v>
      </c>
      <c r="C2127" s="16" t="s">
        <v>169</v>
      </c>
      <c r="D2127" s="38"/>
      <c r="E2127" s="39"/>
      <c r="F2127" s="22" t="n">
        <f aca="false">IFERROR(D2127*E2127,0)</f>
        <v>0</v>
      </c>
      <c r="G2127" s="16" t="str">
        <f aca="false">INDEX(SETORES!$B:$B,MATCH(A2127,SETORES!$A:$A,0))</f>
        <v>Clientes</v>
      </c>
      <c r="H2127" s="16" t="s">
        <v>88</v>
      </c>
    </row>
    <row r="2128" customFormat="false" ht="14.25" hidden="true" customHeight="true" outlineLevel="0" collapsed="false">
      <c r="A2128" s="16" t="s">
        <v>47</v>
      </c>
      <c r="B2128" s="16" t="s">
        <v>155</v>
      </c>
      <c r="C2128" s="16" t="s">
        <v>170</v>
      </c>
      <c r="D2128" s="38"/>
      <c r="E2128" s="39"/>
      <c r="F2128" s="22" t="n">
        <f aca="false">IFERROR(D2128*E2128,0)</f>
        <v>0</v>
      </c>
      <c r="G2128" s="16" t="str">
        <f aca="false">INDEX(SETORES!$B:$B,MATCH(A2128,SETORES!$A:$A,0))</f>
        <v>Clientes</v>
      </c>
      <c r="H2128" s="16" t="s">
        <v>88</v>
      </c>
    </row>
    <row r="2129" customFormat="false" ht="14.25" hidden="true" customHeight="true" outlineLevel="0" collapsed="false">
      <c r="A2129" s="16" t="s">
        <v>47</v>
      </c>
      <c r="B2129" s="16" t="s">
        <v>155</v>
      </c>
      <c r="C2129" s="16" t="s">
        <v>171</v>
      </c>
      <c r="D2129" s="38"/>
      <c r="E2129" s="39"/>
      <c r="F2129" s="22" t="n">
        <f aca="false">IFERROR(D2129*E2129,0)</f>
        <v>0</v>
      </c>
      <c r="G2129" s="16" t="str">
        <f aca="false">INDEX(SETORES!$B:$B,MATCH(A2129,SETORES!$A:$A,0))</f>
        <v>Clientes</v>
      </c>
      <c r="H2129" s="16" t="s">
        <v>88</v>
      </c>
    </row>
    <row r="2130" customFormat="false" ht="14.25" hidden="true" customHeight="true" outlineLevel="0" collapsed="false">
      <c r="A2130" s="16" t="s">
        <v>47</v>
      </c>
      <c r="B2130" s="16" t="s">
        <v>155</v>
      </c>
      <c r="C2130" s="16" t="s">
        <v>169</v>
      </c>
      <c r="D2130" s="38"/>
      <c r="E2130" s="39"/>
      <c r="F2130" s="22" t="n">
        <f aca="false">IFERROR(D2130*E2130,0)</f>
        <v>0</v>
      </c>
      <c r="G2130" s="16" t="str">
        <f aca="false">INDEX(SETORES!$B:$B,MATCH(A2130,SETORES!$A:$A,0))</f>
        <v>Clientes</v>
      </c>
      <c r="H2130" s="16" t="s">
        <v>88</v>
      </c>
    </row>
    <row r="2131" customFormat="false" ht="14.25" hidden="true" customHeight="true" outlineLevel="0" collapsed="false">
      <c r="A2131" s="16" t="s">
        <v>31</v>
      </c>
      <c r="B2131" s="16" t="s">
        <v>155</v>
      </c>
      <c r="C2131" s="16" t="s">
        <v>170</v>
      </c>
      <c r="D2131" s="38"/>
      <c r="E2131" s="39"/>
      <c r="F2131" s="22" t="n">
        <f aca="false">IFERROR(D2131*E2131,0)</f>
        <v>0</v>
      </c>
      <c r="G2131" s="16" t="str">
        <f aca="false">INDEX(SETORES!$B:$B,MATCH(A2131,SETORES!$A:$A,0))</f>
        <v>Clientes</v>
      </c>
      <c r="H2131" s="16" t="s">
        <v>88</v>
      </c>
    </row>
    <row r="2132" customFormat="false" ht="14.25" hidden="true" customHeight="true" outlineLevel="0" collapsed="false">
      <c r="A2132" s="16" t="s">
        <v>31</v>
      </c>
      <c r="B2132" s="16" t="s">
        <v>155</v>
      </c>
      <c r="C2132" s="16" t="s">
        <v>171</v>
      </c>
      <c r="D2132" s="38"/>
      <c r="E2132" s="39"/>
      <c r="F2132" s="22" t="n">
        <f aca="false">IFERROR(D2132*E2132,0)</f>
        <v>0</v>
      </c>
      <c r="G2132" s="16" t="str">
        <f aca="false">INDEX(SETORES!$B:$B,MATCH(A2132,SETORES!$A:$A,0))</f>
        <v>Clientes</v>
      </c>
      <c r="H2132" s="16" t="s">
        <v>88</v>
      </c>
    </row>
    <row r="2133" customFormat="false" ht="14.25" hidden="true" customHeight="true" outlineLevel="0" collapsed="false">
      <c r="A2133" s="16" t="s">
        <v>31</v>
      </c>
      <c r="B2133" s="16" t="s">
        <v>155</v>
      </c>
      <c r="C2133" s="16" t="s">
        <v>169</v>
      </c>
      <c r="D2133" s="38"/>
      <c r="E2133" s="39"/>
      <c r="F2133" s="22" t="n">
        <f aca="false">IFERROR(D2133*E2133,0)</f>
        <v>0</v>
      </c>
      <c r="G2133" s="16" t="str">
        <f aca="false">INDEX(SETORES!$B:$B,MATCH(A2133,SETORES!$A:$A,0))</f>
        <v>Clientes</v>
      </c>
      <c r="H2133" s="16" t="s">
        <v>88</v>
      </c>
    </row>
    <row r="2134" customFormat="false" ht="14.25" hidden="true" customHeight="true" outlineLevel="0" collapsed="false">
      <c r="A2134" s="16" t="s">
        <v>37</v>
      </c>
      <c r="B2134" s="16" t="s">
        <v>155</v>
      </c>
      <c r="C2134" s="16" t="s">
        <v>170</v>
      </c>
      <c r="D2134" s="38"/>
      <c r="E2134" s="39"/>
      <c r="F2134" s="22" t="n">
        <f aca="false">IFERROR(D2134*E2134,0)</f>
        <v>0</v>
      </c>
      <c r="G2134" s="16" t="str">
        <f aca="false">INDEX(SETORES!$B:$B,MATCH(A2134,SETORES!$A:$A,0))</f>
        <v>Clientes</v>
      </c>
      <c r="H2134" s="16" t="s">
        <v>88</v>
      </c>
    </row>
    <row r="2135" customFormat="false" ht="14.25" hidden="true" customHeight="true" outlineLevel="0" collapsed="false">
      <c r="A2135" s="16" t="s">
        <v>37</v>
      </c>
      <c r="B2135" s="16" t="s">
        <v>155</v>
      </c>
      <c r="C2135" s="16" t="s">
        <v>171</v>
      </c>
      <c r="D2135" s="38"/>
      <c r="E2135" s="39"/>
      <c r="F2135" s="22" t="n">
        <f aca="false">IFERROR(D2135*E2135,0)</f>
        <v>0</v>
      </c>
      <c r="G2135" s="16" t="str">
        <f aca="false">INDEX(SETORES!$B:$B,MATCH(A2135,SETORES!$A:$A,0))</f>
        <v>Clientes</v>
      </c>
      <c r="H2135" s="16" t="s">
        <v>88</v>
      </c>
    </row>
    <row r="2136" customFormat="false" ht="14.25" hidden="true" customHeight="true" outlineLevel="0" collapsed="false">
      <c r="A2136" s="16" t="s">
        <v>37</v>
      </c>
      <c r="B2136" s="16" t="s">
        <v>155</v>
      </c>
      <c r="C2136" s="16" t="s">
        <v>169</v>
      </c>
      <c r="D2136" s="38"/>
      <c r="E2136" s="39"/>
      <c r="F2136" s="22" t="n">
        <f aca="false">IFERROR(D2136*E2136,0)</f>
        <v>0</v>
      </c>
      <c r="G2136" s="16" t="str">
        <f aca="false">INDEX(SETORES!$B:$B,MATCH(A2136,SETORES!$A:$A,0))</f>
        <v>Clientes</v>
      </c>
      <c r="H2136" s="16" t="s">
        <v>88</v>
      </c>
    </row>
    <row r="2137" customFormat="false" ht="14.25" hidden="true" customHeight="true" outlineLevel="0" collapsed="false">
      <c r="A2137" s="16" t="s">
        <v>46</v>
      </c>
      <c r="B2137" s="16" t="s">
        <v>155</v>
      </c>
      <c r="C2137" s="16" t="s">
        <v>170</v>
      </c>
      <c r="D2137" s="38"/>
      <c r="E2137" s="39"/>
      <c r="F2137" s="22" t="n">
        <f aca="false">IFERROR(D2137*E2137,0)</f>
        <v>0</v>
      </c>
      <c r="G2137" s="16" t="str">
        <f aca="false">INDEX(SETORES!$B:$B,MATCH(A2137,SETORES!$A:$A,0))</f>
        <v>Clientes</v>
      </c>
      <c r="H2137" s="16" t="s">
        <v>88</v>
      </c>
    </row>
    <row r="2138" customFormat="false" ht="14.25" hidden="true" customHeight="true" outlineLevel="0" collapsed="false">
      <c r="A2138" s="16" t="s">
        <v>46</v>
      </c>
      <c r="B2138" s="16" t="s">
        <v>155</v>
      </c>
      <c r="C2138" s="16" t="s">
        <v>171</v>
      </c>
      <c r="D2138" s="38"/>
      <c r="E2138" s="39"/>
      <c r="F2138" s="22" t="n">
        <f aca="false">IFERROR(D2138*E2138,0)</f>
        <v>0</v>
      </c>
      <c r="G2138" s="16" t="str">
        <f aca="false">INDEX(SETORES!$B:$B,MATCH(A2138,SETORES!$A:$A,0))</f>
        <v>Clientes</v>
      </c>
      <c r="H2138" s="16" t="s">
        <v>88</v>
      </c>
    </row>
    <row r="2139" customFormat="false" ht="14.25" hidden="true" customHeight="true" outlineLevel="0" collapsed="false">
      <c r="A2139" s="16" t="s">
        <v>46</v>
      </c>
      <c r="B2139" s="16" t="s">
        <v>155</v>
      </c>
      <c r="C2139" s="16" t="s">
        <v>169</v>
      </c>
      <c r="D2139" s="38"/>
      <c r="E2139" s="39"/>
      <c r="F2139" s="22" t="n">
        <f aca="false">IFERROR(D2139*E2139,0)</f>
        <v>0</v>
      </c>
      <c r="G2139" s="16" t="str">
        <f aca="false">INDEX(SETORES!$B:$B,MATCH(A2139,SETORES!$A:$A,0))</f>
        <v>Clientes</v>
      </c>
      <c r="H2139" s="16" t="s">
        <v>88</v>
      </c>
    </row>
    <row r="2140" customFormat="false" ht="14.25" hidden="true" customHeight="true" outlineLevel="0" collapsed="false">
      <c r="A2140" s="16" t="s">
        <v>49</v>
      </c>
      <c r="B2140" s="16" t="s">
        <v>155</v>
      </c>
      <c r="C2140" s="16" t="s">
        <v>170</v>
      </c>
      <c r="D2140" s="38"/>
      <c r="E2140" s="39"/>
      <c r="F2140" s="22" t="n">
        <f aca="false">IFERROR(D2140*E2140,0)</f>
        <v>0</v>
      </c>
      <c r="G2140" s="16" t="str">
        <f aca="false">INDEX(SETORES!$B:$B,MATCH(A2140,SETORES!$A:$A,0))</f>
        <v>Clientes</v>
      </c>
      <c r="H2140" s="16" t="s">
        <v>88</v>
      </c>
    </row>
    <row r="2141" customFormat="false" ht="14.25" hidden="true" customHeight="true" outlineLevel="0" collapsed="false">
      <c r="A2141" s="16" t="s">
        <v>49</v>
      </c>
      <c r="B2141" s="16" t="s">
        <v>155</v>
      </c>
      <c r="C2141" s="16" t="s">
        <v>171</v>
      </c>
      <c r="D2141" s="38"/>
      <c r="E2141" s="39"/>
      <c r="F2141" s="22" t="n">
        <f aca="false">IFERROR(D2141*E2141,0)</f>
        <v>0</v>
      </c>
      <c r="G2141" s="16" t="str">
        <f aca="false">INDEX(SETORES!$B:$B,MATCH(A2141,SETORES!$A:$A,0))</f>
        <v>Clientes</v>
      </c>
      <c r="H2141" s="16" t="s">
        <v>88</v>
      </c>
    </row>
    <row r="2142" customFormat="false" ht="14.25" hidden="true" customHeight="true" outlineLevel="0" collapsed="false">
      <c r="A2142" s="16" t="s">
        <v>49</v>
      </c>
      <c r="B2142" s="16" t="s">
        <v>155</v>
      </c>
      <c r="C2142" s="16" t="s">
        <v>169</v>
      </c>
      <c r="D2142" s="38"/>
      <c r="E2142" s="39"/>
      <c r="F2142" s="22" t="n">
        <f aca="false">IFERROR(D2142*E2142,0)</f>
        <v>0</v>
      </c>
      <c r="G2142" s="16" t="str">
        <f aca="false">INDEX(SETORES!$B:$B,MATCH(A2142,SETORES!$A:$A,0))</f>
        <v>Clientes</v>
      </c>
      <c r="H2142" s="16" t="s">
        <v>88</v>
      </c>
    </row>
    <row r="2143" customFormat="false" ht="14.25" hidden="true" customHeight="true" outlineLevel="0" collapsed="false">
      <c r="A2143" s="16" t="s">
        <v>32</v>
      </c>
      <c r="B2143" s="16" t="s">
        <v>155</v>
      </c>
      <c r="C2143" s="16" t="s">
        <v>170</v>
      </c>
      <c r="D2143" s="38"/>
      <c r="E2143" s="39"/>
      <c r="F2143" s="22" t="n">
        <f aca="false">IFERROR(D2143*E2143,0)</f>
        <v>0</v>
      </c>
      <c r="G2143" s="16" t="str">
        <f aca="false">INDEX(SETORES!$B:$B,MATCH(A2143,SETORES!$A:$A,0))</f>
        <v>Funcionários</v>
      </c>
      <c r="H2143" s="16" t="s">
        <v>88</v>
      </c>
    </row>
    <row r="2144" customFormat="false" ht="14.25" hidden="true" customHeight="true" outlineLevel="0" collapsed="false">
      <c r="A2144" s="16" t="s">
        <v>32</v>
      </c>
      <c r="B2144" s="16" t="s">
        <v>155</v>
      </c>
      <c r="C2144" s="16" t="s">
        <v>171</v>
      </c>
      <c r="D2144" s="38"/>
      <c r="E2144" s="39"/>
      <c r="F2144" s="22" t="n">
        <f aca="false">IFERROR(D2144*E2144,0)</f>
        <v>0</v>
      </c>
      <c r="G2144" s="16" t="str">
        <f aca="false">INDEX(SETORES!$B:$B,MATCH(A2144,SETORES!$A:$A,0))</f>
        <v>Funcionários</v>
      </c>
      <c r="H2144" s="16" t="s">
        <v>88</v>
      </c>
    </row>
    <row r="2145" customFormat="false" ht="14.25" hidden="true" customHeight="true" outlineLevel="0" collapsed="false">
      <c r="A2145" s="16" t="s">
        <v>32</v>
      </c>
      <c r="B2145" s="16" t="s">
        <v>155</v>
      </c>
      <c r="C2145" s="16" t="s">
        <v>169</v>
      </c>
      <c r="D2145" s="38"/>
      <c r="E2145" s="39"/>
      <c r="F2145" s="22" t="n">
        <f aca="false">IFERROR(D2145*E2145,0)</f>
        <v>0</v>
      </c>
      <c r="G2145" s="16" t="str">
        <f aca="false">INDEX(SETORES!$B:$B,MATCH(A2145,SETORES!$A:$A,0))</f>
        <v>Funcionários</v>
      </c>
      <c r="H2145" s="16" t="s">
        <v>88</v>
      </c>
    </row>
    <row r="2146" customFormat="false" ht="14.25" hidden="true" customHeight="true" outlineLevel="0" collapsed="false">
      <c r="A2146" s="16" t="s">
        <v>39</v>
      </c>
      <c r="B2146" s="16" t="s">
        <v>155</v>
      </c>
      <c r="C2146" s="16" t="s">
        <v>170</v>
      </c>
      <c r="D2146" s="38"/>
      <c r="E2146" s="39"/>
      <c r="F2146" s="22" t="n">
        <f aca="false">IFERROR(D2146*E2146,0)</f>
        <v>0</v>
      </c>
      <c r="G2146" s="16" t="str">
        <f aca="false">INDEX(SETORES!$B:$B,MATCH(A2146,SETORES!$A:$A,0))</f>
        <v>Clientes</v>
      </c>
      <c r="H2146" s="16" t="s">
        <v>88</v>
      </c>
    </row>
    <row r="2147" customFormat="false" ht="14.25" hidden="true" customHeight="true" outlineLevel="0" collapsed="false">
      <c r="A2147" s="16" t="s">
        <v>39</v>
      </c>
      <c r="B2147" s="16" t="s">
        <v>155</v>
      </c>
      <c r="C2147" s="16" t="s">
        <v>171</v>
      </c>
      <c r="D2147" s="38"/>
      <c r="E2147" s="39"/>
      <c r="F2147" s="22" t="n">
        <f aca="false">IFERROR(D2147*E2147,0)</f>
        <v>0</v>
      </c>
      <c r="G2147" s="16" t="str">
        <f aca="false">INDEX(SETORES!$B:$B,MATCH(A2147,SETORES!$A:$A,0))</f>
        <v>Clientes</v>
      </c>
      <c r="H2147" s="16" t="s">
        <v>88</v>
      </c>
    </row>
    <row r="2148" customFormat="false" ht="14.25" hidden="true" customHeight="true" outlineLevel="0" collapsed="false">
      <c r="A2148" s="16" t="s">
        <v>39</v>
      </c>
      <c r="B2148" s="16" t="s">
        <v>155</v>
      </c>
      <c r="C2148" s="16" t="s">
        <v>169</v>
      </c>
      <c r="D2148" s="38"/>
      <c r="E2148" s="39"/>
      <c r="F2148" s="22" t="n">
        <f aca="false">IFERROR(D2148*E2148,0)</f>
        <v>0</v>
      </c>
      <c r="G2148" s="16" t="str">
        <f aca="false">INDEX(SETORES!$B:$B,MATCH(A2148,SETORES!$A:$A,0))</f>
        <v>Clientes</v>
      </c>
      <c r="H2148" s="16" t="s">
        <v>88</v>
      </c>
    </row>
    <row r="2149" customFormat="false" ht="14.25" hidden="true" customHeight="true" outlineLevel="0" collapsed="false">
      <c r="A2149" s="16" t="s">
        <v>44</v>
      </c>
      <c r="B2149" s="16" t="s">
        <v>155</v>
      </c>
      <c r="C2149" s="16" t="s">
        <v>170</v>
      </c>
      <c r="D2149" s="38"/>
      <c r="E2149" s="39"/>
      <c r="F2149" s="22" t="n">
        <f aca="false">IFERROR(D2149*E2149,0)</f>
        <v>0</v>
      </c>
      <c r="G2149" s="16" t="str">
        <f aca="false">INDEX(SETORES!$B:$B,MATCH(A2149,SETORES!$A:$A,0))</f>
        <v>Funcionários</v>
      </c>
      <c r="H2149" s="16" t="s">
        <v>88</v>
      </c>
    </row>
    <row r="2150" customFormat="false" ht="14.25" hidden="true" customHeight="true" outlineLevel="0" collapsed="false">
      <c r="A2150" s="16" t="s">
        <v>44</v>
      </c>
      <c r="B2150" s="16" t="s">
        <v>155</v>
      </c>
      <c r="C2150" s="16" t="s">
        <v>171</v>
      </c>
      <c r="D2150" s="38"/>
      <c r="E2150" s="39"/>
      <c r="F2150" s="22" t="n">
        <f aca="false">IFERROR(D2150*E2150,0)</f>
        <v>0</v>
      </c>
      <c r="G2150" s="16" t="str">
        <f aca="false">INDEX(SETORES!$B:$B,MATCH(A2150,SETORES!$A:$A,0))</f>
        <v>Funcionários</v>
      </c>
      <c r="H2150" s="16" t="s">
        <v>88</v>
      </c>
    </row>
    <row r="2151" customFormat="false" ht="14.25" hidden="true" customHeight="true" outlineLevel="0" collapsed="false">
      <c r="A2151" s="16" t="s">
        <v>44</v>
      </c>
      <c r="B2151" s="16" t="s">
        <v>155</v>
      </c>
      <c r="C2151" s="16" t="s">
        <v>169</v>
      </c>
      <c r="D2151" s="38"/>
      <c r="E2151" s="39"/>
      <c r="F2151" s="22" t="n">
        <f aca="false">IFERROR(D2151*E2151,0)</f>
        <v>0</v>
      </c>
      <c r="G2151" s="16" t="str">
        <f aca="false">INDEX(SETORES!$B:$B,MATCH(A2151,SETORES!$A:$A,0))</f>
        <v>Funcionários</v>
      </c>
      <c r="H2151" s="16" t="s">
        <v>88</v>
      </c>
    </row>
    <row r="2152" customFormat="false" ht="14.25" hidden="true" customHeight="true" outlineLevel="0" collapsed="false">
      <c r="A2152" s="16" t="s">
        <v>52</v>
      </c>
      <c r="B2152" s="16" t="s">
        <v>155</v>
      </c>
      <c r="C2152" s="16" t="s">
        <v>170</v>
      </c>
      <c r="D2152" s="38"/>
      <c r="E2152" s="39"/>
      <c r="F2152" s="22" t="n">
        <f aca="false">IFERROR(D2152*E2152,0)</f>
        <v>0</v>
      </c>
      <c r="G2152" s="16" t="str">
        <f aca="false">INDEX(SETORES!$B:$B,MATCH(A2152,SETORES!$A:$A,0))</f>
        <v>Clientes</v>
      </c>
      <c r="H2152" s="16" t="s">
        <v>88</v>
      </c>
    </row>
    <row r="2153" customFormat="false" ht="14.25" hidden="true" customHeight="true" outlineLevel="0" collapsed="false">
      <c r="A2153" s="16" t="s">
        <v>52</v>
      </c>
      <c r="B2153" s="16" t="s">
        <v>155</v>
      </c>
      <c r="C2153" s="16" t="s">
        <v>171</v>
      </c>
      <c r="D2153" s="38"/>
      <c r="E2153" s="39"/>
      <c r="F2153" s="22" t="n">
        <f aca="false">IFERROR(D2153*E2153,0)</f>
        <v>0</v>
      </c>
      <c r="G2153" s="16" t="str">
        <f aca="false">INDEX(SETORES!$B:$B,MATCH(A2153,SETORES!$A:$A,0))</f>
        <v>Clientes</v>
      </c>
      <c r="H2153" s="16" t="s">
        <v>88</v>
      </c>
    </row>
    <row r="2154" customFormat="false" ht="14.25" hidden="true" customHeight="true" outlineLevel="0" collapsed="false">
      <c r="A2154" s="16" t="s">
        <v>52</v>
      </c>
      <c r="B2154" s="16" t="s">
        <v>155</v>
      </c>
      <c r="C2154" s="16" t="s">
        <v>169</v>
      </c>
      <c r="D2154" s="38"/>
      <c r="E2154" s="39"/>
      <c r="F2154" s="22" t="n">
        <f aca="false">IFERROR(D2154*E2154,0)</f>
        <v>0</v>
      </c>
      <c r="G2154" s="16" t="str">
        <f aca="false">INDEX(SETORES!$B:$B,MATCH(A2154,SETORES!$A:$A,0))</f>
        <v>Clientes</v>
      </c>
      <c r="H2154" s="16" t="s">
        <v>88</v>
      </c>
    </row>
    <row r="2155" customFormat="false" ht="14.25" hidden="true" customHeight="true" outlineLevel="0" collapsed="false">
      <c r="A2155" s="16" t="s">
        <v>53</v>
      </c>
      <c r="B2155" s="16" t="s">
        <v>155</v>
      </c>
      <c r="C2155" s="16" t="s">
        <v>170</v>
      </c>
      <c r="D2155" s="38"/>
      <c r="E2155" s="39"/>
      <c r="F2155" s="22" t="n">
        <f aca="false">IFERROR(D2155*E2155,0)</f>
        <v>0</v>
      </c>
      <c r="G2155" s="16" t="str">
        <f aca="false">INDEX(SETORES!$B:$B,MATCH(A2155,SETORES!$A:$A,0))</f>
        <v>Clientes</v>
      </c>
      <c r="H2155" s="16" t="s">
        <v>88</v>
      </c>
    </row>
    <row r="2156" customFormat="false" ht="14.25" hidden="true" customHeight="true" outlineLevel="0" collapsed="false">
      <c r="A2156" s="16" t="s">
        <v>53</v>
      </c>
      <c r="B2156" s="16" t="s">
        <v>155</v>
      </c>
      <c r="C2156" s="16" t="s">
        <v>171</v>
      </c>
      <c r="D2156" s="38"/>
      <c r="E2156" s="39"/>
      <c r="F2156" s="22" t="n">
        <f aca="false">IFERROR(D2156*E2156,0)</f>
        <v>0</v>
      </c>
      <c r="G2156" s="16" t="str">
        <f aca="false">INDEX(SETORES!$B:$B,MATCH(A2156,SETORES!$A:$A,0))</f>
        <v>Clientes</v>
      </c>
      <c r="H2156" s="16" t="s">
        <v>88</v>
      </c>
    </row>
    <row r="2157" customFormat="false" ht="14.25" hidden="true" customHeight="true" outlineLevel="0" collapsed="false">
      <c r="A2157" s="16" t="s">
        <v>53</v>
      </c>
      <c r="B2157" s="16" t="s">
        <v>155</v>
      </c>
      <c r="C2157" s="16" t="s">
        <v>169</v>
      </c>
      <c r="D2157" s="38"/>
      <c r="E2157" s="39"/>
      <c r="F2157" s="22" t="n">
        <f aca="false">IFERROR(D2157*E2157,0)</f>
        <v>0</v>
      </c>
      <c r="G2157" s="16" t="str">
        <f aca="false">INDEX(SETORES!$B:$B,MATCH(A2157,SETORES!$A:$A,0))</f>
        <v>Clientes</v>
      </c>
      <c r="H2157" s="16" t="s">
        <v>88</v>
      </c>
    </row>
    <row r="2158" customFormat="false" ht="14.25" hidden="true" customHeight="true" outlineLevel="0" collapsed="false">
      <c r="A2158" s="16" t="s">
        <v>51</v>
      </c>
      <c r="B2158" s="16" t="s">
        <v>155</v>
      </c>
      <c r="C2158" s="16" t="s">
        <v>170</v>
      </c>
      <c r="D2158" s="38"/>
      <c r="E2158" s="39"/>
      <c r="F2158" s="22" t="n">
        <f aca="false">IFERROR(D2158*E2158,0)</f>
        <v>0</v>
      </c>
      <c r="G2158" s="16" t="str">
        <f aca="false">INDEX(SETORES!$B:$B,MATCH(A2158,SETORES!$A:$A,0))</f>
        <v>Clientes</v>
      </c>
      <c r="H2158" s="16" t="s">
        <v>88</v>
      </c>
    </row>
    <row r="2159" customFormat="false" ht="14.25" hidden="true" customHeight="true" outlineLevel="0" collapsed="false">
      <c r="A2159" s="16" t="s">
        <v>51</v>
      </c>
      <c r="B2159" s="16" t="s">
        <v>155</v>
      </c>
      <c r="C2159" s="16" t="s">
        <v>171</v>
      </c>
      <c r="D2159" s="38"/>
      <c r="E2159" s="39"/>
      <c r="F2159" s="22" t="n">
        <f aca="false">IFERROR(D2159*E2159,0)</f>
        <v>0</v>
      </c>
      <c r="G2159" s="16" t="str">
        <f aca="false">INDEX(SETORES!$B:$B,MATCH(A2159,SETORES!$A:$A,0))</f>
        <v>Clientes</v>
      </c>
      <c r="H2159" s="16" t="s">
        <v>88</v>
      </c>
    </row>
    <row r="2160" customFormat="false" ht="14.25" hidden="true" customHeight="true" outlineLevel="0" collapsed="false">
      <c r="A2160" s="16" t="s">
        <v>51</v>
      </c>
      <c r="B2160" s="16" t="s">
        <v>155</v>
      </c>
      <c r="C2160" s="16" t="s">
        <v>169</v>
      </c>
      <c r="D2160" s="38"/>
      <c r="E2160" s="39"/>
      <c r="F2160" s="22" t="n">
        <f aca="false">IFERROR(D2160*E2160,0)</f>
        <v>0</v>
      </c>
      <c r="G2160" s="16" t="str">
        <f aca="false">INDEX(SETORES!$B:$B,MATCH(A2160,SETORES!$A:$A,0))</f>
        <v>Clientes</v>
      </c>
      <c r="H2160" s="16" t="s">
        <v>88</v>
      </c>
    </row>
    <row r="2161" customFormat="false" ht="14.25" hidden="true" customHeight="true" outlineLevel="0" collapsed="false">
      <c r="A2161" s="16" t="s">
        <v>54</v>
      </c>
      <c r="B2161" s="16" t="s">
        <v>155</v>
      </c>
      <c r="C2161" s="16" t="s">
        <v>246</v>
      </c>
      <c r="D2161" s="38"/>
      <c r="E2161" s="39"/>
      <c r="F2161" s="22" t="n">
        <f aca="false">IFERROR(D2161*E2161,0)</f>
        <v>0</v>
      </c>
      <c r="G2161" s="16" t="str">
        <f aca="false">INDEX(SETORES!$B:$B,MATCH(A2161,SETORES!$A:$A,0))</f>
        <v>Clientes</v>
      </c>
      <c r="H2161" s="16" t="s">
        <v>88</v>
      </c>
    </row>
    <row r="2162" customFormat="false" ht="14.25" hidden="true" customHeight="true" outlineLevel="0" collapsed="false">
      <c r="A2162" s="16" t="s">
        <v>51</v>
      </c>
      <c r="B2162" s="16" t="s">
        <v>155</v>
      </c>
      <c r="C2162" s="16" t="s">
        <v>240</v>
      </c>
      <c r="D2162" s="38"/>
      <c r="E2162" s="39"/>
      <c r="F2162" s="22" t="n">
        <f aca="false">IFERROR(D2162*E2162,0)</f>
        <v>0</v>
      </c>
      <c r="G2162" s="16" t="str">
        <f aca="false">INDEX(SETORES!$B:$B,MATCH(A2162,SETORES!$A:$A,0))</f>
        <v>Clientes</v>
      </c>
      <c r="H2162" s="16" t="s">
        <v>88</v>
      </c>
    </row>
    <row r="2163" customFormat="false" ht="14.25" hidden="true" customHeight="true" outlineLevel="0" collapsed="false">
      <c r="A2163" s="16" t="s">
        <v>43</v>
      </c>
      <c r="B2163" s="16" t="s">
        <v>162</v>
      </c>
      <c r="C2163" s="16" t="s">
        <v>217</v>
      </c>
      <c r="D2163" s="38"/>
      <c r="E2163" s="39"/>
      <c r="F2163" s="22" t="n">
        <f aca="false">IFERROR(D2163*E2163,0)</f>
        <v>0</v>
      </c>
      <c r="G2163" s="16" t="str">
        <f aca="false">INDEX(SETORES!$B:$B,MATCH(A2163,SETORES!$A:$A,0))</f>
        <v>Clientes</v>
      </c>
      <c r="H2163" s="16" t="s">
        <v>88</v>
      </c>
    </row>
    <row r="2164" customFormat="false" ht="14.25" hidden="true" customHeight="true" outlineLevel="0" collapsed="false">
      <c r="A2164" s="16" t="s">
        <v>40</v>
      </c>
      <c r="B2164" s="16" t="s">
        <v>162</v>
      </c>
      <c r="C2164" s="16" t="s">
        <v>165</v>
      </c>
      <c r="D2164" s="38"/>
      <c r="E2164" s="39"/>
      <c r="F2164" s="22" t="n">
        <f aca="false">IFERROR(D2164*E2164,0)</f>
        <v>0</v>
      </c>
      <c r="G2164" s="16" t="str">
        <f aca="false">INDEX(SETORES!$B:$B,MATCH(A2164,SETORES!$A:$A,0))</f>
        <v>Clientes</v>
      </c>
      <c r="H2164" s="16" t="s">
        <v>88</v>
      </c>
    </row>
    <row r="2165" customFormat="false" ht="14.25" hidden="true" customHeight="true" outlineLevel="0" collapsed="false">
      <c r="A2165" s="16" t="s">
        <v>53</v>
      </c>
      <c r="B2165" s="16" t="s">
        <v>162</v>
      </c>
      <c r="C2165" s="16" t="s">
        <v>222</v>
      </c>
      <c r="D2165" s="38"/>
      <c r="E2165" s="39"/>
      <c r="F2165" s="22" t="n">
        <f aca="false">IFERROR(D2165*E2165,0)</f>
        <v>0</v>
      </c>
      <c r="G2165" s="16" t="str">
        <f aca="false">INDEX(SETORES!$B:$B,MATCH(A2165,SETORES!$A:$A,0))</f>
        <v>Clientes</v>
      </c>
      <c r="H2165" s="16" t="s">
        <v>88</v>
      </c>
    </row>
    <row r="2166" customFormat="false" ht="14.25" hidden="true" customHeight="true" outlineLevel="0" collapsed="false">
      <c r="A2166" s="16" t="s">
        <v>51</v>
      </c>
      <c r="B2166" s="16" t="s">
        <v>162</v>
      </c>
      <c r="C2166" s="16" t="s">
        <v>222</v>
      </c>
      <c r="D2166" s="38"/>
      <c r="E2166" s="39"/>
      <c r="F2166" s="22" t="n">
        <f aca="false">IFERROR(D2166*E2166,0)</f>
        <v>0</v>
      </c>
      <c r="G2166" s="16" t="str">
        <f aca="false">INDEX(SETORES!$B:$B,MATCH(A2166,SETORES!$A:$A,0))</f>
        <v>Clientes</v>
      </c>
      <c r="H2166" s="16" t="s">
        <v>88</v>
      </c>
    </row>
    <row r="2167" customFormat="false" ht="14.25" hidden="true" customHeight="true" outlineLevel="0" collapsed="false">
      <c r="A2167" s="16" t="s">
        <v>35</v>
      </c>
      <c r="B2167" s="16" t="s">
        <v>162</v>
      </c>
      <c r="C2167" s="16" t="s">
        <v>222</v>
      </c>
      <c r="D2167" s="38"/>
      <c r="E2167" s="39"/>
      <c r="F2167" s="22" t="n">
        <f aca="false">IFERROR(D2167*E2167,0)</f>
        <v>0</v>
      </c>
      <c r="G2167" s="16" t="str">
        <f aca="false">INDEX(SETORES!$B:$B,MATCH(A2167,SETORES!$A:$A,0))</f>
        <v>Clientes</v>
      </c>
      <c r="H2167" s="16" t="s">
        <v>88</v>
      </c>
    </row>
    <row r="2168" customFormat="false" ht="14.25" hidden="true" customHeight="true" outlineLevel="0" collapsed="false">
      <c r="A2168" s="16" t="s">
        <v>31</v>
      </c>
      <c r="B2168" s="16" t="s">
        <v>162</v>
      </c>
      <c r="C2168" s="16" t="s">
        <v>222</v>
      </c>
      <c r="D2168" s="38"/>
      <c r="E2168" s="39"/>
      <c r="F2168" s="22" t="n">
        <f aca="false">IFERROR(D2168*E2168,0)</f>
        <v>0</v>
      </c>
      <c r="G2168" s="16" t="str">
        <f aca="false">INDEX(SETORES!$B:$B,MATCH(A2168,SETORES!$A:$A,0))</f>
        <v>Clientes</v>
      </c>
      <c r="H2168" s="16" t="s">
        <v>88</v>
      </c>
    </row>
    <row r="2169" customFormat="false" ht="14.25" hidden="true" customHeight="true" outlineLevel="0" collapsed="false">
      <c r="A2169" s="16" t="s">
        <v>44</v>
      </c>
      <c r="B2169" s="16" t="s">
        <v>162</v>
      </c>
      <c r="C2169" s="16" t="s">
        <v>222</v>
      </c>
      <c r="D2169" s="38"/>
      <c r="E2169" s="39"/>
      <c r="F2169" s="22" t="n">
        <f aca="false">IFERROR(D2169*E2169,0)</f>
        <v>0</v>
      </c>
      <c r="G2169" s="16" t="str">
        <f aca="false">INDEX(SETORES!$B:$B,MATCH(A2169,SETORES!$A:$A,0))</f>
        <v>Funcionários</v>
      </c>
      <c r="H2169" s="16" t="s">
        <v>88</v>
      </c>
    </row>
    <row r="2170" customFormat="false" ht="14.25" hidden="false" customHeight="true" outlineLevel="0" collapsed="false">
      <c r="A2170" s="16" t="s">
        <v>55</v>
      </c>
      <c r="B2170" s="16" t="s">
        <v>162</v>
      </c>
      <c r="C2170" s="16" t="s">
        <v>222</v>
      </c>
      <c r="D2170" s="38"/>
      <c r="E2170" s="39"/>
      <c r="F2170" s="22" t="n">
        <f aca="false">IFERROR(D2170*E2170,0)</f>
        <v>0</v>
      </c>
      <c r="G2170" s="16" t="str">
        <f aca="false">INDEX(SETORES!$B:$B,MATCH(A2170,SETORES!$A:$A,0))</f>
        <v>Funcionários</v>
      </c>
      <c r="H2170" s="16" t="s">
        <v>88</v>
      </c>
    </row>
    <row r="2171" customFormat="false" ht="14.25" hidden="true" customHeight="true" outlineLevel="0" collapsed="false">
      <c r="A2171" s="16" t="s">
        <v>52</v>
      </c>
      <c r="B2171" s="16" t="s">
        <v>162</v>
      </c>
      <c r="C2171" s="16" t="s">
        <v>222</v>
      </c>
      <c r="D2171" s="38"/>
      <c r="E2171" s="39"/>
      <c r="F2171" s="22" t="n">
        <f aca="false">IFERROR(D2171*E2171,0)</f>
        <v>0</v>
      </c>
      <c r="G2171" s="16" t="str">
        <f aca="false">INDEX(SETORES!$B:$B,MATCH(A2171,SETORES!$A:$A,0))</f>
        <v>Clientes</v>
      </c>
      <c r="H2171" s="16" t="s">
        <v>88</v>
      </c>
    </row>
    <row r="2172" customFormat="false" ht="14.25" hidden="true" customHeight="true" outlineLevel="0" collapsed="false">
      <c r="A2172" s="16" t="s">
        <v>41</v>
      </c>
      <c r="B2172" s="16" t="s">
        <v>162</v>
      </c>
      <c r="C2172" s="16" t="s">
        <v>217</v>
      </c>
      <c r="D2172" s="38"/>
      <c r="E2172" s="39"/>
      <c r="F2172" s="22" t="n">
        <f aca="false">IFERROR(D2172*E2172,0)</f>
        <v>0</v>
      </c>
      <c r="G2172" s="16" t="str">
        <f aca="false">INDEX(SETORES!$B:$B,MATCH(A2172,SETORES!$A:$A,0))</f>
        <v>Clientes</v>
      </c>
      <c r="H2172" s="16" t="s">
        <v>88</v>
      </c>
    </row>
    <row r="2173" customFormat="false" ht="14.25" hidden="true" customHeight="true" outlineLevel="0" collapsed="false">
      <c r="A2173" s="16" t="s">
        <v>48</v>
      </c>
      <c r="B2173" s="16" t="s">
        <v>162</v>
      </c>
      <c r="C2173" s="16" t="s">
        <v>247</v>
      </c>
      <c r="D2173" s="38"/>
      <c r="E2173" s="39"/>
      <c r="F2173" s="22" t="n">
        <f aca="false">IFERROR(D2173*E2173,0)</f>
        <v>0</v>
      </c>
      <c r="G2173" s="16" t="str">
        <f aca="false">INDEX(SETORES!$B:$B,MATCH(A2173,SETORES!$A:$A,0))</f>
        <v>Clientes</v>
      </c>
      <c r="H2173" s="16" t="s">
        <v>88</v>
      </c>
    </row>
    <row r="2174" customFormat="false" ht="14.25" hidden="true" customHeight="true" outlineLevel="0" collapsed="false">
      <c r="A2174" s="16" t="s">
        <v>86</v>
      </c>
      <c r="B2174" s="16" t="s">
        <v>155</v>
      </c>
      <c r="C2174" s="16" t="s">
        <v>161</v>
      </c>
      <c r="D2174" s="38" t="n">
        <v>1</v>
      </c>
      <c r="E2174" s="39" t="n">
        <v>42206.73</v>
      </c>
      <c r="F2174" s="22" t="n">
        <f aca="false">IFERROR(D2174*E2174,0)</f>
        <v>42206.73</v>
      </c>
      <c r="G2174" s="16" t="str">
        <f aca="false">INDEX(SETORES!$B:$B,MATCH(A2174,SETORES!$A:$A,0))</f>
        <v>Clientes</v>
      </c>
      <c r="H2174" s="16" t="s">
        <v>88</v>
      </c>
    </row>
    <row r="2175" customFormat="false" ht="14.25" hidden="true" customHeight="true" outlineLevel="0" collapsed="false">
      <c r="A2175" s="16" t="s">
        <v>86</v>
      </c>
      <c r="B2175" s="16" t="s">
        <v>155</v>
      </c>
      <c r="C2175" s="16" t="s">
        <v>157</v>
      </c>
      <c r="D2175" s="38" t="n">
        <v>1</v>
      </c>
      <c r="E2175" s="39" t="n">
        <v>350.54</v>
      </c>
      <c r="F2175" s="22" t="n">
        <f aca="false">IFERROR(D2175*E2175,0)</f>
        <v>350.54</v>
      </c>
      <c r="G2175" s="16" t="str">
        <f aca="false">INDEX(SETORES!$B:$B,MATCH(A2175,SETORES!$A:$A,0))</f>
        <v>Clientes</v>
      </c>
      <c r="H2175" s="16" t="s">
        <v>88</v>
      </c>
    </row>
    <row r="2176" customFormat="false" ht="14.25" hidden="true" customHeight="true" outlineLevel="0" collapsed="false">
      <c r="A2176" s="16" t="s">
        <v>86</v>
      </c>
      <c r="B2176" s="16" t="s">
        <v>162</v>
      </c>
      <c r="C2176" s="16" t="s">
        <v>165</v>
      </c>
      <c r="D2176" s="38"/>
      <c r="E2176" s="39"/>
      <c r="F2176" s="22" t="n">
        <f aca="false">IFERROR(D2176*E2176,0)</f>
        <v>0</v>
      </c>
      <c r="G2176" s="16" t="str">
        <f aca="false">INDEX(SETORES!$B:$B,MATCH(A2176,SETORES!$A:$A,0))</f>
        <v>Clientes</v>
      </c>
      <c r="H2176" s="16" t="s">
        <v>88</v>
      </c>
    </row>
    <row r="2177" customFormat="false" ht="14.25" hidden="true" customHeight="true" outlineLevel="0" collapsed="false">
      <c r="A2177" s="16" t="s">
        <v>83</v>
      </c>
      <c r="B2177" s="16" t="s">
        <v>155</v>
      </c>
      <c r="C2177" s="16" t="s">
        <v>161</v>
      </c>
      <c r="D2177" s="38" t="n">
        <v>1</v>
      </c>
      <c r="E2177" s="39" t="n">
        <v>7846.31</v>
      </c>
      <c r="F2177" s="22" t="n">
        <f aca="false">IFERROR(D2177*E2177,0)</f>
        <v>7846.31</v>
      </c>
      <c r="G2177" s="16" t="str">
        <f aca="false">INDEX(SETORES!$B:$B,MATCH(A2177,SETORES!$A:$A,0))</f>
        <v>Clientes</v>
      </c>
      <c r="H2177" s="16" t="s">
        <v>88</v>
      </c>
    </row>
    <row r="2178" customFormat="false" ht="14.25" hidden="true" customHeight="true" outlineLevel="0" collapsed="false">
      <c r="A2178" s="16" t="s">
        <v>83</v>
      </c>
      <c r="B2178" s="16" t="s">
        <v>155</v>
      </c>
      <c r="C2178" s="16" t="s">
        <v>157</v>
      </c>
      <c r="D2178" s="38" t="n">
        <v>1</v>
      </c>
      <c r="E2178" s="39" t="n">
        <v>150.42</v>
      </c>
      <c r="F2178" s="22" t="n">
        <f aca="false">IFERROR(D2178*E2178,0)</f>
        <v>150.42</v>
      </c>
      <c r="G2178" s="16" t="str">
        <f aca="false">INDEX(SETORES!$B:$B,MATCH(A2178,SETORES!$A:$A,0))</f>
        <v>Clientes</v>
      </c>
      <c r="H2178" s="16" t="s">
        <v>88</v>
      </c>
    </row>
    <row r="2179" customFormat="false" ht="14.25" hidden="true" customHeight="true" outlineLevel="0" collapsed="false">
      <c r="A2179" s="16" t="s">
        <v>83</v>
      </c>
      <c r="B2179" s="16" t="s">
        <v>162</v>
      </c>
      <c r="C2179" s="16" t="s">
        <v>217</v>
      </c>
      <c r="D2179" s="38"/>
      <c r="E2179" s="39"/>
      <c r="F2179" s="22" t="n">
        <f aca="false">IFERROR(D2179*E2179,0)</f>
        <v>0</v>
      </c>
      <c r="G2179" s="16" t="str">
        <f aca="false">INDEX(SETORES!$B:$B,MATCH(A2179,SETORES!$A:$A,0))</f>
        <v>Clientes</v>
      </c>
      <c r="H2179" s="16" t="s">
        <v>88</v>
      </c>
    </row>
    <row r="2180" customFormat="false" ht="14.25" hidden="true" customHeight="true" outlineLevel="0" collapsed="false">
      <c r="A2180" s="16" t="s">
        <v>85</v>
      </c>
      <c r="B2180" s="16" t="s">
        <v>155</v>
      </c>
      <c r="C2180" s="16" t="s">
        <v>161</v>
      </c>
      <c r="D2180" s="38" t="n">
        <v>1</v>
      </c>
      <c r="E2180" s="39" t="n">
        <v>62265.7</v>
      </c>
      <c r="F2180" s="22" t="n">
        <f aca="false">IFERROR(D2180*E2180,0)</f>
        <v>62265.7</v>
      </c>
      <c r="G2180" s="16" t="str">
        <f aca="false">INDEX(SETORES!$B:$B,MATCH(A2180,SETORES!$A:$A,0))</f>
        <v>Clientes</v>
      </c>
      <c r="H2180" s="16" t="s">
        <v>88</v>
      </c>
    </row>
    <row r="2181" customFormat="false" ht="14.25" hidden="true" customHeight="true" outlineLevel="0" collapsed="false">
      <c r="A2181" s="16" t="s">
        <v>85</v>
      </c>
      <c r="B2181" s="16" t="s">
        <v>155</v>
      </c>
      <c r="C2181" s="16" t="s">
        <v>157</v>
      </c>
      <c r="D2181" s="38" t="n">
        <v>1</v>
      </c>
      <c r="E2181" s="39" t="n">
        <v>507.51</v>
      </c>
      <c r="F2181" s="22" t="n">
        <f aca="false">IFERROR(D2181*E2181,0)</f>
        <v>507.51</v>
      </c>
      <c r="G2181" s="16" t="str">
        <f aca="false">INDEX(SETORES!$B:$B,MATCH(A2181,SETORES!$A:$A,0))</f>
        <v>Clientes</v>
      </c>
      <c r="H2181" s="16" t="s">
        <v>88</v>
      </c>
    </row>
    <row r="2182" customFormat="false" ht="14.25" hidden="true" customHeight="true" outlineLevel="0" collapsed="false">
      <c r="A2182" s="16" t="s">
        <v>85</v>
      </c>
      <c r="B2182" s="16" t="s">
        <v>162</v>
      </c>
      <c r="C2182" s="16" t="s">
        <v>217</v>
      </c>
      <c r="D2182" s="38"/>
      <c r="E2182" s="39"/>
      <c r="F2182" s="22" t="n">
        <f aca="false">IFERROR(D2182*E2182,0)</f>
        <v>0</v>
      </c>
      <c r="G2182" s="16" t="str">
        <f aca="false">INDEX(SETORES!$B:$B,MATCH(A2182,SETORES!$A:$A,0))</f>
        <v>Clientes</v>
      </c>
      <c r="H2182" s="16" t="s">
        <v>88</v>
      </c>
    </row>
    <row r="2183" customFormat="false" ht="14.25" hidden="true" customHeight="true" outlineLevel="0" collapsed="false">
      <c r="A2183" s="16" t="s">
        <v>85</v>
      </c>
      <c r="B2183" s="16" t="s">
        <v>162</v>
      </c>
      <c r="C2183" s="16" t="s">
        <v>165</v>
      </c>
      <c r="D2183" s="38"/>
      <c r="E2183" s="39"/>
      <c r="F2183" s="22" t="n">
        <f aca="false">IFERROR(D2183*E2183,0)</f>
        <v>0</v>
      </c>
      <c r="G2183" s="16" t="str">
        <f aca="false">INDEX(SETORES!$B:$B,MATCH(A2183,SETORES!$A:$A,0))</f>
        <v>Clientes</v>
      </c>
      <c r="H2183" s="16" t="s">
        <v>88</v>
      </c>
    </row>
    <row r="2184" customFormat="false" ht="14.25" hidden="true" customHeight="true" outlineLevel="0" collapsed="false">
      <c r="A2184" s="16" t="s">
        <v>87</v>
      </c>
      <c r="B2184" s="16" t="s">
        <v>155</v>
      </c>
      <c r="C2184" s="16" t="s">
        <v>161</v>
      </c>
      <c r="D2184" s="38" t="n">
        <v>1</v>
      </c>
      <c r="E2184" s="39" t="n">
        <v>35073.9</v>
      </c>
      <c r="F2184" s="22" t="n">
        <f aca="false">IFERROR(D2184*E2184,0)</f>
        <v>35073.9</v>
      </c>
      <c r="G2184" s="16" t="str">
        <f aca="false">INDEX(SETORES!$B:$B,MATCH(A2184,SETORES!$A:$A,0))</f>
        <v>Clientes</v>
      </c>
      <c r="H2184" s="16" t="s">
        <v>88</v>
      </c>
    </row>
    <row r="2185" customFormat="false" ht="14.25" hidden="true" customHeight="true" outlineLevel="0" collapsed="false">
      <c r="A2185" s="16" t="s">
        <v>87</v>
      </c>
      <c r="B2185" s="16" t="s">
        <v>155</v>
      </c>
      <c r="C2185" s="16" t="s">
        <v>157</v>
      </c>
      <c r="D2185" s="38" t="n">
        <v>1</v>
      </c>
      <c r="E2185" s="39" t="n">
        <v>107.14</v>
      </c>
      <c r="F2185" s="22" t="n">
        <f aca="false">IFERROR(D2185*E2185,0)</f>
        <v>107.14</v>
      </c>
      <c r="G2185" s="16" t="str">
        <f aca="false">INDEX(SETORES!$B:$B,MATCH(A2185,SETORES!$A:$A,0))</f>
        <v>Clientes</v>
      </c>
      <c r="H2185" s="16" t="s">
        <v>88</v>
      </c>
    </row>
    <row r="2186" customFormat="false" ht="14.25" hidden="true" customHeight="true" outlineLevel="0" collapsed="false">
      <c r="A2186" s="16" t="s">
        <v>78</v>
      </c>
      <c r="B2186" s="16" t="s">
        <v>155</v>
      </c>
      <c r="C2186" s="16" t="s">
        <v>161</v>
      </c>
      <c r="D2186" s="38" t="n">
        <v>1</v>
      </c>
      <c r="E2186" s="39" t="n">
        <v>71692.57</v>
      </c>
      <c r="F2186" s="22" t="n">
        <f aca="false">IFERROR(D2186*E2186,0)</f>
        <v>71692.57</v>
      </c>
      <c r="G2186" s="16" t="str">
        <f aca="false">INDEX(SETORES!$B:$B,MATCH(A2186,SETORES!$A:$A,0))</f>
        <v>Clientes</v>
      </c>
      <c r="H2186" s="16" t="s">
        <v>88</v>
      </c>
    </row>
    <row r="2187" customFormat="false" ht="14.25" hidden="true" customHeight="true" outlineLevel="0" collapsed="false">
      <c r="A2187" s="16" t="s">
        <v>81</v>
      </c>
      <c r="B2187" s="16" t="s">
        <v>155</v>
      </c>
      <c r="C2187" s="16" t="s">
        <v>161</v>
      </c>
      <c r="D2187" s="38" t="n">
        <v>1</v>
      </c>
      <c r="E2187" s="39" t="n">
        <v>13644.85</v>
      </c>
      <c r="F2187" s="22" t="n">
        <f aca="false">IFERROR(D2187*E2187,0)</f>
        <v>13644.85</v>
      </c>
      <c r="G2187" s="16" t="str">
        <f aca="false">INDEX(SETORES!$B:$B,MATCH(A2187,SETORES!$A:$A,0))</f>
        <v>Clientes</v>
      </c>
      <c r="H2187" s="16" t="s">
        <v>88</v>
      </c>
    </row>
    <row r="2188" customFormat="false" ht="14.25" hidden="true" customHeight="true" outlineLevel="0" collapsed="false">
      <c r="A2188" s="16" t="s">
        <v>84</v>
      </c>
      <c r="B2188" s="16" t="s">
        <v>155</v>
      </c>
      <c r="C2188" s="16" t="s">
        <v>161</v>
      </c>
      <c r="D2188" s="38" t="n">
        <v>1</v>
      </c>
      <c r="E2188" s="39" t="n">
        <v>184970.83</v>
      </c>
      <c r="F2188" s="22" t="n">
        <f aca="false">IFERROR(D2188*E2188,0)</f>
        <v>184970.83</v>
      </c>
      <c r="G2188" s="16" t="str">
        <f aca="false">INDEX(SETORES!$B:$B,MATCH(A2188,SETORES!$A:$A,0))</f>
        <v>Clientes</v>
      </c>
      <c r="H2188" s="16" t="s">
        <v>88</v>
      </c>
    </row>
    <row r="2189" customFormat="false" ht="14.25" hidden="true" customHeight="true" outlineLevel="0" collapsed="false">
      <c r="A2189" s="16" t="s">
        <v>84</v>
      </c>
      <c r="B2189" s="16" t="s">
        <v>162</v>
      </c>
      <c r="C2189" s="16" t="s">
        <v>217</v>
      </c>
      <c r="D2189" s="38"/>
      <c r="E2189" s="39"/>
      <c r="F2189" s="22" t="n">
        <f aca="false">IFERROR(D2189*E2189,0)</f>
        <v>0</v>
      </c>
      <c r="G2189" s="16" t="str">
        <f aca="false">INDEX(SETORES!$B:$B,MATCH(A2189,SETORES!$A:$A,0))</f>
        <v>Clientes</v>
      </c>
      <c r="H2189" s="16" t="s">
        <v>88</v>
      </c>
    </row>
    <row r="2190" customFormat="false" ht="14.25" hidden="true" customHeight="true" outlineLevel="0" collapsed="false">
      <c r="A2190" s="16" t="s">
        <v>84</v>
      </c>
      <c r="B2190" s="16" t="s">
        <v>162</v>
      </c>
      <c r="C2190" s="16" t="s">
        <v>221</v>
      </c>
      <c r="D2190" s="38"/>
      <c r="E2190" s="39"/>
      <c r="F2190" s="22" t="n">
        <f aca="false">IFERROR(D2190*E2190,0)</f>
        <v>0</v>
      </c>
      <c r="G2190" s="16" t="str">
        <f aca="false">INDEX(SETORES!$B:$B,MATCH(A2190,SETORES!$A:$A,0))</f>
        <v>Clientes</v>
      </c>
      <c r="H2190" s="16" t="s">
        <v>88</v>
      </c>
    </row>
    <row r="2191" customFormat="false" ht="14.25" hidden="true" customHeight="true" outlineLevel="0" collapsed="false">
      <c r="A2191" s="16" t="s">
        <v>82</v>
      </c>
      <c r="B2191" s="16" t="s">
        <v>155</v>
      </c>
      <c r="C2191" s="16" t="s">
        <v>161</v>
      </c>
      <c r="D2191" s="38" t="n">
        <v>1</v>
      </c>
      <c r="E2191" s="39" t="n">
        <v>108616.1</v>
      </c>
      <c r="F2191" s="22" t="n">
        <f aca="false">IFERROR(D2191*E2191,0)</f>
        <v>108616.1</v>
      </c>
      <c r="G2191" s="16" t="str">
        <f aca="false">INDEX(SETORES!$B:$B,MATCH(A2191,SETORES!$A:$A,0))</f>
        <v>Clientes</v>
      </c>
      <c r="H2191" s="16" t="s">
        <v>88</v>
      </c>
    </row>
    <row r="2192" customFormat="false" ht="14.25" hidden="true" customHeight="true" outlineLevel="0" collapsed="false">
      <c r="A2192" s="16" t="s">
        <v>82</v>
      </c>
      <c r="B2192" s="16" t="s">
        <v>162</v>
      </c>
      <c r="C2192" s="16" t="s">
        <v>217</v>
      </c>
      <c r="D2192" s="38"/>
      <c r="E2192" s="39"/>
      <c r="F2192" s="22" t="n">
        <f aca="false">IFERROR(D2192*E2192,0)</f>
        <v>0</v>
      </c>
      <c r="G2192" s="16" t="str">
        <f aca="false">INDEX(SETORES!$B:$B,MATCH(A2192,SETORES!$A:$A,0))</f>
        <v>Clientes</v>
      </c>
      <c r="H2192" s="16" t="s">
        <v>88</v>
      </c>
    </row>
    <row r="2193" customFormat="false" ht="14.25" hidden="true" customHeight="true" outlineLevel="0" collapsed="false">
      <c r="A2193" s="16" t="s">
        <v>82</v>
      </c>
      <c r="B2193" s="16" t="s">
        <v>162</v>
      </c>
      <c r="C2193" s="16" t="s">
        <v>221</v>
      </c>
      <c r="D2193" s="38"/>
      <c r="E2193" s="39"/>
      <c r="F2193" s="22" t="n">
        <f aca="false">IFERROR(D2193*E2193,0)</f>
        <v>0</v>
      </c>
      <c r="G2193" s="16" t="str">
        <f aca="false">INDEX(SETORES!$B:$B,MATCH(A2193,SETORES!$A:$A,0))</f>
        <v>Clientes</v>
      </c>
      <c r="H2193" s="16" t="s">
        <v>88</v>
      </c>
    </row>
    <row r="2194" customFormat="false" ht="14.25" hidden="true" customHeight="true" outlineLevel="0" collapsed="false">
      <c r="A2194" s="16" t="s">
        <v>80</v>
      </c>
      <c r="B2194" s="16" t="s">
        <v>155</v>
      </c>
      <c r="C2194" s="16" t="s">
        <v>161</v>
      </c>
      <c r="D2194" s="38" t="n">
        <v>1</v>
      </c>
      <c r="E2194" s="39" t="n">
        <v>11133.4</v>
      </c>
      <c r="F2194" s="22" t="n">
        <f aca="false">IFERROR(D2194*E2194,0)</f>
        <v>11133.4</v>
      </c>
      <c r="G2194" s="16" t="str">
        <f aca="false">INDEX(SETORES!$B:$B,MATCH(A2194,SETORES!$A:$A,0))</f>
        <v>Clientes</v>
      </c>
      <c r="H2194" s="16" t="s">
        <v>88</v>
      </c>
    </row>
    <row r="2195" customFormat="false" ht="14.25" hidden="true" customHeight="true" outlineLevel="0" collapsed="false">
      <c r="A2195" s="16" t="s">
        <v>80</v>
      </c>
      <c r="B2195" s="16" t="s">
        <v>155</v>
      </c>
      <c r="C2195" s="16" t="s">
        <v>156</v>
      </c>
      <c r="D2195" s="38"/>
      <c r="E2195" s="39"/>
      <c r="F2195" s="22" t="n">
        <f aca="false">IFERROR(D2195*E2195,0)</f>
        <v>0</v>
      </c>
      <c r="G2195" s="16" t="str">
        <f aca="false">INDEX(SETORES!$B:$B,MATCH(A2195,SETORES!$A:$A,0))</f>
        <v>Clientes</v>
      </c>
      <c r="H2195" s="16" t="s">
        <v>88</v>
      </c>
    </row>
    <row r="2196" customFormat="false" ht="14.25" hidden="true" customHeight="true" outlineLevel="0" collapsed="false">
      <c r="A2196" s="16" t="s">
        <v>80</v>
      </c>
      <c r="B2196" s="16" t="s">
        <v>155</v>
      </c>
      <c r="C2196" s="16" t="s">
        <v>157</v>
      </c>
      <c r="D2196" s="38"/>
      <c r="E2196" s="39"/>
      <c r="F2196" s="22" t="n">
        <f aca="false">IFERROR(D2196*E2196,0)</f>
        <v>0</v>
      </c>
      <c r="G2196" s="16" t="str">
        <f aca="false">INDEX(SETORES!$B:$B,MATCH(A2196,SETORES!$A:$A,0))</f>
        <v>Clientes</v>
      </c>
      <c r="H2196" s="16" t="s">
        <v>88</v>
      </c>
    </row>
    <row r="2197" customFormat="false" ht="14.25" hidden="true" customHeight="true" outlineLevel="0" collapsed="false">
      <c r="A2197" s="16" t="s">
        <v>54</v>
      </c>
      <c r="B2197" s="16" t="s">
        <v>155</v>
      </c>
      <c r="C2197" s="16" t="s">
        <v>157</v>
      </c>
      <c r="D2197" s="38"/>
      <c r="E2197" s="39"/>
      <c r="F2197" s="22" t="n">
        <f aca="false">IFERROR(D2197*E2197,0)</f>
        <v>0</v>
      </c>
      <c r="G2197" s="16" t="str">
        <f aca="false">INDEX(SETORES!$B:$B,MATCH(A2197,SETORES!$A:$A,0))</f>
        <v>Clientes</v>
      </c>
      <c r="H2197" s="16" t="s">
        <v>88</v>
      </c>
    </row>
    <row r="2198" customFormat="false" ht="14.25" hidden="true" customHeight="true" outlineLevel="0" collapsed="false">
      <c r="A2198" s="16" t="s">
        <v>81</v>
      </c>
      <c r="B2198" s="16" t="s">
        <v>155</v>
      </c>
      <c r="C2198" s="16" t="s">
        <v>157</v>
      </c>
      <c r="D2198" s="38" t="n">
        <v>1</v>
      </c>
      <c r="E2198" s="39" t="n">
        <v>175.81</v>
      </c>
      <c r="F2198" s="22" t="n">
        <f aca="false">IFERROR(D2198*E2198,0)</f>
        <v>175.81</v>
      </c>
      <c r="G2198" s="16" t="str">
        <f aca="false">INDEX(SETORES!$B:$B,MATCH(A2198,SETORES!$A:$A,0))</f>
        <v>Clientes</v>
      </c>
      <c r="H2198" s="16" t="s">
        <v>88</v>
      </c>
    </row>
    <row r="2199" customFormat="false" ht="14.25" hidden="true" customHeight="true" outlineLevel="0" collapsed="false">
      <c r="A2199" s="16" t="s">
        <v>86</v>
      </c>
      <c r="B2199" s="16" t="s">
        <v>155</v>
      </c>
      <c r="C2199" s="16" t="s">
        <v>167</v>
      </c>
      <c r="D2199" s="38"/>
      <c r="E2199" s="39"/>
      <c r="F2199" s="22" t="n">
        <f aca="false">IFERROR(D2199*E2199,0)</f>
        <v>0</v>
      </c>
      <c r="G2199" s="16" t="str">
        <f aca="false">INDEX(SETORES!$B:$B,MATCH(A2199,SETORES!$A:$A,0))</f>
        <v>Clientes</v>
      </c>
      <c r="H2199" s="16" t="s">
        <v>88</v>
      </c>
    </row>
    <row r="2200" customFormat="false" ht="14.25" hidden="true" customHeight="true" outlineLevel="0" collapsed="false">
      <c r="A2200" s="16" t="s">
        <v>86</v>
      </c>
      <c r="B2200" s="16" t="s">
        <v>155</v>
      </c>
      <c r="C2200" s="16" t="s">
        <v>168</v>
      </c>
      <c r="D2200" s="38" t="n">
        <v>11</v>
      </c>
      <c r="E2200" s="39" t="n">
        <v>1.87</v>
      </c>
      <c r="F2200" s="22" t="n">
        <f aca="false">IFERROR(D2200*E2200,0)</f>
        <v>20.57</v>
      </c>
      <c r="G2200" s="16" t="str">
        <f aca="false">INDEX(SETORES!$B:$B,MATCH(A2200,SETORES!$A:$A,0))</f>
        <v>Clientes</v>
      </c>
      <c r="H2200" s="16" t="s">
        <v>88</v>
      </c>
    </row>
    <row r="2201" customFormat="false" ht="14.25" hidden="true" customHeight="true" outlineLevel="0" collapsed="false">
      <c r="A2201" s="16" t="s">
        <v>86</v>
      </c>
      <c r="B2201" s="16" t="s">
        <v>155</v>
      </c>
      <c r="C2201" s="16" t="s">
        <v>166</v>
      </c>
      <c r="D2201" s="38" t="n">
        <v>11</v>
      </c>
      <c r="E2201" s="39" t="n">
        <v>50</v>
      </c>
      <c r="F2201" s="22" t="n">
        <f aca="false">IFERROR(D2201*E2201,0)</f>
        <v>550</v>
      </c>
      <c r="G2201" s="16" t="str">
        <f aca="false">INDEX(SETORES!$B:$B,MATCH(A2201,SETORES!$A:$A,0))</f>
        <v>Clientes</v>
      </c>
      <c r="H2201" s="16" t="s">
        <v>88</v>
      </c>
    </row>
    <row r="2202" customFormat="false" ht="14.25" hidden="true" customHeight="true" outlineLevel="0" collapsed="false">
      <c r="A2202" s="16" t="s">
        <v>86</v>
      </c>
      <c r="B2202" s="16" t="s">
        <v>155</v>
      </c>
      <c r="C2202" s="16" t="s">
        <v>170</v>
      </c>
      <c r="D2202" s="38"/>
      <c r="E2202" s="39"/>
      <c r="F2202" s="22" t="n">
        <f aca="false">IFERROR(D2202*E2202,0)</f>
        <v>0</v>
      </c>
      <c r="G2202" s="16" t="str">
        <f aca="false">INDEX(SETORES!$B:$B,MATCH(A2202,SETORES!$A:$A,0))</f>
        <v>Clientes</v>
      </c>
      <c r="H2202" s="16" t="s">
        <v>88</v>
      </c>
    </row>
    <row r="2203" customFormat="false" ht="14.25" hidden="true" customHeight="true" outlineLevel="0" collapsed="false">
      <c r="A2203" s="16" t="s">
        <v>86</v>
      </c>
      <c r="B2203" s="16" t="s">
        <v>155</v>
      </c>
      <c r="C2203" s="16" t="s">
        <v>171</v>
      </c>
      <c r="D2203" s="38"/>
      <c r="E2203" s="39"/>
      <c r="F2203" s="22" t="n">
        <f aca="false">IFERROR(D2203*E2203,0)</f>
        <v>0</v>
      </c>
      <c r="G2203" s="16" t="str">
        <f aca="false">INDEX(SETORES!$B:$B,MATCH(A2203,SETORES!$A:$A,0))</f>
        <v>Clientes</v>
      </c>
      <c r="H2203" s="16" t="s">
        <v>88</v>
      </c>
    </row>
    <row r="2204" customFormat="false" ht="14.25" hidden="true" customHeight="true" outlineLevel="0" collapsed="false">
      <c r="A2204" s="16" t="s">
        <v>86</v>
      </c>
      <c r="B2204" s="16" t="s">
        <v>155</v>
      </c>
      <c r="C2204" s="16" t="s">
        <v>169</v>
      </c>
      <c r="D2204" s="38"/>
      <c r="E2204" s="39"/>
      <c r="F2204" s="22" t="n">
        <f aca="false">IFERROR(D2204*E2204,0)</f>
        <v>0</v>
      </c>
      <c r="G2204" s="16" t="str">
        <f aca="false">INDEX(SETORES!$B:$B,MATCH(A2204,SETORES!$A:$A,0))</f>
        <v>Clientes</v>
      </c>
      <c r="H2204" s="16" t="s">
        <v>88</v>
      </c>
    </row>
    <row r="2205" customFormat="false" ht="14.25" hidden="true" customHeight="true" outlineLevel="0" collapsed="false">
      <c r="A2205" s="16" t="s">
        <v>83</v>
      </c>
      <c r="B2205" s="16" t="s">
        <v>155</v>
      </c>
      <c r="C2205" s="16" t="s">
        <v>167</v>
      </c>
      <c r="D2205" s="38"/>
      <c r="E2205" s="39"/>
      <c r="F2205" s="22" t="n">
        <f aca="false">IFERROR(D2205*E2205,0)</f>
        <v>0</v>
      </c>
      <c r="G2205" s="16" t="str">
        <f aca="false">INDEX(SETORES!$B:$B,MATCH(A2205,SETORES!$A:$A,0))</f>
        <v>Clientes</v>
      </c>
      <c r="H2205" s="16" t="s">
        <v>88</v>
      </c>
    </row>
    <row r="2206" customFormat="false" ht="14.25" hidden="true" customHeight="true" outlineLevel="0" collapsed="false">
      <c r="A2206" s="16" t="s">
        <v>83</v>
      </c>
      <c r="B2206" s="16" t="s">
        <v>155</v>
      </c>
      <c r="C2206" s="16" t="s">
        <v>168</v>
      </c>
      <c r="D2206" s="38" t="n">
        <v>2</v>
      </c>
      <c r="E2206" s="39" t="n">
        <v>1.87</v>
      </c>
      <c r="F2206" s="22" t="n">
        <f aca="false">IFERROR(D2206*E2206,0)</f>
        <v>3.74</v>
      </c>
      <c r="G2206" s="16" t="str">
        <f aca="false">INDEX(SETORES!$B:$B,MATCH(A2206,SETORES!$A:$A,0))</f>
        <v>Clientes</v>
      </c>
      <c r="H2206" s="16" t="s">
        <v>88</v>
      </c>
    </row>
    <row r="2207" customFormat="false" ht="14.25" hidden="true" customHeight="true" outlineLevel="0" collapsed="false">
      <c r="A2207" s="16" t="s">
        <v>83</v>
      </c>
      <c r="B2207" s="16" t="s">
        <v>155</v>
      </c>
      <c r="C2207" s="16" t="s">
        <v>166</v>
      </c>
      <c r="D2207" s="38" t="n">
        <v>2</v>
      </c>
      <c r="E2207" s="39" t="n">
        <v>50</v>
      </c>
      <c r="F2207" s="22" t="n">
        <f aca="false">IFERROR(D2207*E2207,0)</f>
        <v>100</v>
      </c>
      <c r="G2207" s="16" t="str">
        <f aca="false">INDEX(SETORES!$B:$B,MATCH(A2207,SETORES!$A:$A,0))</f>
        <v>Clientes</v>
      </c>
      <c r="H2207" s="16" t="s">
        <v>88</v>
      </c>
    </row>
    <row r="2208" customFormat="false" ht="14.25" hidden="true" customHeight="true" outlineLevel="0" collapsed="false">
      <c r="A2208" s="16" t="s">
        <v>83</v>
      </c>
      <c r="B2208" s="16" t="s">
        <v>155</v>
      </c>
      <c r="C2208" s="16" t="s">
        <v>170</v>
      </c>
      <c r="D2208" s="38"/>
      <c r="E2208" s="39"/>
      <c r="F2208" s="22" t="n">
        <f aca="false">IFERROR(D2208*E2208,0)</f>
        <v>0</v>
      </c>
      <c r="G2208" s="16" t="str">
        <f aca="false">INDEX(SETORES!$B:$B,MATCH(A2208,SETORES!$A:$A,0))</f>
        <v>Clientes</v>
      </c>
      <c r="H2208" s="16" t="s">
        <v>88</v>
      </c>
    </row>
    <row r="2209" customFormat="false" ht="14.25" hidden="true" customHeight="true" outlineLevel="0" collapsed="false">
      <c r="A2209" s="16" t="s">
        <v>83</v>
      </c>
      <c r="B2209" s="16" t="s">
        <v>155</v>
      </c>
      <c r="C2209" s="16" t="s">
        <v>171</v>
      </c>
      <c r="D2209" s="38"/>
      <c r="E2209" s="39"/>
      <c r="F2209" s="22" t="n">
        <f aca="false">IFERROR(D2209*E2209,0)</f>
        <v>0</v>
      </c>
      <c r="G2209" s="16" t="str">
        <f aca="false">INDEX(SETORES!$B:$B,MATCH(A2209,SETORES!$A:$A,0))</f>
        <v>Clientes</v>
      </c>
      <c r="H2209" s="16" t="s">
        <v>88</v>
      </c>
    </row>
    <row r="2210" customFormat="false" ht="14.25" hidden="true" customHeight="true" outlineLevel="0" collapsed="false">
      <c r="A2210" s="16" t="s">
        <v>83</v>
      </c>
      <c r="B2210" s="16" t="s">
        <v>155</v>
      </c>
      <c r="C2210" s="16" t="s">
        <v>169</v>
      </c>
      <c r="D2210" s="38"/>
      <c r="E2210" s="39"/>
      <c r="F2210" s="22" t="n">
        <f aca="false">IFERROR(D2210*E2210,0)</f>
        <v>0</v>
      </c>
      <c r="G2210" s="16" t="str">
        <f aca="false">INDEX(SETORES!$B:$B,MATCH(A2210,SETORES!$A:$A,0))</f>
        <v>Clientes</v>
      </c>
      <c r="H2210" s="16" t="s">
        <v>88</v>
      </c>
    </row>
    <row r="2211" customFormat="false" ht="14.25" hidden="true" customHeight="true" outlineLevel="0" collapsed="false">
      <c r="A2211" s="16" t="s">
        <v>85</v>
      </c>
      <c r="B2211" s="16" t="s">
        <v>155</v>
      </c>
      <c r="C2211" s="16" t="s">
        <v>167</v>
      </c>
      <c r="D2211" s="38"/>
      <c r="E2211" s="39"/>
      <c r="F2211" s="22" t="n">
        <f aca="false">IFERROR(D2211*E2211,0)</f>
        <v>0</v>
      </c>
      <c r="G2211" s="16" t="str">
        <f aca="false">INDEX(SETORES!$B:$B,MATCH(A2211,SETORES!$A:$A,0))</f>
        <v>Clientes</v>
      </c>
      <c r="H2211" s="16" t="s">
        <v>88</v>
      </c>
    </row>
    <row r="2212" customFormat="false" ht="14.25" hidden="true" customHeight="true" outlineLevel="0" collapsed="false">
      <c r="A2212" s="16" t="s">
        <v>85</v>
      </c>
      <c r="B2212" s="16" t="s">
        <v>155</v>
      </c>
      <c r="C2212" s="16" t="s">
        <v>168</v>
      </c>
      <c r="D2212" s="38" t="n">
        <v>17</v>
      </c>
      <c r="E2212" s="39" t="n">
        <v>1.87</v>
      </c>
      <c r="F2212" s="22" t="n">
        <f aca="false">IFERROR(D2212*E2212,0)</f>
        <v>31.79</v>
      </c>
      <c r="G2212" s="16" t="str">
        <f aca="false">INDEX(SETORES!$B:$B,MATCH(A2212,SETORES!$A:$A,0))</f>
        <v>Clientes</v>
      </c>
      <c r="H2212" s="16" t="s">
        <v>88</v>
      </c>
    </row>
    <row r="2213" customFormat="false" ht="14.25" hidden="true" customHeight="true" outlineLevel="0" collapsed="false">
      <c r="A2213" s="16" t="s">
        <v>85</v>
      </c>
      <c r="B2213" s="16" t="s">
        <v>155</v>
      </c>
      <c r="C2213" s="16" t="s">
        <v>166</v>
      </c>
      <c r="D2213" s="38" t="n">
        <v>17</v>
      </c>
      <c r="E2213" s="39" t="n">
        <v>50</v>
      </c>
      <c r="F2213" s="22" t="n">
        <f aca="false">IFERROR(D2213*E2213,0)</f>
        <v>850</v>
      </c>
      <c r="G2213" s="16" t="str">
        <f aca="false">INDEX(SETORES!$B:$B,MATCH(A2213,SETORES!$A:$A,0))</f>
        <v>Clientes</v>
      </c>
      <c r="H2213" s="16" t="s">
        <v>88</v>
      </c>
    </row>
    <row r="2214" customFormat="false" ht="14.25" hidden="true" customHeight="true" outlineLevel="0" collapsed="false">
      <c r="A2214" s="16" t="s">
        <v>85</v>
      </c>
      <c r="B2214" s="16" t="s">
        <v>155</v>
      </c>
      <c r="C2214" s="16" t="s">
        <v>170</v>
      </c>
      <c r="D2214" s="38"/>
      <c r="E2214" s="39"/>
      <c r="F2214" s="22" t="n">
        <f aca="false">IFERROR(D2214*E2214,0)</f>
        <v>0</v>
      </c>
      <c r="G2214" s="16" t="str">
        <f aca="false">INDEX(SETORES!$B:$B,MATCH(A2214,SETORES!$A:$A,0))</f>
        <v>Clientes</v>
      </c>
      <c r="H2214" s="16" t="s">
        <v>88</v>
      </c>
    </row>
    <row r="2215" customFormat="false" ht="14.25" hidden="true" customHeight="true" outlineLevel="0" collapsed="false">
      <c r="A2215" s="16" t="s">
        <v>85</v>
      </c>
      <c r="B2215" s="16" t="s">
        <v>155</v>
      </c>
      <c r="C2215" s="16" t="s">
        <v>171</v>
      </c>
      <c r="D2215" s="38"/>
      <c r="E2215" s="39"/>
      <c r="F2215" s="22" t="n">
        <f aca="false">IFERROR(D2215*E2215,0)</f>
        <v>0</v>
      </c>
      <c r="G2215" s="16" t="str">
        <f aca="false">INDEX(SETORES!$B:$B,MATCH(A2215,SETORES!$A:$A,0))</f>
        <v>Clientes</v>
      </c>
      <c r="H2215" s="16" t="s">
        <v>88</v>
      </c>
    </row>
    <row r="2216" customFormat="false" ht="14.25" hidden="true" customHeight="true" outlineLevel="0" collapsed="false">
      <c r="A2216" s="16" t="s">
        <v>85</v>
      </c>
      <c r="B2216" s="16" t="s">
        <v>155</v>
      </c>
      <c r="C2216" s="16" t="s">
        <v>169</v>
      </c>
      <c r="D2216" s="38"/>
      <c r="E2216" s="39"/>
      <c r="F2216" s="22" t="n">
        <f aca="false">IFERROR(D2216*E2216,0)</f>
        <v>0</v>
      </c>
      <c r="G2216" s="16" t="str">
        <f aca="false">INDEX(SETORES!$B:$B,MATCH(A2216,SETORES!$A:$A,0))</f>
        <v>Clientes</v>
      </c>
      <c r="H2216" s="16" t="s">
        <v>88</v>
      </c>
    </row>
    <row r="2217" customFormat="false" ht="14.25" hidden="true" customHeight="true" outlineLevel="0" collapsed="false">
      <c r="A2217" s="16" t="s">
        <v>87</v>
      </c>
      <c r="B2217" s="16" t="s">
        <v>155</v>
      </c>
      <c r="C2217" s="16" t="s">
        <v>167</v>
      </c>
      <c r="D2217" s="38"/>
      <c r="E2217" s="39"/>
      <c r="F2217" s="22" t="n">
        <f aca="false">IFERROR(D2217*E2217,0)</f>
        <v>0</v>
      </c>
      <c r="G2217" s="16" t="str">
        <f aca="false">INDEX(SETORES!$B:$B,MATCH(A2217,SETORES!$A:$A,0))</f>
        <v>Clientes</v>
      </c>
      <c r="H2217" s="16" t="s">
        <v>88</v>
      </c>
    </row>
    <row r="2218" customFormat="false" ht="14.25" hidden="true" customHeight="true" outlineLevel="0" collapsed="false">
      <c r="A2218" s="16" t="s">
        <v>87</v>
      </c>
      <c r="B2218" s="16" t="s">
        <v>155</v>
      </c>
      <c r="C2218" s="16" t="s">
        <v>168</v>
      </c>
      <c r="D2218" s="38" t="n">
        <v>7</v>
      </c>
      <c r="E2218" s="39" t="n">
        <v>1.87</v>
      </c>
      <c r="F2218" s="22" t="n">
        <f aca="false">IFERROR(D2218*E2218,0)</f>
        <v>13.09</v>
      </c>
      <c r="G2218" s="16" t="str">
        <f aca="false">INDEX(SETORES!$B:$B,MATCH(A2218,SETORES!$A:$A,0))</f>
        <v>Clientes</v>
      </c>
      <c r="H2218" s="16" t="s">
        <v>88</v>
      </c>
    </row>
    <row r="2219" customFormat="false" ht="14.25" hidden="true" customHeight="true" outlineLevel="0" collapsed="false">
      <c r="A2219" s="16" t="s">
        <v>87</v>
      </c>
      <c r="B2219" s="16" t="s">
        <v>155</v>
      </c>
      <c r="C2219" s="16" t="s">
        <v>166</v>
      </c>
      <c r="D2219" s="38" t="n">
        <v>7</v>
      </c>
      <c r="E2219" s="39" t="n">
        <v>50</v>
      </c>
      <c r="F2219" s="22" t="n">
        <f aca="false">IFERROR(D2219*E2219,0)</f>
        <v>350</v>
      </c>
      <c r="G2219" s="16" t="str">
        <f aca="false">INDEX(SETORES!$B:$B,MATCH(A2219,SETORES!$A:$A,0))</f>
        <v>Clientes</v>
      </c>
      <c r="H2219" s="16" t="s">
        <v>88</v>
      </c>
    </row>
    <row r="2220" customFormat="false" ht="14.25" hidden="true" customHeight="true" outlineLevel="0" collapsed="false">
      <c r="A2220" s="16" t="s">
        <v>87</v>
      </c>
      <c r="B2220" s="16" t="s">
        <v>155</v>
      </c>
      <c r="C2220" s="16" t="s">
        <v>170</v>
      </c>
      <c r="D2220" s="38"/>
      <c r="E2220" s="39"/>
      <c r="F2220" s="22" t="n">
        <f aca="false">IFERROR(D2220*E2220,0)</f>
        <v>0</v>
      </c>
      <c r="G2220" s="16" t="str">
        <f aca="false">INDEX(SETORES!$B:$B,MATCH(A2220,SETORES!$A:$A,0))</f>
        <v>Clientes</v>
      </c>
      <c r="H2220" s="16" t="s">
        <v>88</v>
      </c>
    </row>
    <row r="2221" customFormat="false" ht="14.25" hidden="true" customHeight="true" outlineLevel="0" collapsed="false">
      <c r="A2221" s="16" t="s">
        <v>87</v>
      </c>
      <c r="B2221" s="16" t="s">
        <v>155</v>
      </c>
      <c r="C2221" s="16" t="s">
        <v>171</v>
      </c>
      <c r="D2221" s="38"/>
      <c r="E2221" s="39"/>
      <c r="F2221" s="22" t="n">
        <f aca="false">IFERROR(D2221*E2221,0)</f>
        <v>0</v>
      </c>
      <c r="G2221" s="16" t="str">
        <f aca="false">INDEX(SETORES!$B:$B,MATCH(A2221,SETORES!$A:$A,0))</f>
        <v>Clientes</v>
      </c>
      <c r="H2221" s="16" t="s">
        <v>88</v>
      </c>
    </row>
    <row r="2222" customFormat="false" ht="14.25" hidden="true" customHeight="true" outlineLevel="0" collapsed="false">
      <c r="A2222" s="16" t="s">
        <v>87</v>
      </c>
      <c r="B2222" s="16" t="s">
        <v>155</v>
      </c>
      <c r="C2222" s="16" t="s">
        <v>169</v>
      </c>
      <c r="D2222" s="38"/>
      <c r="E2222" s="39"/>
      <c r="F2222" s="22" t="n">
        <f aca="false">IFERROR(D2222*E2222,0)</f>
        <v>0</v>
      </c>
      <c r="G2222" s="16" t="str">
        <f aca="false">INDEX(SETORES!$B:$B,MATCH(A2222,SETORES!$A:$A,0))</f>
        <v>Clientes</v>
      </c>
      <c r="H2222" s="16" t="s">
        <v>88</v>
      </c>
    </row>
    <row r="2223" customFormat="false" ht="14.25" hidden="true" customHeight="true" outlineLevel="0" collapsed="false">
      <c r="A2223" s="16" t="s">
        <v>78</v>
      </c>
      <c r="B2223" s="16" t="s">
        <v>155</v>
      </c>
      <c r="C2223" s="16" t="s">
        <v>167</v>
      </c>
      <c r="D2223" s="38"/>
      <c r="E2223" s="39"/>
      <c r="F2223" s="22" t="n">
        <f aca="false">IFERROR(D2223*E2223,0)</f>
        <v>0</v>
      </c>
      <c r="G2223" s="16" t="str">
        <f aca="false">INDEX(SETORES!$B:$B,MATCH(A2223,SETORES!$A:$A,0))</f>
        <v>Clientes</v>
      </c>
      <c r="H2223" s="16" t="s">
        <v>88</v>
      </c>
    </row>
    <row r="2224" customFormat="false" ht="14.25" hidden="true" customHeight="true" outlineLevel="0" collapsed="false">
      <c r="A2224" s="16" t="s">
        <v>78</v>
      </c>
      <c r="B2224" s="16" t="s">
        <v>155</v>
      </c>
      <c r="C2224" s="16" t="s">
        <v>168</v>
      </c>
      <c r="D2224" s="38" t="n">
        <v>11</v>
      </c>
      <c r="E2224" s="39" t="n">
        <v>1.87</v>
      </c>
      <c r="F2224" s="22" t="n">
        <f aca="false">IFERROR(D2224*E2224,0)</f>
        <v>20.57</v>
      </c>
      <c r="G2224" s="16" t="str">
        <f aca="false">INDEX(SETORES!$B:$B,MATCH(A2224,SETORES!$A:$A,0))</f>
        <v>Clientes</v>
      </c>
      <c r="H2224" s="16" t="s">
        <v>88</v>
      </c>
    </row>
    <row r="2225" customFormat="false" ht="14.25" hidden="true" customHeight="true" outlineLevel="0" collapsed="false">
      <c r="A2225" s="16" t="s">
        <v>78</v>
      </c>
      <c r="B2225" s="16" t="s">
        <v>155</v>
      </c>
      <c r="C2225" s="16" t="s">
        <v>166</v>
      </c>
      <c r="D2225" s="38" t="n">
        <v>11</v>
      </c>
      <c r="E2225" s="39" t="n">
        <v>50</v>
      </c>
      <c r="F2225" s="22" t="n">
        <f aca="false">IFERROR(D2225*E2225,0)</f>
        <v>550</v>
      </c>
      <c r="G2225" s="16" t="str">
        <f aca="false">INDEX(SETORES!$B:$B,MATCH(A2225,SETORES!$A:$A,0))</f>
        <v>Clientes</v>
      </c>
      <c r="H2225" s="16" t="s">
        <v>88</v>
      </c>
    </row>
    <row r="2226" customFormat="false" ht="14.25" hidden="true" customHeight="true" outlineLevel="0" collapsed="false">
      <c r="A2226" s="16" t="s">
        <v>78</v>
      </c>
      <c r="B2226" s="16" t="s">
        <v>155</v>
      </c>
      <c r="C2226" s="16" t="s">
        <v>170</v>
      </c>
      <c r="D2226" s="38"/>
      <c r="E2226" s="39"/>
      <c r="F2226" s="22" t="n">
        <f aca="false">IFERROR(D2226*E2226,0)</f>
        <v>0</v>
      </c>
      <c r="G2226" s="16" t="str">
        <f aca="false">INDEX(SETORES!$B:$B,MATCH(A2226,SETORES!$A:$A,0))</f>
        <v>Clientes</v>
      </c>
      <c r="H2226" s="16" t="s">
        <v>88</v>
      </c>
    </row>
    <row r="2227" customFormat="false" ht="14.25" hidden="true" customHeight="true" outlineLevel="0" collapsed="false">
      <c r="A2227" s="16" t="s">
        <v>78</v>
      </c>
      <c r="B2227" s="16" t="s">
        <v>155</v>
      </c>
      <c r="C2227" s="16" t="s">
        <v>171</v>
      </c>
      <c r="D2227" s="38"/>
      <c r="E2227" s="39"/>
      <c r="F2227" s="22" t="n">
        <f aca="false">IFERROR(D2227*E2227,0)</f>
        <v>0</v>
      </c>
      <c r="G2227" s="16" t="str">
        <f aca="false">INDEX(SETORES!$B:$B,MATCH(A2227,SETORES!$A:$A,0))</f>
        <v>Clientes</v>
      </c>
      <c r="H2227" s="16" t="s">
        <v>88</v>
      </c>
    </row>
    <row r="2228" customFormat="false" ht="14.25" hidden="true" customHeight="true" outlineLevel="0" collapsed="false">
      <c r="A2228" s="16" t="s">
        <v>78</v>
      </c>
      <c r="B2228" s="16" t="s">
        <v>155</v>
      </c>
      <c r="C2228" s="16" t="s">
        <v>169</v>
      </c>
      <c r="D2228" s="38"/>
      <c r="E2228" s="39"/>
      <c r="F2228" s="22" t="n">
        <f aca="false">IFERROR(D2228*E2228,0)</f>
        <v>0</v>
      </c>
      <c r="G2228" s="16" t="str">
        <f aca="false">INDEX(SETORES!$B:$B,MATCH(A2228,SETORES!$A:$A,0))</f>
        <v>Clientes</v>
      </c>
      <c r="H2228" s="16" t="s">
        <v>88</v>
      </c>
    </row>
    <row r="2229" customFormat="false" ht="14.25" hidden="true" customHeight="true" outlineLevel="0" collapsed="false">
      <c r="A2229" s="16" t="s">
        <v>81</v>
      </c>
      <c r="B2229" s="16" t="s">
        <v>155</v>
      </c>
      <c r="C2229" s="16" t="s">
        <v>167</v>
      </c>
      <c r="D2229" s="38"/>
      <c r="E2229" s="39"/>
      <c r="F2229" s="22" t="n">
        <f aca="false">IFERROR(D2229*E2229,0)</f>
        <v>0</v>
      </c>
      <c r="G2229" s="16" t="str">
        <f aca="false">INDEX(SETORES!$B:$B,MATCH(A2229,SETORES!$A:$A,0))</f>
        <v>Clientes</v>
      </c>
      <c r="H2229" s="16" t="s">
        <v>88</v>
      </c>
    </row>
    <row r="2230" customFormat="false" ht="14.25" hidden="true" customHeight="true" outlineLevel="0" collapsed="false">
      <c r="A2230" s="16" t="s">
        <v>81</v>
      </c>
      <c r="B2230" s="16" t="s">
        <v>155</v>
      </c>
      <c r="C2230" s="16" t="s">
        <v>168</v>
      </c>
      <c r="D2230" s="38" t="n">
        <v>3</v>
      </c>
      <c r="E2230" s="39" t="n">
        <v>1.87</v>
      </c>
      <c r="F2230" s="22" t="n">
        <f aca="false">IFERROR(D2230*E2230,0)</f>
        <v>5.61</v>
      </c>
      <c r="G2230" s="16" t="str">
        <f aca="false">INDEX(SETORES!$B:$B,MATCH(A2230,SETORES!$A:$A,0))</f>
        <v>Clientes</v>
      </c>
      <c r="H2230" s="16" t="s">
        <v>88</v>
      </c>
    </row>
    <row r="2231" customFormat="false" ht="14.25" hidden="true" customHeight="true" outlineLevel="0" collapsed="false">
      <c r="A2231" s="16" t="s">
        <v>81</v>
      </c>
      <c r="B2231" s="16" t="s">
        <v>155</v>
      </c>
      <c r="C2231" s="16" t="s">
        <v>166</v>
      </c>
      <c r="D2231" s="38" t="n">
        <v>3</v>
      </c>
      <c r="E2231" s="39" t="n">
        <v>50</v>
      </c>
      <c r="F2231" s="22" t="n">
        <f aca="false">IFERROR(D2231*E2231,0)</f>
        <v>150</v>
      </c>
      <c r="G2231" s="16" t="str">
        <f aca="false">INDEX(SETORES!$B:$B,MATCH(A2231,SETORES!$A:$A,0))</f>
        <v>Clientes</v>
      </c>
      <c r="H2231" s="16" t="s">
        <v>88</v>
      </c>
    </row>
    <row r="2232" customFormat="false" ht="14.25" hidden="true" customHeight="true" outlineLevel="0" collapsed="false">
      <c r="A2232" s="16" t="s">
        <v>81</v>
      </c>
      <c r="B2232" s="16" t="s">
        <v>155</v>
      </c>
      <c r="C2232" s="16" t="s">
        <v>170</v>
      </c>
      <c r="D2232" s="38"/>
      <c r="E2232" s="39"/>
      <c r="F2232" s="22" t="n">
        <f aca="false">IFERROR(D2232*E2232,0)</f>
        <v>0</v>
      </c>
      <c r="G2232" s="16" t="str">
        <f aca="false">INDEX(SETORES!$B:$B,MATCH(A2232,SETORES!$A:$A,0))</f>
        <v>Clientes</v>
      </c>
      <c r="H2232" s="16" t="s">
        <v>88</v>
      </c>
    </row>
    <row r="2233" customFormat="false" ht="14.25" hidden="true" customHeight="true" outlineLevel="0" collapsed="false">
      <c r="A2233" s="16" t="s">
        <v>81</v>
      </c>
      <c r="B2233" s="16" t="s">
        <v>155</v>
      </c>
      <c r="C2233" s="16" t="s">
        <v>171</v>
      </c>
      <c r="D2233" s="38"/>
      <c r="E2233" s="39"/>
      <c r="F2233" s="22" t="n">
        <f aca="false">IFERROR(D2233*E2233,0)</f>
        <v>0</v>
      </c>
      <c r="G2233" s="16" t="str">
        <f aca="false">INDEX(SETORES!$B:$B,MATCH(A2233,SETORES!$A:$A,0))</f>
        <v>Clientes</v>
      </c>
      <c r="H2233" s="16" t="s">
        <v>88</v>
      </c>
    </row>
    <row r="2234" customFormat="false" ht="14.25" hidden="true" customHeight="true" outlineLevel="0" collapsed="false">
      <c r="A2234" s="16" t="s">
        <v>81</v>
      </c>
      <c r="B2234" s="16" t="s">
        <v>155</v>
      </c>
      <c r="C2234" s="16" t="s">
        <v>169</v>
      </c>
      <c r="D2234" s="38"/>
      <c r="E2234" s="39"/>
      <c r="F2234" s="22" t="n">
        <f aca="false">IFERROR(D2234*E2234,0)</f>
        <v>0</v>
      </c>
      <c r="G2234" s="16" t="str">
        <f aca="false">INDEX(SETORES!$B:$B,MATCH(A2234,SETORES!$A:$A,0))</f>
        <v>Clientes</v>
      </c>
      <c r="H2234" s="16" t="s">
        <v>88</v>
      </c>
    </row>
    <row r="2235" customFormat="false" ht="14.25" hidden="true" customHeight="true" outlineLevel="0" collapsed="false">
      <c r="A2235" s="16" t="s">
        <v>84</v>
      </c>
      <c r="B2235" s="16" t="s">
        <v>155</v>
      </c>
      <c r="C2235" s="16" t="s">
        <v>167</v>
      </c>
      <c r="D2235" s="38"/>
      <c r="E2235" s="39"/>
      <c r="F2235" s="22" t="n">
        <f aca="false">IFERROR(D2235*E2235,0)</f>
        <v>0</v>
      </c>
      <c r="G2235" s="16" t="str">
        <f aca="false">INDEX(SETORES!$B:$B,MATCH(A2235,SETORES!$A:$A,0))</f>
        <v>Clientes</v>
      </c>
      <c r="H2235" s="16" t="s">
        <v>88</v>
      </c>
    </row>
    <row r="2236" customFormat="false" ht="14.25" hidden="true" customHeight="true" outlineLevel="0" collapsed="false">
      <c r="A2236" s="16" t="s">
        <v>84</v>
      </c>
      <c r="B2236" s="16" t="s">
        <v>155</v>
      </c>
      <c r="C2236" s="16" t="s">
        <v>168</v>
      </c>
      <c r="D2236" s="38" t="n">
        <v>24</v>
      </c>
      <c r="E2236" s="39" t="n">
        <v>1.87</v>
      </c>
      <c r="F2236" s="22" t="n">
        <f aca="false">IFERROR(D2236*E2236,0)</f>
        <v>44.88</v>
      </c>
      <c r="G2236" s="16" t="str">
        <f aca="false">INDEX(SETORES!$B:$B,MATCH(A2236,SETORES!$A:$A,0))</f>
        <v>Clientes</v>
      </c>
      <c r="H2236" s="16" t="s">
        <v>88</v>
      </c>
    </row>
    <row r="2237" customFormat="false" ht="14.25" hidden="true" customHeight="true" outlineLevel="0" collapsed="false">
      <c r="A2237" s="16" t="s">
        <v>84</v>
      </c>
      <c r="B2237" s="16" t="s">
        <v>155</v>
      </c>
      <c r="C2237" s="16" t="s">
        <v>166</v>
      </c>
      <c r="D2237" s="38" t="n">
        <v>24</v>
      </c>
      <c r="E2237" s="39" t="n">
        <v>50</v>
      </c>
      <c r="F2237" s="22" t="n">
        <f aca="false">IFERROR(D2237*E2237,0)</f>
        <v>1200</v>
      </c>
      <c r="G2237" s="16" t="str">
        <f aca="false">INDEX(SETORES!$B:$B,MATCH(A2237,SETORES!$A:$A,0))</f>
        <v>Clientes</v>
      </c>
      <c r="H2237" s="16" t="s">
        <v>88</v>
      </c>
    </row>
    <row r="2238" customFormat="false" ht="14.25" hidden="true" customHeight="true" outlineLevel="0" collapsed="false">
      <c r="A2238" s="16" t="s">
        <v>84</v>
      </c>
      <c r="B2238" s="16" t="s">
        <v>155</v>
      </c>
      <c r="C2238" s="16" t="s">
        <v>170</v>
      </c>
      <c r="D2238" s="38"/>
      <c r="E2238" s="39"/>
      <c r="F2238" s="22" t="n">
        <f aca="false">IFERROR(D2238*E2238,0)</f>
        <v>0</v>
      </c>
      <c r="G2238" s="16" t="str">
        <f aca="false">INDEX(SETORES!$B:$B,MATCH(A2238,SETORES!$A:$A,0))</f>
        <v>Clientes</v>
      </c>
      <c r="H2238" s="16" t="s">
        <v>88</v>
      </c>
    </row>
    <row r="2239" customFormat="false" ht="14.25" hidden="true" customHeight="true" outlineLevel="0" collapsed="false">
      <c r="A2239" s="16" t="s">
        <v>84</v>
      </c>
      <c r="B2239" s="16" t="s">
        <v>155</v>
      </c>
      <c r="C2239" s="16" t="s">
        <v>171</v>
      </c>
      <c r="D2239" s="38"/>
      <c r="E2239" s="39"/>
      <c r="F2239" s="22" t="n">
        <f aca="false">IFERROR(D2239*E2239,0)</f>
        <v>0</v>
      </c>
      <c r="G2239" s="16" t="str">
        <f aca="false">INDEX(SETORES!$B:$B,MATCH(A2239,SETORES!$A:$A,0))</f>
        <v>Clientes</v>
      </c>
      <c r="H2239" s="16" t="s">
        <v>88</v>
      </c>
    </row>
    <row r="2240" customFormat="false" ht="14.25" hidden="true" customHeight="true" outlineLevel="0" collapsed="false">
      <c r="A2240" s="16" t="s">
        <v>84</v>
      </c>
      <c r="B2240" s="16" t="s">
        <v>155</v>
      </c>
      <c r="C2240" s="16" t="s">
        <v>169</v>
      </c>
      <c r="D2240" s="38"/>
      <c r="E2240" s="39"/>
      <c r="F2240" s="22" t="n">
        <f aca="false">IFERROR(D2240*E2240,0)</f>
        <v>0</v>
      </c>
      <c r="G2240" s="16" t="str">
        <f aca="false">INDEX(SETORES!$B:$B,MATCH(A2240,SETORES!$A:$A,0))</f>
        <v>Clientes</v>
      </c>
      <c r="H2240" s="16" t="s">
        <v>88</v>
      </c>
    </row>
    <row r="2241" customFormat="false" ht="14.25" hidden="true" customHeight="true" outlineLevel="0" collapsed="false">
      <c r="A2241" s="16" t="s">
        <v>82</v>
      </c>
      <c r="B2241" s="16" t="s">
        <v>155</v>
      </c>
      <c r="C2241" s="16" t="s">
        <v>167</v>
      </c>
      <c r="D2241" s="38"/>
      <c r="E2241" s="39"/>
      <c r="F2241" s="22" t="n">
        <f aca="false">IFERROR(D2241*E2241,0)</f>
        <v>0</v>
      </c>
      <c r="G2241" s="16" t="str">
        <f aca="false">INDEX(SETORES!$B:$B,MATCH(A2241,SETORES!$A:$A,0))</f>
        <v>Clientes</v>
      </c>
      <c r="H2241" s="16" t="s">
        <v>88</v>
      </c>
    </row>
    <row r="2242" customFormat="false" ht="14.25" hidden="true" customHeight="true" outlineLevel="0" collapsed="false">
      <c r="A2242" s="16" t="s">
        <v>82</v>
      </c>
      <c r="B2242" s="16" t="s">
        <v>155</v>
      </c>
      <c r="C2242" s="16" t="s">
        <v>168</v>
      </c>
      <c r="D2242" s="38" t="n">
        <v>10</v>
      </c>
      <c r="E2242" s="39" t="n">
        <v>1.87</v>
      </c>
      <c r="F2242" s="22" t="n">
        <f aca="false">IFERROR(D2242*E2242,0)</f>
        <v>18.7</v>
      </c>
      <c r="G2242" s="16" t="str">
        <f aca="false">INDEX(SETORES!$B:$B,MATCH(A2242,SETORES!$A:$A,0))</f>
        <v>Clientes</v>
      </c>
      <c r="H2242" s="16" t="s">
        <v>88</v>
      </c>
    </row>
    <row r="2243" customFormat="false" ht="14.25" hidden="true" customHeight="true" outlineLevel="0" collapsed="false">
      <c r="A2243" s="16" t="s">
        <v>82</v>
      </c>
      <c r="B2243" s="16" t="s">
        <v>155</v>
      </c>
      <c r="C2243" s="16" t="s">
        <v>166</v>
      </c>
      <c r="D2243" s="38" t="n">
        <v>10</v>
      </c>
      <c r="E2243" s="39" t="n">
        <v>50</v>
      </c>
      <c r="F2243" s="22" t="n">
        <f aca="false">IFERROR(D2243*E2243,0)</f>
        <v>500</v>
      </c>
      <c r="G2243" s="16" t="str">
        <f aca="false">INDEX(SETORES!$B:$B,MATCH(A2243,SETORES!$A:$A,0))</f>
        <v>Clientes</v>
      </c>
      <c r="H2243" s="16" t="s">
        <v>88</v>
      </c>
    </row>
    <row r="2244" customFormat="false" ht="14.25" hidden="true" customHeight="true" outlineLevel="0" collapsed="false">
      <c r="A2244" s="16" t="s">
        <v>82</v>
      </c>
      <c r="B2244" s="16" t="s">
        <v>155</v>
      </c>
      <c r="C2244" s="16" t="s">
        <v>170</v>
      </c>
      <c r="D2244" s="38"/>
      <c r="E2244" s="39"/>
      <c r="F2244" s="22" t="n">
        <f aca="false">IFERROR(D2244*E2244,0)</f>
        <v>0</v>
      </c>
      <c r="G2244" s="16" t="str">
        <f aca="false">INDEX(SETORES!$B:$B,MATCH(A2244,SETORES!$A:$A,0))</f>
        <v>Clientes</v>
      </c>
      <c r="H2244" s="16" t="s">
        <v>88</v>
      </c>
    </row>
    <row r="2245" customFormat="false" ht="14.25" hidden="true" customHeight="true" outlineLevel="0" collapsed="false">
      <c r="A2245" s="16" t="s">
        <v>82</v>
      </c>
      <c r="B2245" s="16" t="s">
        <v>155</v>
      </c>
      <c r="C2245" s="16" t="s">
        <v>171</v>
      </c>
      <c r="D2245" s="38"/>
      <c r="E2245" s="39"/>
      <c r="F2245" s="22" t="n">
        <f aca="false">IFERROR(D2245*E2245,0)</f>
        <v>0</v>
      </c>
      <c r="G2245" s="16" t="str">
        <f aca="false">INDEX(SETORES!$B:$B,MATCH(A2245,SETORES!$A:$A,0))</f>
        <v>Clientes</v>
      </c>
      <c r="H2245" s="16" t="s">
        <v>88</v>
      </c>
    </row>
    <row r="2246" customFormat="false" ht="14.25" hidden="true" customHeight="true" outlineLevel="0" collapsed="false">
      <c r="A2246" s="16" t="s">
        <v>82</v>
      </c>
      <c r="B2246" s="16" t="s">
        <v>155</v>
      </c>
      <c r="C2246" s="16" t="s">
        <v>169</v>
      </c>
      <c r="D2246" s="38"/>
      <c r="E2246" s="39"/>
      <c r="F2246" s="22" t="n">
        <f aca="false">IFERROR(D2246*E2246,0)</f>
        <v>0</v>
      </c>
      <c r="G2246" s="16" t="str">
        <f aca="false">INDEX(SETORES!$B:$B,MATCH(A2246,SETORES!$A:$A,0))</f>
        <v>Clientes</v>
      </c>
      <c r="H2246" s="16" t="s">
        <v>88</v>
      </c>
    </row>
    <row r="2247" customFormat="false" ht="14.25" hidden="true" customHeight="true" outlineLevel="0" collapsed="false">
      <c r="A2247" s="16" t="s">
        <v>80</v>
      </c>
      <c r="B2247" s="16" t="s">
        <v>155</v>
      </c>
      <c r="C2247" s="16" t="s">
        <v>167</v>
      </c>
      <c r="D2247" s="38"/>
      <c r="E2247" s="39"/>
      <c r="F2247" s="22" t="n">
        <f aca="false">IFERROR(D2247*E2247,0)</f>
        <v>0</v>
      </c>
      <c r="G2247" s="16" t="str">
        <f aca="false">INDEX(SETORES!$B:$B,MATCH(A2247,SETORES!$A:$A,0))</f>
        <v>Clientes</v>
      </c>
      <c r="H2247" s="16" t="s">
        <v>88</v>
      </c>
    </row>
    <row r="2248" customFormat="false" ht="14.25" hidden="true" customHeight="true" outlineLevel="0" collapsed="false">
      <c r="A2248" s="16" t="s">
        <v>80</v>
      </c>
      <c r="B2248" s="16" t="s">
        <v>155</v>
      </c>
      <c r="C2248" s="16" t="s">
        <v>168</v>
      </c>
      <c r="D2248" s="38" t="n">
        <v>2</v>
      </c>
      <c r="E2248" s="39" t="n">
        <v>1.87</v>
      </c>
      <c r="F2248" s="22" t="n">
        <f aca="false">IFERROR(D2248*E2248,0)</f>
        <v>3.74</v>
      </c>
      <c r="G2248" s="16" t="str">
        <f aca="false">INDEX(SETORES!$B:$B,MATCH(A2248,SETORES!$A:$A,0))</f>
        <v>Clientes</v>
      </c>
      <c r="H2248" s="16" t="s">
        <v>88</v>
      </c>
    </row>
    <row r="2249" customFormat="false" ht="14.25" hidden="true" customHeight="true" outlineLevel="0" collapsed="false">
      <c r="A2249" s="16" t="s">
        <v>80</v>
      </c>
      <c r="B2249" s="16" t="s">
        <v>155</v>
      </c>
      <c r="C2249" s="16" t="s">
        <v>166</v>
      </c>
      <c r="D2249" s="38" t="n">
        <v>2</v>
      </c>
      <c r="E2249" s="39" t="n">
        <v>50</v>
      </c>
      <c r="F2249" s="22" t="n">
        <f aca="false">IFERROR(D2249*E2249,0)</f>
        <v>100</v>
      </c>
      <c r="G2249" s="16" t="str">
        <f aca="false">INDEX(SETORES!$B:$B,MATCH(A2249,SETORES!$A:$A,0))</f>
        <v>Clientes</v>
      </c>
      <c r="H2249" s="16" t="s">
        <v>88</v>
      </c>
    </row>
    <row r="2250" customFormat="false" ht="14.25" hidden="true" customHeight="true" outlineLevel="0" collapsed="false">
      <c r="A2250" s="16" t="s">
        <v>80</v>
      </c>
      <c r="B2250" s="16" t="s">
        <v>155</v>
      </c>
      <c r="C2250" s="16" t="s">
        <v>170</v>
      </c>
      <c r="D2250" s="38"/>
      <c r="E2250" s="39"/>
      <c r="F2250" s="22" t="n">
        <f aca="false">IFERROR(D2250*E2250,0)</f>
        <v>0</v>
      </c>
      <c r="G2250" s="16" t="str">
        <f aca="false">INDEX(SETORES!$B:$B,MATCH(A2250,SETORES!$A:$A,0))</f>
        <v>Clientes</v>
      </c>
      <c r="H2250" s="16" t="s">
        <v>88</v>
      </c>
    </row>
    <row r="2251" customFormat="false" ht="14.25" hidden="true" customHeight="true" outlineLevel="0" collapsed="false">
      <c r="A2251" s="16" t="s">
        <v>80</v>
      </c>
      <c r="B2251" s="16" t="s">
        <v>155</v>
      </c>
      <c r="C2251" s="16" t="s">
        <v>171</v>
      </c>
      <c r="D2251" s="38"/>
      <c r="E2251" s="39"/>
      <c r="F2251" s="22" t="n">
        <f aca="false">IFERROR(D2251*E2251,0)</f>
        <v>0</v>
      </c>
      <c r="G2251" s="16" t="str">
        <f aca="false">INDEX(SETORES!$B:$B,MATCH(A2251,SETORES!$A:$A,0))</f>
        <v>Clientes</v>
      </c>
      <c r="H2251" s="16" t="s">
        <v>88</v>
      </c>
    </row>
    <row r="2252" customFormat="false" ht="14.25" hidden="true" customHeight="true" outlineLevel="0" collapsed="false">
      <c r="A2252" s="16" t="s">
        <v>80</v>
      </c>
      <c r="B2252" s="16" t="s">
        <v>155</v>
      </c>
      <c r="C2252" s="16" t="s">
        <v>169</v>
      </c>
      <c r="D2252" s="38"/>
      <c r="E2252" s="39"/>
      <c r="F2252" s="22" t="n">
        <f aca="false">IFERROR(D2252*E2252,0)</f>
        <v>0</v>
      </c>
      <c r="G2252" s="16" t="str">
        <f aca="false">INDEX(SETORES!$B:$B,MATCH(A2252,SETORES!$A:$A,0))</f>
        <v>Clientes</v>
      </c>
      <c r="H2252" s="16" t="s">
        <v>88</v>
      </c>
    </row>
    <row r="2253" customFormat="false" ht="14.25" hidden="true" customHeight="true" outlineLevel="0" collapsed="false">
      <c r="A2253" s="16" t="s">
        <v>87</v>
      </c>
      <c r="B2253" s="16" t="s">
        <v>155</v>
      </c>
      <c r="C2253" s="16" t="s">
        <v>238</v>
      </c>
      <c r="D2253" s="38"/>
      <c r="E2253" s="39"/>
      <c r="F2253" s="22" t="n">
        <f aca="false">IFERROR(D2253*E2253,0)</f>
        <v>0</v>
      </c>
      <c r="G2253" s="16" t="str">
        <f aca="false">INDEX(SETORES!$B:$B,MATCH(A2253,SETORES!$A:$A,0))</f>
        <v>Clientes</v>
      </c>
      <c r="H2253" s="16" t="s">
        <v>88</v>
      </c>
    </row>
    <row r="2254" customFormat="false" ht="14.25" hidden="true" customHeight="true" outlineLevel="0" collapsed="false">
      <c r="A2254" s="16" t="s">
        <v>85</v>
      </c>
      <c r="B2254" s="16" t="s">
        <v>155</v>
      </c>
      <c r="C2254" s="16" t="s">
        <v>238</v>
      </c>
      <c r="D2254" s="38"/>
      <c r="E2254" s="39"/>
      <c r="F2254" s="22" t="n">
        <f aca="false">IFERROR(D2254*E2254,0)</f>
        <v>0</v>
      </c>
      <c r="G2254" s="16" t="str">
        <f aca="false">INDEX(SETORES!$B:$B,MATCH(A2254,SETORES!$A:$A,0))</f>
        <v>Clientes</v>
      </c>
      <c r="H2254" s="16" t="s">
        <v>88</v>
      </c>
    </row>
    <row r="2255" customFormat="false" ht="14.25" hidden="true" customHeight="true" outlineLevel="0" collapsed="false">
      <c r="A2255" s="16" t="s">
        <v>31</v>
      </c>
      <c r="B2255" s="16" t="s">
        <v>155</v>
      </c>
      <c r="C2255" s="16" t="s">
        <v>238</v>
      </c>
      <c r="D2255" s="38"/>
      <c r="E2255" s="39"/>
      <c r="F2255" s="22" t="n">
        <f aca="false">IFERROR(D2255*E2255,0)</f>
        <v>0</v>
      </c>
      <c r="G2255" s="16" t="str">
        <f aca="false">INDEX(SETORES!$B:$B,MATCH(A2255,SETORES!$A:$A,0))</f>
        <v>Clientes</v>
      </c>
      <c r="H2255" s="16" t="s">
        <v>88</v>
      </c>
    </row>
    <row r="2256" customFormat="false" ht="14.25" hidden="true" customHeight="true" outlineLevel="0" collapsed="false">
      <c r="A2256" s="16" t="s">
        <v>78</v>
      </c>
      <c r="B2256" s="16" t="s">
        <v>155</v>
      </c>
      <c r="C2256" s="16" t="s">
        <v>238</v>
      </c>
      <c r="D2256" s="38"/>
      <c r="E2256" s="39"/>
      <c r="F2256" s="22" t="n">
        <f aca="false">IFERROR(D2256*E2256,0)</f>
        <v>0</v>
      </c>
      <c r="G2256" s="16" t="str">
        <f aca="false">INDEX(SETORES!$B:$B,MATCH(A2256,SETORES!$A:$A,0))</f>
        <v>Clientes</v>
      </c>
      <c r="H2256" s="16" t="s">
        <v>88</v>
      </c>
    </row>
    <row r="2257" customFormat="false" ht="14.25" hidden="true" customHeight="true" outlineLevel="0" collapsed="false">
      <c r="A2257" s="16" t="s">
        <v>49</v>
      </c>
      <c r="B2257" s="16" t="s">
        <v>155</v>
      </c>
      <c r="C2257" s="16" t="s">
        <v>238</v>
      </c>
      <c r="D2257" s="38"/>
      <c r="E2257" s="39"/>
      <c r="F2257" s="22" t="n">
        <f aca="false">IFERROR(D2257*E2257,0)</f>
        <v>0</v>
      </c>
      <c r="G2257" s="16" t="str">
        <f aca="false">INDEX(SETORES!$B:$B,MATCH(A2257,SETORES!$A:$A,0))</f>
        <v>Clientes</v>
      </c>
      <c r="H2257" s="16" t="s">
        <v>88</v>
      </c>
    </row>
    <row r="2258" customFormat="false" ht="14.25" hidden="true" customHeight="true" outlineLevel="0" collapsed="false">
      <c r="A2258" s="16" t="s">
        <v>83</v>
      </c>
      <c r="B2258" s="16" t="s">
        <v>155</v>
      </c>
      <c r="C2258" s="16" t="s">
        <v>238</v>
      </c>
      <c r="D2258" s="38"/>
      <c r="E2258" s="39"/>
      <c r="F2258" s="22" t="n">
        <f aca="false">IFERROR(D2258*E2258,0)</f>
        <v>0</v>
      </c>
      <c r="G2258" s="16" t="str">
        <f aca="false">INDEX(SETORES!$B:$B,MATCH(A2258,SETORES!$A:$A,0))</f>
        <v>Clientes</v>
      </c>
      <c r="H2258" s="16" t="s">
        <v>88</v>
      </c>
    </row>
    <row r="2259" customFormat="false" ht="14.25" hidden="true" customHeight="true" outlineLevel="0" collapsed="false">
      <c r="A2259" s="16" t="s">
        <v>41</v>
      </c>
      <c r="B2259" s="16" t="s">
        <v>155</v>
      </c>
      <c r="C2259" s="16" t="s">
        <v>166</v>
      </c>
      <c r="D2259" s="38"/>
      <c r="E2259" s="39"/>
      <c r="F2259" s="22" t="n">
        <f aca="false">IFERROR(D2259*E2259,0)</f>
        <v>0</v>
      </c>
      <c r="G2259" s="16" t="str">
        <f aca="false">INDEX(SETORES!$B:$B,MATCH(A2259,SETORES!$A:$A,0))</f>
        <v>Clientes</v>
      </c>
      <c r="H2259" s="16" t="s">
        <v>88</v>
      </c>
    </row>
    <row r="2260" customFormat="false" ht="14.25" hidden="true" customHeight="true" outlineLevel="0" collapsed="false">
      <c r="A2260" s="16" t="s">
        <v>83</v>
      </c>
      <c r="B2260" s="16" t="s">
        <v>155</v>
      </c>
      <c r="C2260" s="16" t="s">
        <v>237</v>
      </c>
      <c r="D2260" s="38" t="n">
        <v>1</v>
      </c>
      <c r="E2260" s="39" t="n">
        <v>7500</v>
      </c>
      <c r="F2260" s="22" t="n">
        <f aca="false">IFERROR(D2260*E2260,0)</f>
        <v>7500</v>
      </c>
      <c r="G2260" s="16" t="str">
        <f aca="false">INDEX(SETORES!$B:$B,MATCH(A2260,SETORES!$A:$A,0))</f>
        <v>Clientes</v>
      </c>
      <c r="H2260" s="16" t="s">
        <v>88</v>
      </c>
    </row>
    <row r="2261" customFormat="false" ht="14.25" hidden="true" customHeight="true" outlineLevel="0" collapsed="false">
      <c r="A2261" s="16" t="s">
        <v>79</v>
      </c>
      <c r="B2261" s="16" t="s">
        <v>155</v>
      </c>
      <c r="C2261" s="16" t="s">
        <v>161</v>
      </c>
      <c r="D2261" s="38" t="n">
        <v>1</v>
      </c>
      <c r="E2261" s="39" t="n">
        <v>23971.48</v>
      </c>
      <c r="F2261" s="22" t="n">
        <f aca="false">IFERROR(D2261*E2261,0)</f>
        <v>23971.48</v>
      </c>
      <c r="G2261" s="16" t="str">
        <f aca="false">INDEX(SETORES!$B:$B,MATCH(A2261,SETORES!$A:$A,0))</f>
        <v>Funcionários</v>
      </c>
      <c r="H2261" s="16" t="s">
        <v>88</v>
      </c>
    </row>
    <row r="2262" customFormat="false" ht="14.25" hidden="true" customHeight="true" outlineLevel="0" collapsed="false">
      <c r="A2262" s="16" t="s">
        <v>79</v>
      </c>
      <c r="B2262" s="16" t="s">
        <v>155</v>
      </c>
      <c r="C2262" s="16" t="s">
        <v>166</v>
      </c>
      <c r="D2262" s="38" t="n">
        <v>4</v>
      </c>
      <c r="E2262" s="39" t="n">
        <v>50</v>
      </c>
      <c r="F2262" s="22" t="n">
        <f aca="false">IFERROR(D2262*E2262,0)</f>
        <v>200</v>
      </c>
      <c r="G2262" s="16" t="str">
        <f aca="false">INDEX(SETORES!$B:$B,MATCH(A2262,SETORES!$A:$A,0))</f>
        <v>Funcionários</v>
      </c>
      <c r="H2262" s="16" t="s">
        <v>88</v>
      </c>
    </row>
    <row r="2263" customFormat="false" ht="14.25" hidden="true" customHeight="true" outlineLevel="0" collapsed="false">
      <c r="A2263" s="16" t="s">
        <v>78</v>
      </c>
      <c r="B2263" s="16" t="s">
        <v>162</v>
      </c>
      <c r="C2263" s="16" t="s">
        <v>209</v>
      </c>
      <c r="D2263" s="38"/>
      <c r="E2263" s="39"/>
      <c r="F2263" s="22" t="n">
        <f aca="false">IFERROR(D2263*E2263,0)</f>
        <v>0</v>
      </c>
      <c r="G2263" s="16" t="str">
        <f aca="false">INDEX(SETORES!$B:$B,MATCH(A2263,SETORES!$A:$A,0))</f>
        <v>Clientes</v>
      </c>
      <c r="H2263" s="16" t="s">
        <v>88</v>
      </c>
    </row>
    <row r="2264" customFormat="false" ht="14.25" hidden="true" customHeight="true" outlineLevel="0" collapsed="false">
      <c r="A2264" s="16" t="s">
        <v>79</v>
      </c>
      <c r="B2264" s="16" t="s">
        <v>162</v>
      </c>
      <c r="C2264" s="16" t="s">
        <v>209</v>
      </c>
      <c r="D2264" s="38"/>
      <c r="E2264" s="39"/>
      <c r="F2264" s="22" t="n">
        <f aca="false">IFERROR(D2264*E2264,0)</f>
        <v>0</v>
      </c>
      <c r="G2264" s="16" t="str">
        <f aca="false">INDEX(SETORES!$B:$B,MATCH(A2264,SETORES!$A:$A,0))</f>
        <v>Funcionários</v>
      </c>
      <c r="H2264" s="16" t="s">
        <v>88</v>
      </c>
    </row>
    <row r="2265" customFormat="false" ht="14.25" hidden="true" customHeight="true" outlineLevel="0" collapsed="false">
      <c r="A2265" s="16" t="s">
        <v>78</v>
      </c>
      <c r="B2265" s="16" t="s">
        <v>155</v>
      </c>
      <c r="C2265" s="16" t="s">
        <v>158</v>
      </c>
      <c r="D2265" s="38"/>
      <c r="E2265" s="39"/>
      <c r="F2265" s="22" t="n">
        <f aca="false">IFERROR(D2265*E2265,0)</f>
        <v>0</v>
      </c>
      <c r="G2265" s="16" t="str">
        <f aca="false">INDEX(SETORES!$B:$B,MATCH(A2265,SETORES!$A:$A,0))</f>
        <v>Clientes</v>
      </c>
      <c r="H2265" s="16" t="s">
        <v>88</v>
      </c>
    </row>
    <row r="2266" customFormat="false" ht="14.25" hidden="true" customHeight="true" outlineLevel="0" collapsed="false">
      <c r="A2266" s="16" t="s">
        <v>78</v>
      </c>
      <c r="B2266" s="16" t="s">
        <v>155</v>
      </c>
      <c r="C2266" s="16" t="s">
        <v>159</v>
      </c>
      <c r="D2266" s="38"/>
      <c r="E2266" s="39"/>
      <c r="F2266" s="22" t="n">
        <f aca="false">IFERROR(D2266*E2266,0)</f>
        <v>0</v>
      </c>
      <c r="G2266" s="16" t="str">
        <f aca="false">INDEX(SETORES!$B:$B,MATCH(A2266,SETORES!$A:$A,0))</f>
        <v>Clientes</v>
      </c>
      <c r="H2266" s="16" t="s">
        <v>88</v>
      </c>
    </row>
    <row r="2267" customFormat="false" ht="14.25" hidden="true" customHeight="true" outlineLevel="0" collapsed="false">
      <c r="A2267" s="16" t="s">
        <v>79</v>
      </c>
      <c r="B2267" s="16" t="s">
        <v>155</v>
      </c>
      <c r="C2267" s="16" t="s">
        <v>158</v>
      </c>
      <c r="D2267" s="38"/>
      <c r="E2267" s="39"/>
      <c r="F2267" s="22" t="n">
        <f aca="false">IFERROR(D2267*E2267,0)</f>
        <v>0</v>
      </c>
      <c r="G2267" s="16" t="str">
        <f aca="false">INDEX(SETORES!$B:$B,MATCH(A2267,SETORES!$A:$A,0))</f>
        <v>Funcionários</v>
      </c>
      <c r="H2267" s="16" t="s">
        <v>88</v>
      </c>
    </row>
    <row r="2268" customFormat="false" ht="14.25" hidden="true" customHeight="true" outlineLevel="0" collapsed="false">
      <c r="A2268" s="16" t="s">
        <v>79</v>
      </c>
      <c r="B2268" s="16" t="s">
        <v>155</v>
      </c>
      <c r="C2268" s="16" t="s">
        <v>159</v>
      </c>
      <c r="D2268" s="38"/>
      <c r="E2268" s="39"/>
      <c r="F2268" s="22" t="n">
        <f aca="false">IFERROR(D2268*E2268,0)</f>
        <v>0</v>
      </c>
      <c r="G2268" s="16" t="str">
        <f aca="false">INDEX(SETORES!$B:$B,MATCH(A2268,SETORES!$A:$A,0))</f>
        <v>Funcionários</v>
      </c>
      <c r="H2268" s="16" t="s">
        <v>88</v>
      </c>
    </row>
    <row r="2269" customFormat="false" ht="14.25" hidden="true" customHeight="true" outlineLevel="0" collapsed="false">
      <c r="A2269" s="16" t="s">
        <v>78</v>
      </c>
      <c r="B2269" s="16" t="s">
        <v>162</v>
      </c>
      <c r="C2269" s="16" t="s">
        <v>222</v>
      </c>
      <c r="D2269" s="38"/>
      <c r="E2269" s="39"/>
      <c r="F2269" s="22" t="n">
        <f aca="false">IFERROR(D2269*E2269,0)</f>
        <v>0</v>
      </c>
      <c r="G2269" s="16" t="str">
        <f aca="false">INDEX(SETORES!$B:$B,MATCH(A2269,SETORES!$A:$A,0))</f>
        <v>Clientes</v>
      </c>
      <c r="H2269" s="16" t="s">
        <v>88</v>
      </c>
    </row>
    <row r="2270" customFormat="false" ht="14.25" hidden="true" customHeight="true" outlineLevel="0" collapsed="false">
      <c r="A2270" s="16" t="s">
        <v>43</v>
      </c>
      <c r="B2270" s="16" t="s">
        <v>162</v>
      </c>
      <c r="C2270" s="16" t="s">
        <v>222</v>
      </c>
      <c r="D2270" s="38"/>
      <c r="E2270" s="39"/>
      <c r="F2270" s="22" t="n">
        <f aca="false">IFERROR(D2270*E2270,0)</f>
        <v>0</v>
      </c>
      <c r="G2270" s="16" t="str">
        <f aca="false">INDEX(SETORES!$B:$B,MATCH(A2270,SETORES!$A:$A,0))</f>
        <v>Clientes</v>
      </c>
      <c r="H2270" s="16" t="s">
        <v>88</v>
      </c>
    </row>
    <row r="2271" customFormat="false" ht="14.25" hidden="true" customHeight="true" outlineLevel="0" collapsed="false">
      <c r="A2271" s="16" t="s">
        <v>41</v>
      </c>
      <c r="B2271" s="16" t="s">
        <v>162</v>
      </c>
      <c r="C2271" s="16" t="s">
        <v>222</v>
      </c>
      <c r="D2271" s="38"/>
      <c r="E2271" s="39"/>
      <c r="F2271" s="22" t="n">
        <f aca="false">IFERROR(D2271*E2271,0)</f>
        <v>0</v>
      </c>
      <c r="G2271" s="16" t="str">
        <f aca="false">INDEX(SETORES!$B:$B,MATCH(A2271,SETORES!$A:$A,0))</f>
        <v>Clientes</v>
      </c>
      <c r="H2271" s="16" t="s">
        <v>88</v>
      </c>
    </row>
    <row r="2272" customFormat="false" ht="14.25" hidden="true" customHeight="true" outlineLevel="0" collapsed="false">
      <c r="A2272" s="16" t="s">
        <v>79</v>
      </c>
      <c r="B2272" s="16" t="s">
        <v>162</v>
      </c>
      <c r="C2272" s="16" t="s">
        <v>222</v>
      </c>
      <c r="D2272" s="38"/>
      <c r="E2272" s="39"/>
      <c r="F2272" s="22" t="n">
        <f aca="false">IFERROR(D2272*E2272,0)</f>
        <v>0</v>
      </c>
      <c r="G2272" s="16" t="str">
        <f aca="false">INDEX(SETORES!$B:$B,MATCH(A2272,SETORES!$A:$A,0))</f>
        <v>Funcionários</v>
      </c>
      <c r="H2272" s="16" t="s">
        <v>88</v>
      </c>
    </row>
    <row r="2273" customFormat="false" ht="14.25" hidden="true" customHeight="true" outlineLevel="0" collapsed="false">
      <c r="A2273" s="16" t="s">
        <v>80</v>
      </c>
      <c r="B2273" s="16" t="s">
        <v>162</v>
      </c>
      <c r="C2273" s="16" t="s">
        <v>222</v>
      </c>
      <c r="D2273" s="38"/>
      <c r="E2273" s="39"/>
      <c r="F2273" s="22" t="n">
        <f aca="false">IFERROR(D2273*E2273,0)</f>
        <v>0</v>
      </c>
      <c r="G2273" s="16" t="str">
        <f aca="false">INDEX(SETORES!$B:$B,MATCH(A2273,SETORES!$A:$A,0))</f>
        <v>Clientes</v>
      </c>
      <c r="H2273" s="16" t="s">
        <v>88</v>
      </c>
    </row>
    <row r="2274" customFormat="false" ht="14.25" hidden="true" customHeight="true" outlineLevel="0" collapsed="false">
      <c r="A2274" s="16" t="s">
        <v>42</v>
      </c>
      <c r="B2274" s="16" t="s">
        <v>162</v>
      </c>
      <c r="C2274" s="16" t="s">
        <v>222</v>
      </c>
      <c r="D2274" s="38"/>
      <c r="E2274" s="39"/>
      <c r="F2274" s="22" t="n">
        <f aca="false">IFERROR(D2274*E2274,0)</f>
        <v>0</v>
      </c>
      <c r="G2274" s="16" t="str">
        <f aca="false">INDEX(SETORES!$B:$B,MATCH(A2274,SETORES!$A:$A,0))</f>
        <v>Clientes</v>
      </c>
      <c r="H2274" s="16" t="s">
        <v>88</v>
      </c>
    </row>
    <row r="2275" customFormat="false" ht="14.25" hidden="true" customHeight="true" outlineLevel="0" collapsed="false">
      <c r="A2275" s="16" t="s">
        <v>36</v>
      </c>
      <c r="B2275" s="16" t="s">
        <v>162</v>
      </c>
      <c r="C2275" s="16" t="s">
        <v>222</v>
      </c>
      <c r="D2275" s="38"/>
      <c r="E2275" s="39"/>
      <c r="F2275" s="22" t="n">
        <f aca="false">IFERROR(D2275*E2275,0)</f>
        <v>0</v>
      </c>
      <c r="G2275" s="16" t="str">
        <f aca="false">INDEX(SETORES!$B:$B,MATCH(A2275,SETORES!$A:$A,0))</f>
        <v>Clientes</v>
      </c>
      <c r="H2275" s="16" t="s">
        <v>88</v>
      </c>
    </row>
    <row r="2276" customFormat="false" ht="14.25" hidden="true" customHeight="true" outlineLevel="0" collapsed="false">
      <c r="A2276" s="16" t="s">
        <v>81</v>
      </c>
      <c r="B2276" s="16" t="s">
        <v>162</v>
      </c>
      <c r="C2276" s="16" t="s">
        <v>222</v>
      </c>
      <c r="D2276" s="38"/>
      <c r="E2276" s="39"/>
      <c r="F2276" s="22" t="n">
        <f aca="false">IFERROR(D2276*E2276,0)</f>
        <v>0</v>
      </c>
      <c r="G2276" s="16" t="str">
        <f aca="false">INDEX(SETORES!$B:$B,MATCH(A2276,SETORES!$A:$A,0))</f>
        <v>Clientes</v>
      </c>
      <c r="H2276" s="16" t="s">
        <v>88</v>
      </c>
    </row>
    <row r="2277" customFormat="false" ht="14.25" hidden="true" customHeight="true" outlineLevel="0" collapsed="false">
      <c r="A2277" s="16" t="s">
        <v>82</v>
      </c>
      <c r="B2277" s="16" t="s">
        <v>162</v>
      </c>
      <c r="C2277" s="16" t="s">
        <v>222</v>
      </c>
      <c r="D2277" s="38"/>
      <c r="E2277" s="39"/>
      <c r="F2277" s="22" t="n">
        <f aca="false">IFERROR(D2277*E2277,0)</f>
        <v>0</v>
      </c>
      <c r="G2277" s="16" t="str">
        <f aca="false">INDEX(SETORES!$B:$B,MATCH(A2277,SETORES!$A:$A,0))</f>
        <v>Clientes</v>
      </c>
      <c r="H2277" s="16" t="s">
        <v>88</v>
      </c>
    </row>
    <row r="2278" customFormat="false" ht="14.25" hidden="true" customHeight="true" outlineLevel="0" collapsed="false">
      <c r="A2278" s="16" t="s">
        <v>34</v>
      </c>
      <c r="B2278" s="16" t="s">
        <v>162</v>
      </c>
      <c r="C2278" s="16" t="s">
        <v>222</v>
      </c>
      <c r="D2278" s="38"/>
      <c r="E2278" s="39"/>
      <c r="F2278" s="22" t="n">
        <f aca="false">IFERROR(D2278*E2278,0)</f>
        <v>0</v>
      </c>
      <c r="G2278" s="16" t="str">
        <f aca="false">INDEX(SETORES!$B:$B,MATCH(A2278,SETORES!$A:$A,0))</f>
        <v>Clientes</v>
      </c>
      <c r="H2278" s="16" t="s">
        <v>88</v>
      </c>
    </row>
    <row r="2279" customFormat="false" ht="14.25" hidden="true" customHeight="true" outlineLevel="0" collapsed="false">
      <c r="A2279" s="16" t="s">
        <v>83</v>
      </c>
      <c r="B2279" s="16" t="s">
        <v>162</v>
      </c>
      <c r="C2279" s="16" t="s">
        <v>222</v>
      </c>
      <c r="D2279" s="38"/>
      <c r="E2279" s="39"/>
      <c r="F2279" s="22" t="n">
        <f aca="false">IFERROR(D2279*E2279,0)</f>
        <v>0</v>
      </c>
      <c r="G2279" s="16" t="str">
        <f aca="false">INDEX(SETORES!$B:$B,MATCH(A2279,SETORES!$A:$A,0))</f>
        <v>Clientes</v>
      </c>
      <c r="H2279" s="16" t="s">
        <v>88</v>
      </c>
    </row>
    <row r="2280" customFormat="false" ht="14.25" hidden="true" customHeight="true" outlineLevel="0" collapsed="false">
      <c r="A2280" s="16" t="s">
        <v>48</v>
      </c>
      <c r="B2280" s="16" t="s">
        <v>162</v>
      </c>
      <c r="C2280" s="16" t="s">
        <v>222</v>
      </c>
      <c r="D2280" s="38"/>
      <c r="E2280" s="39"/>
      <c r="F2280" s="22" t="n">
        <f aca="false">IFERROR(D2280*E2280,0)</f>
        <v>0</v>
      </c>
      <c r="G2280" s="16" t="str">
        <f aca="false">INDEX(SETORES!$B:$B,MATCH(A2280,SETORES!$A:$A,0))</f>
        <v>Clientes</v>
      </c>
      <c r="H2280" s="16" t="s">
        <v>88</v>
      </c>
    </row>
    <row r="2281" customFormat="false" ht="14.25" hidden="true" customHeight="true" outlineLevel="0" collapsed="false">
      <c r="A2281" s="16" t="s">
        <v>85</v>
      </c>
      <c r="B2281" s="16" t="s">
        <v>162</v>
      </c>
      <c r="C2281" s="16" t="s">
        <v>222</v>
      </c>
      <c r="D2281" s="38"/>
      <c r="E2281" s="39"/>
      <c r="F2281" s="22" t="n">
        <f aca="false">IFERROR(D2281*E2281,0)</f>
        <v>0</v>
      </c>
      <c r="G2281" s="16" t="str">
        <f aca="false">INDEX(SETORES!$B:$B,MATCH(A2281,SETORES!$A:$A,0))</f>
        <v>Clientes</v>
      </c>
      <c r="H2281" s="16" t="s">
        <v>88</v>
      </c>
    </row>
    <row r="2282" customFormat="false" ht="14.25" hidden="true" customHeight="true" outlineLevel="0" collapsed="false">
      <c r="A2282" s="16" t="s">
        <v>49</v>
      </c>
      <c r="B2282" s="16" t="s">
        <v>162</v>
      </c>
      <c r="C2282" s="16" t="s">
        <v>222</v>
      </c>
      <c r="D2282" s="38"/>
      <c r="E2282" s="39"/>
      <c r="F2282" s="22" t="n">
        <f aca="false">IFERROR(D2282*E2282,0)</f>
        <v>0</v>
      </c>
      <c r="G2282" s="16" t="str">
        <f aca="false">INDEX(SETORES!$B:$B,MATCH(A2282,SETORES!$A:$A,0))</f>
        <v>Clientes</v>
      </c>
      <c r="H2282" s="16" t="s">
        <v>88</v>
      </c>
    </row>
    <row r="2283" customFormat="false" ht="14.25" hidden="true" customHeight="true" outlineLevel="0" collapsed="false">
      <c r="A2283" s="16" t="s">
        <v>86</v>
      </c>
      <c r="B2283" s="16" t="s">
        <v>162</v>
      </c>
      <c r="C2283" s="16" t="s">
        <v>222</v>
      </c>
      <c r="D2283" s="38"/>
      <c r="E2283" s="39"/>
      <c r="F2283" s="22" t="n">
        <f aca="false">IFERROR(D2283*E2283,0)</f>
        <v>0</v>
      </c>
      <c r="G2283" s="16" t="str">
        <f aca="false">INDEX(SETORES!$B:$B,MATCH(A2283,SETORES!$A:$A,0))</f>
        <v>Clientes</v>
      </c>
      <c r="H2283" s="16" t="s">
        <v>88</v>
      </c>
    </row>
    <row r="2284" customFormat="false" ht="14.25" hidden="true" customHeight="true" outlineLevel="0" collapsed="false">
      <c r="A2284" s="16" t="s">
        <v>32</v>
      </c>
      <c r="B2284" s="16" t="s">
        <v>162</v>
      </c>
      <c r="C2284" s="16" t="s">
        <v>222</v>
      </c>
      <c r="D2284" s="38"/>
      <c r="E2284" s="39"/>
      <c r="F2284" s="22" t="n">
        <f aca="false">IFERROR(D2284*E2284,0)</f>
        <v>0</v>
      </c>
      <c r="G2284" s="16" t="str">
        <f aca="false">INDEX(SETORES!$B:$B,MATCH(A2284,SETORES!$A:$A,0))</f>
        <v>Funcionários</v>
      </c>
      <c r="H2284" s="16" t="s">
        <v>88</v>
      </c>
    </row>
    <row r="2285" customFormat="false" ht="14.25" hidden="true" customHeight="true" outlineLevel="0" collapsed="false">
      <c r="A2285" s="16" t="s">
        <v>81</v>
      </c>
      <c r="B2285" s="16" t="s">
        <v>155</v>
      </c>
      <c r="C2285" s="16" t="s">
        <v>238</v>
      </c>
      <c r="D2285" s="38"/>
      <c r="E2285" s="39"/>
      <c r="F2285" s="22" t="n">
        <f aca="false">IFERROR(D2285*E2285,0)</f>
        <v>0</v>
      </c>
      <c r="G2285" s="16" t="str">
        <f aca="false">INDEX(SETORES!$B:$B,MATCH(A2285,SETORES!$A:$A,0))</f>
        <v>Clientes</v>
      </c>
      <c r="H2285" s="16" t="s">
        <v>88</v>
      </c>
    </row>
    <row r="2286" customFormat="false" ht="14.25" hidden="true" customHeight="true" outlineLevel="0" collapsed="false">
      <c r="A2286" s="16" t="s">
        <v>54</v>
      </c>
      <c r="B2286" s="16" t="s">
        <v>155</v>
      </c>
      <c r="C2286" s="16" t="s">
        <v>238</v>
      </c>
      <c r="D2286" s="38"/>
      <c r="E2286" s="39"/>
      <c r="F2286" s="22" t="n">
        <f aca="false">IFERROR(D2286*E2286,0)</f>
        <v>0</v>
      </c>
      <c r="G2286" s="16" t="str">
        <f aca="false">INDEX(SETORES!$B:$B,MATCH(A2286,SETORES!$A:$A,0))</f>
        <v>Clientes</v>
      </c>
      <c r="H2286" s="16" t="s">
        <v>88</v>
      </c>
    </row>
    <row r="2287" customFormat="false" ht="14.25" hidden="true" customHeight="true" outlineLevel="0" collapsed="false">
      <c r="A2287" s="16" t="s">
        <v>40</v>
      </c>
      <c r="B2287" s="16" t="s">
        <v>155</v>
      </c>
      <c r="C2287" s="16" t="s">
        <v>238</v>
      </c>
      <c r="D2287" s="38"/>
      <c r="E2287" s="39"/>
      <c r="F2287" s="22" t="n">
        <f aca="false">IFERROR(D2287*E2287,0)</f>
        <v>0</v>
      </c>
      <c r="G2287" s="16" t="str">
        <f aca="false">INDEX(SETORES!$B:$B,MATCH(A2287,SETORES!$A:$A,0))</f>
        <v>Clientes</v>
      </c>
      <c r="H2287" s="16" t="s">
        <v>88</v>
      </c>
    </row>
    <row r="2288" customFormat="false" ht="14.25" hidden="true" customHeight="true" outlineLevel="0" collapsed="false">
      <c r="A2288" s="16" t="s">
        <v>86</v>
      </c>
      <c r="B2288" s="16" t="s">
        <v>155</v>
      </c>
      <c r="C2288" s="16" t="s">
        <v>238</v>
      </c>
      <c r="D2288" s="38"/>
      <c r="E2288" s="39"/>
      <c r="F2288" s="22" t="n">
        <f aca="false">IFERROR(D2288*E2288,0)</f>
        <v>0</v>
      </c>
      <c r="G2288" s="16" t="str">
        <f aca="false">INDEX(SETORES!$B:$B,MATCH(A2288,SETORES!$A:$A,0))</f>
        <v>Clientes</v>
      </c>
      <c r="H2288" s="16" t="s">
        <v>88</v>
      </c>
    </row>
    <row r="2289" customFormat="false" ht="14.25" hidden="true" customHeight="true" outlineLevel="0" collapsed="false">
      <c r="A2289" s="16" t="s">
        <v>80</v>
      </c>
      <c r="B2289" s="16" t="s">
        <v>155</v>
      </c>
      <c r="C2289" s="16" t="s">
        <v>238</v>
      </c>
      <c r="D2289" s="38"/>
      <c r="E2289" s="39"/>
      <c r="F2289" s="22" t="n">
        <f aca="false">IFERROR(D2289*E2289,0)</f>
        <v>0</v>
      </c>
      <c r="G2289" s="16" t="str">
        <f aca="false">INDEX(SETORES!$B:$B,MATCH(A2289,SETORES!$A:$A,0))</f>
        <v>Clientes</v>
      </c>
      <c r="H2289" s="16" t="s">
        <v>88</v>
      </c>
    </row>
    <row r="2290" customFormat="false" ht="14.25" hidden="true" customHeight="true" outlineLevel="0" collapsed="false">
      <c r="A2290" s="16" t="s">
        <v>42</v>
      </c>
      <c r="B2290" s="16" t="s">
        <v>155</v>
      </c>
      <c r="C2290" s="16" t="s">
        <v>238</v>
      </c>
      <c r="D2290" s="38"/>
      <c r="E2290" s="39"/>
      <c r="F2290" s="22" t="n">
        <f aca="false">IFERROR(D2290*E2290,0)</f>
        <v>0</v>
      </c>
      <c r="G2290" s="16" t="str">
        <f aca="false">INDEX(SETORES!$B:$B,MATCH(A2290,SETORES!$A:$A,0))</f>
        <v>Clientes</v>
      </c>
      <c r="H2290" s="16" t="s">
        <v>88</v>
      </c>
    </row>
    <row r="2291" customFormat="false" ht="14.25" hidden="true" customHeight="true" outlineLevel="0" collapsed="false">
      <c r="A2291" s="16" t="s">
        <v>34</v>
      </c>
      <c r="B2291" s="16" t="s">
        <v>155</v>
      </c>
      <c r="C2291" s="16" t="s">
        <v>238</v>
      </c>
      <c r="D2291" s="38"/>
      <c r="E2291" s="39"/>
      <c r="F2291" s="22" t="n">
        <f aca="false">IFERROR(D2291*E2291,0)</f>
        <v>0</v>
      </c>
      <c r="G2291" s="16" t="str">
        <f aca="false">INDEX(SETORES!$B:$B,MATCH(A2291,SETORES!$A:$A,0))</f>
        <v>Clientes</v>
      </c>
      <c r="H2291" s="16" t="s">
        <v>88</v>
      </c>
    </row>
    <row r="2292" customFormat="false" ht="14.25" hidden="true" customHeight="true" outlineLevel="0" collapsed="false">
      <c r="A2292" s="16" t="s">
        <v>41</v>
      </c>
      <c r="B2292" s="16" t="s">
        <v>155</v>
      </c>
      <c r="C2292" s="16" t="s">
        <v>238</v>
      </c>
      <c r="D2292" s="38"/>
      <c r="E2292" s="39"/>
      <c r="F2292" s="22" t="n">
        <f aca="false">IFERROR(D2292*E2292,0)</f>
        <v>0</v>
      </c>
      <c r="G2292" s="16" t="str">
        <f aca="false">INDEX(SETORES!$B:$B,MATCH(A2292,SETORES!$A:$A,0))</f>
        <v>Clientes</v>
      </c>
      <c r="H2292" s="16" t="s">
        <v>88</v>
      </c>
    </row>
    <row r="2293" customFormat="false" ht="14.25" hidden="true" customHeight="true" outlineLevel="0" collapsed="false">
      <c r="A2293" s="16" t="s">
        <v>35</v>
      </c>
      <c r="B2293" s="16" t="s">
        <v>155</v>
      </c>
      <c r="C2293" s="16" t="s">
        <v>212</v>
      </c>
      <c r="D2293" s="38" t="n">
        <v>1</v>
      </c>
      <c r="E2293" s="39" t="n">
        <v>30</v>
      </c>
      <c r="F2293" s="22" t="n">
        <f aca="false">IFERROR(D2293*E2293,0)</f>
        <v>30</v>
      </c>
      <c r="G2293" s="16" t="str">
        <f aca="false">INDEX(SETORES!$B:$B,MATCH(A2293,SETORES!$A:$A,0))</f>
        <v>Clientes</v>
      </c>
      <c r="H2293" s="16" t="s">
        <v>88</v>
      </c>
    </row>
    <row r="2294" customFormat="false" ht="14.25" hidden="true" customHeight="true" outlineLevel="0" collapsed="false">
      <c r="A2294" s="16" t="s">
        <v>78</v>
      </c>
      <c r="B2294" s="16" t="s">
        <v>155</v>
      </c>
      <c r="C2294" s="16" t="s">
        <v>212</v>
      </c>
      <c r="D2294" s="38" t="n">
        <v>12</v>
      </c>
      <c r="E2294" s="39" t="n">
        <v>30</v>
      </c>
      <c r="F2294" s="22" t="n">
        <f aca="false">IFERROR(D2294*E2294,0)</f>
        <v>360</v>
      </c>
      <c r="G2294" s="16" t="str">
        <f aca="false">INDEX(SETORES!$B:$B,MATCH(A2294,SETORES!$A:$A,0))</f>
        <v>Clientes</v>
      </c>
      <c r="H2294" s="16" t="s">
        <v>88</v>
      </c>
    </row>
    <row r="2295" customFormat="false" ht="14.25" hidden="true" customHeight="true" outlineLevel="0" collapsed="false">
      <c r="A2295" s="16" t="s">
        <v>43</v>
      </c>
      <c r="B2295" s="16" t="s">
        <v>155</v>
      </c>
      <c r="C2295" s="16" t="s">
        <v>212</v>
      </c>
      <c r="D2295" s="38" t="n">
        <v>2</v>
      </c>
      <c r="E2295" s="39" t="n">
        <v>30</v>
      </c>
      <c r="F2295" s="22" t="n">
        <f aca="false">IFERROR(D2295*E2295,0)</f>
        <v>60</v>
      </c>
      <c r="G2295" s="16" t="str">
        <f aca="false">INDEX(SETORES!$B:$B,MATCH(A2295,SETORES!$A:$A,0))</f>
        <v>Clientes</v>
      </c>
      <c r="H2295" s="16" t="s">
        <v>88</v>
      </c>
    </row>
    <row r="2296" customFormat="false" ht="14.25" hidden="true" customHeight="true" outlineLevel="0" collapsed="false">
      <c r="A2296" s="16" t="s">
        <v>40</v>
      </c>
      <c r="B2296" s="16" t="s">
        <v>155</v>
      </c>
      <c r="C2296" s="16" t="s">
        <v>212</v>
      </c>
      <c r="D2296" s="38" t="n">
        <v>2</v>
      </c>
      <c r="E2296" s="39" t="n">
        <v>30</v>
      </c>
      <c r="F2296" s="22" t="n">
        <f aca="false">IFERROR(D2296*E2296,0)</f>
        <v>60</v>
      </c>
      <c r="G2296" s="16" t="str">
        <f aca="false">INDEX(SETORES!$B:$B,MATCH(A2296,SETORES!$A:$A,0))</f>
        <v>Clientes</v>
      </c>
      <c r="H2296" s="16" t="s">
        <v>88</v>
      </c>
    </row>
    <row r="2297" customFormat="false" ht="14.25" hidden="true" customHeight="true" outlineLevel="0" collapsed="false">
      <c r="A2297" s="16" t="s">
        <v>33</v>
      </c>
      <c r="B2297" s="16" t="s">
        <v>155</v>
      </c>
      <c r="C2297" s="16" t="s">
        <v>212</v>
      </c>
      <c r="D2297" s="38" t="n">
        <v>2</v>
      </c>
      <c r="E2297" s="39" t="n">
        <v>30</v>
      </c>
      <c r="F2297" s="22" t="n">
        <f aca="false">IFERROR(D2297*E2297,0)</f>
        <v>60</v>
      </c>
      <c r="G2297" s="16" t="str">
        <f aca="false">INDEX(SETORES!$B:$B,MATCH(A2297,SETORES!$A:$A,0))</f>
        <v>Funcionários</v>
      </c>
      <c r="H2297" s="16" t="s">
        <v>88</v>
      </c>
    </row>
    <row r="2298" customFormat="false" ht="14.25" hidden="true" customHeight="true" outlineLevel="0" collapsed="false">
      <c r="A2298" s="16" t="s">
        <v>45</v>
      </c>
      <c r="B2298" s="16" t="s">
        <v>155</v>
      </c>
      <c r="C2298" s="16" t="s">
        <v>212</v>
      </c>
      <c r="D2298" s="38" t="n">
        <v>8</v>
      </c>
      <c r="E2298" s="39" t="n">
        <v>30</v>
      </c>
      <c r="F2298" s="22" t="n">
        <f aca="false">IFERROR(D2298*E2298,0)</f>
        <v>240</v>
      </c>
      <c r="G2298" s="16" t="str">
        <f aca="false">INDEX(SETORES!$B:$B,MATCH(A2298,SETORES!$A:$A,0))</f>
        <v>Clientes</v>
      </c>
      <c r="H2298" s="16" t="s">
        <v>88</v>
      </c>
    </row>
    <row r="2299" customFormat="false" ht="14.25" hidden="true" customHeight="true" outlineLevel="0" collapsed="false">
      <c r="A2299" s="16" t="s">
        <v>36</v>
      </c>
      <c r="B2299" s="16" t="s">
        <v>155</v>
      </c>
      <c r="C2299" s="16" t="s">
        <v>212</v>
      </c>
      <c r="D2299" s="38" t="n">
        <v>2</v>
      </c>
      <c r="E2299" s="39" t="n">
        <v>30</v>
      </c>
      <c r="F2299" s="22" t="n">
        <f aca="false">IFERROR(D2299*E2299,0)</f>
        <v>60</v>
      </c>
      <c r="G2299" s="16" t="str">
        <f aca="false">INDEX(SETORES!$B:$B,MATCH(A2299,SETORES!$A:$A,0))</f>
        <v>Clientes</v>
      </c>
      <c r="H2299" s="16" t="s">
        <v>88</v>
      </c>
    </row>
    <row r="2300" customFormat="false" ht="14.25" hidden="true" customHeight="true" outlineLevel="0" collapsed="false">
      <c r="A2300" s="16" t="s">
        <v>81</v>
      </c>
      <c r="B2300" s="16" t="s">
        <v>155</v>
      </c>
      <c r="C2300" s="16" t="s">
        <v>212</v>
      </c>
      <c r="D2300" s="38" t="n">
        <v>2</v>
      </c>
      <c r="E2300" s="39" t="n">
        <v>30</v>
      </c>
      <c r="F2300" s="22" t="n">
        <f aca="false">IFERROR(D2300*E2300,0)</f>
        <v>60</v>
      </c>
      <c r="G2300" s="16" t="str">
        <f aca="false">INDEX(SETORES!$B:$B,MATCH(A2300,SETORES!$A:$A,0))</f>
        <v>Clientes</v>
      </c>
      <c r="H2300" s="16" t="s">
        <v>88</v>
      </c>
    </row>
    <row r="2301" customFormat="false" ht="14.25" hidden="true" customHeight="true" outlineLevel="0" collapsed="false">
      <c r="A2301" s="16" t="s">
        <v>34</v>
      </c>
      <c r="B2301" s="16" t="s">
        <v>155</v>
      </c>
      <c r="C2301" s="16" t="s">
        <v>212</v>
      </c>
      <c r="D2301" s="38" t="n">
        <v>2</v>
      </c>
      <c r="E2301" s="39" t="n">
        <v>30</v>
      </c>
      <c r="F2301" s="22" t="n">
        <f aca="false">IFERROR(D2301*E2301,0)</f>
        <v>60</v>
      </c>
      <c r="G2301" s="16" t="str">
        <f aca="false">INDEX(SETORES!$B:$B,MATCH(A2301,SETORES!$A:$A,0))</f>
        <v>Clientes</v>
      </c>
      <c r="H2301" s="16" t="s">
        <v>88</v>
      </c>
    </row>
    <row r="2302" customFormat="false" ht="14.25" hidden="true" customHeight="true" outlineLevel="0" collapsed="false">
      <c r="A2302" s="16" t="s">
        <v>83</v>
      </c>
      <c r="B2302" s="16" t="s">
        <v>155</v>
      </c>
      <c r="C2302" s="16" t="s">
        <v>212</v>
      </c>
      <c r="D2302" s="38" t="n">
        <v>2</v>
      </c>
      <c r="E2302" s="39" t="n">
        <v>30</v>
      </c>
      <c r="F2302" s="22" t="n">
        <f aca="false">IFERROR(D2302*E2302,0)</f>
        <v>60</v>
      </c>
      <c r="G2302" s="16" t="str">
        <f aca="false">INDEX(SETORES!$B:$B,MATCH(A2302,SETORES!$A:$A,0))</f>
        <v>Clientes</v>
      </c>
      <c r="H2302" s="16" t="s">
        <v>88</v>
      </c>
    </row>
    <row r="2303" customFormat="false" ht="14.25" hidden="true" customHeight="true" outlineLevel="0" collapsed="false">
      <c r="A2303" s="16" t="s">
        <v>48</v>
      </c>
      <c r="B2303" s="16" t="s">
        <v>155</v>
      </c>
      <c r="C2303" s="16" t="s">
        <v>212</v>
      </c>
      <c r="D2303" s="38" t="n">
        <v>7</v>
      </c>
      <c r="E2303" s="39" t="n">
        <v>30</v>
      </c>
      <c r="F2303" s="22" t="n">
        <f aca="false">IFERROR(D2303*E2303,0)</f>
        <v>210</v>
      </c>
      <c r="G2303" s="16" t="str">
        <f aca="false">INDEX(SETORES!$B:$B,MATCH(A2303,SETORES!$A:$A,0))</f>
        <v>Clientes</v>
      </c>
      <c r="H2303" s="16" t="s">
        <v>88</v>
      </c>
    </row>
    <row r="2304" customFormat="false" ht="14.25" hidden="true" customHeight="true" outlineLevel="0" collapsed="false">
      <c r="A2304" s="16" t="s">
        <v>47</v>
      </c>
      <c r="B2304" s="16" t="s">
        <v>155</v>
      </c>
      <c r="C2304" s="16" t="s">
        <v>212</v>
      </c>
      <c r="D2304" s="38" t="n">
        <v>7</v>
      </c>
      <c r="E2304" s="39" t="n">
        <v>30</v>
      </c>
      <c r="F2304" s="22" t="n">
        <f aca="false">IFERROR(D2304*E2304,0)</f>
        <v>210</v>
      </c>
      <c r="G2304" s="16" t="str">
        <f aca="false">INDEX(SETORES!$B:$B,MATCH(A2304,SETORES!$A:$A,0))</f>
        <v>Clientes</v>
      </c>
      <c r="H2304" s="16" t="s">
        <v>88</v>
      </c>
    </row>
    <row r="2305" customFormat="false" ht="14.25" hidden="true" customHeight="true" outlineLevel="0" collapsed="false">
      <c r="A2305" s="16" t="s">
        <v>85</v>
      </c>
      <c r="B2305" s="16" t="s">
        <v>155</v>
      </c>
      <c r="C2305" s="16" t="s">
        <v>212</v>
      </c>
      <c r="D2305" s="38" t="n">
        <v>10</v>
      </c>
      <c r="E2305" s="39" t="n">
        <v>30</v>
      </c>
      <c r="F2305" s="22" t="n">
        <f aca="false">IFERROR(D2305*E2305,0)</f>
        <v>300</v>
      </c>
      <c r="G2305" s="16" t="str">
        <f aca="false">INDEX(SETORES!$B:$B,MATCH(A2305,SETORES!$A:$A,0))</f>
        <v>Clientes</v>
      </c>
      <c r="H2305" s="16" t="s">
        <v>88</v>
      </c>
    </row>
    <row r="2306" customFormat="false" ht="14.25" hidden="true" customHeight="true" outlineLevel="0" collapsed="false">
      <c r="A2306" s="16" t="s">
        <v>31</v>
      </c>
      <c r="B2306" s="16" t="s">
        <v>155</v>
      </c>
      <c r="C2306" s="16" t="s">
        <v>212</v>
      </c>
      <c r="D2306" s="38" t="n">
        <v>3</v>
      </c>
      <c r="E2306" s="39" t="n">
        <v>30</v>
      </c>
      <c r="F2306" s="22" t="n">
        <f aca="false">IFERROR(D2306*E2306,0)</f>
        <v>90</v>
      </c>
      <c r="G2306" s="16" t="str">
        <f aca="false">INDEX(SETORES!$B:$B,MATCH(A2306,SETORES!$A:$A,0))</f>
        <v>Clientes</v>
      </c>
      <c r="H2306" s="16" t="s">
        <v>88</v>
      </c>
    </row>
    <row r="2307" customFormat="false" ht="14.25" hidden="true" customHeight="true" outlineLevel="0" collapsed="false">
      <c r="A2307" s="16" t="s">
        <v>46</v>
      </c>
      <c r="B2307" s="16" t="s">
        <v>155</v>
      </c>
      <c r="C2307" s="16" t="s">
        <v>212</v>
      </c>
      <c r="D2307" s="38" t="n">
        <v>5</v>
      </c>
      <c r="E2307" s="39" t="n">
        <v>30</v>
      </c>
      <c r="F2307" s="22" t="n">
        <f aca="false">IFERROR(D2307*E2307,0)</f>
        <v>150</v>
      </c>
      <c r="G2307" s="16" t="str">
        <f aca="false">INDEX(SETORES!$B:$B,MATCH(A2307,SETORES!$A:$A,0))</f>
        <v>Clientes</v>
      </c>
      <c r="H2307" s="16" t="s">
        <v>88</v>
      </c>
    </row>
    <row r="2308" customFormat="false" ht="14.25" hidden="true" customHeight="true" outlineLevel="0" collapsed="false">
      <c r="A2308" s="16" t="s">
        <v>86</v>
      </c>
      <c r="B2308" s="16" t="s">
        <v>155</v>
      </c>
      <c r="C2308" s="16" t="s">
        <v>212</v>
      </c>
      <c r="D2308" s="38" t="n">
        <v>4</v>
      </c>
      <c r="E2308" s="39" t="n">
        <v>30</v>
      </c>
      <c r="F2308" s="22" t="n">
        <f aca="false">IFERROR(D2308*E2308,0)</f>
        <v>120</v>
      </c>
      <c r="G2308" s="16" t="str">
        <f aca="false">INDEX(SETORES!$B:$B,MATCH(A2308,SETORES!$A:$A,0))</f>
        <v>Clientes</v>
      </c>
      <c r="H2308" s="16" t="s">
        <v>88</v>
      </c>
    </row>
    <row r="2309" customFormat="false" ht="14.25" hidden="true" customHeight="true" outlineLevel="0" collapsed="false">
      <c r="A2309" s="16" t="s">
        <v>32</v>
      </c>
      <c r="B2309" s="16" t="s">
        <v>155</v>
      </c>
      <c r="C2309" s="16" t="s">
        <v>212</v>
      </c>
      <c r="D2309" s="38" t="n">
        <v>3</v>
      </c>
      <c r="E2309" s="39" t="n">
        <v>30</v>
      </c>
      <c r="F2309" s="22" t="n">
        <f aca="false">IFERROR(D2309*E2309,0)</f>
        <v>90</v>
      </c>
      <c r="G2309" s="16" t="str">
        <f aca="false">INDEX(SETORES!$B:$B,MATCH(A2309,SETORES!$A:$A,0))</f>
        <v>Funcionários</v>
      </c>
      <c r="H2309" s="16" t="s">
        <v>88</v>
      </c>
    </row>
    <row r="2310" customFormat="false" ht="14.25" hidden="true" customHeight="true" outlineLevel="0" collapsed="false">
      <c r="A2310" s="16" t="s">
        <v>44</v>
      </c>
      <c r="B2310" s="16" t="s">
        <v>155</v>
      </c>
      <c r="C2310" s="16" t="s">
        <v>212</v>
      </c>
      <c r="D2310" s="38" t="n">
        <v>3</v>
      </c>
      <c r="E2310" s="39" t="n">
        <v>30</v>
      </c>
      <c r="F2310" s="22" t="n">
        <f aca="false">IFERROR(D2310*E2310,0)</f>
        <v>90</v>
      </c>
      <c r="G2310" s="16" t="str">
        <f aca="false">INDEX(SETORES!$B:$B,MATCH(A2310,SETORES!$A:$A,0))</f>
        <v>Funcionários</v>
      </c>
      <c r="H2310" s="16" t="s">
        <v>88</v>
      </c>
    </row>
    <row r="2311" customFormat="false" ht="14.25" hidden="true" customHeight="true" outlineLevel="0" collapsed="false">
      <c r="A2311" s="16" t="s">
        <v>87</v>
      </c>
      <c r="B2311" s="16" t="s">
        <v>155</v>
      </c>
      <c r="C2311" s="16" t="s">
        <v>212</v>
      </c>
      <c r="D2311" s="38" t="n">
        <v>5</v>
      </c>
      <c r="E2311" s="39" t="n">
        <v>30</v>
      </c>
      <c r="F2311" s="22" t="n">
        <f aca="false">IFERROR(D2311*E2311,0)</f>
        <v>150</v>
      </c>
      <c r="G2311" s="16" t="str">
        <f aca="false">INDEX(SETORES!$B:$B,MATCH(A2311,SETORES!$A:$A,0))</f>
        <v>Clientes</v>
      </c>
      <c r="H2311" s="16" t="s">
        <v>88</v>
      </c>
    </row>
    <row r="2312" customFormat="false" ht="14.25" hidden="true" customHeight="true" outlineLevel="0" collapsed="false">
      <c r="A2312" s="16" t="s">
        <v>137</v>
      </c>
      <c r="B2312" s="16" t="s">
        <v>155</v>
      </c>
      <c r="C2312" s="16" t="s">
        <v>161</v>
      </c>
      <c r="D2312" s="38" t="n">
        <v>1</v>
      </c>
      <c r="E2312" s="39" t="n">
        <v>7220.72</v>
      </c>
      <c r="F2312" s="22" t="n">
        <f aca="false">IFERROR(D2312*E2312,0)</f>
        <v>7220.72</v>
      </c>
      <c r="G2312" s="16" t="str">
        <f aca="false">INDEX(SETORES!$B:$B,MATCH(A2312,SETORES!$A:$A,0))</f>
        <v>Clientes</v>
      </c>
      <c r="H2312" s="16" t="s">
        <v>88</v>
      </c>
    </row>
    <row r="2313" customFormat="false" ht="14.25" hidden="true" customHeight="true" outlineLevel="0" collapsed="false">
      <c r="A2313" s="16" t="s">
        <v>139</v>
      </c>
      <c r="B2313" s="16" t="s">
        <v>155</v>
      </c>
      <c r="C2313" s="16" t="s">
        <v>161</v>
      </c>
      <c r="D2313" s="38" t="n">
        <v>1</v>
      </c>
      <c r="E2313" s="39" t="n">
        <v>27256.45</v>
      </c>
      <c r="F2313" s="22" t="n">
        <f aca="false">IFERROR(D2313*E2313,0)</f>
        <v>27256.45</v>
      </c>
      <c r="G2313" s="16" t="str">
        <f aca="false">INDEX(SETORES!$B:$B,MATCH(A2313,SETORES!$A:$A,0))</f>
        <v>Funcionários</v>
      </c>
      <c r="H2313" s="16" t="s">
        <v>88</v>
      </c>
    </row>
    <row r="2314" customFormat="false" ht="14.25" hidden="true" customHeight="true" outlineLevel="0" collapsed="false">
      <c r="A2314" s="16" t="s">
        <v>34</v>
      </c>
      <c r="B2314" s="16" t="s">
        <v>155</v>
      </c>
      <c r="C2314" s="16" t="s">
        <v>248</v>
      </c>
      <c r="D2314" s="38" t="n">
        <v>1</v>
      </c>
      <c r="E2314" s="39" t="n">
        <v>4947.47</v>
      </c>
      <c r="F2314" s="22" t="n">
        <f aca="false">IFERROR(D2314*E2314,0)</f>
        <v>4947.47</v>
      </c>
      <c r="G2314" s="16" t="str">
        <f aca="false">INDEX(SETORES!$B:$B,MATCH(A2314,SETORES!$A:$A,0))</f>
        <v>Clientes</v>
      </c>
      <c r="H2314" s="16" t="s">
        <v>88</v>
      </c>
    </row>
    <row r="2315" customFormat="false" ht="14.25" hidden="true" customHeight="true" outlineLevel="0" collapsed="false">
      <c r="A2315" s="16" t="s">
        <v>35</v>
      </c>
      <c r="B2315" s="16" t="s">
        <v>155</v>
      </c>
      <c r="C2315" s="16" t="s">
        <v>248</v>
      </c>
      <c r="D2315" s="38" t="n">
        <v>1</v>
      </c>
      <c r="E2315" s="39" t="n">
        <v>1455.14</v>
      </c>
      <c r="F2315" s="22" t="n">
        <f aca="false">IFERROR(D2315*E2315,0)</f>
        <v>1455.14</v>
      </c>
      <c r="G2315" s="16" t="str">
        <f aca="false">INDEX(SETORES!$B:$B,MATCH(A2315,SETORES!$A:$A,0))</f>
        <v>Clientes</v>
      </c>
      <c r="H2315" s="16" t="s">
        <v>88</v>
      </c>
    </row>
    <row r="2316" customFormat="false" ht="14.25" hidden="true" customHeight="true" outlineLevel="0" collapsed="false">
      <c r="A2316" s="16" t="s">
        <v>137</v>
      </c>
      <c r="B2316" s="16" t="s">
        <v>155</v>
      </c>
      <c r="C2316" s="16" t="s">
        <v>248</v>
      </c>
      <c r="D2316" s="38" t="n">
        <v>1</v>
      </c>
      <c r="E2316" s="39" t="n">
        <v>582.06</v>
      </c>
      <c r="F2316" s="22" t="n">
        <f aca="false">IFERROR(D2316*E2316,0)</f>
        <v>582.06</v>
      </c>
      <c r="G2316" s="16" t="str">
        <f aca="false">INDEX(SETORES!$B:$B,MATCH(A2316,SETORES!$A:$A,0))</f>
        <v>Clientes</v>
      </c>
      <c r="H2316" s="16" t="s">
        <v>88</v>
      </c>
    </row>
    <row r="2317" customFormat="false" ht="14.25" hidden="true" customHeight="true" outlineLevel="0" collapsed="false">
      <c r="A2317" s="16" t="s">
        <v>37</v>
      </c>
      <c r="B2317" s="16" t="s">
        <v>155</v>
      </c>
      <c r="C2317" s="16" t="s">
        <v>249</v>
      </c>
      <c r="D2317" s="38" t="n">
        <v>1</v>
      </c>
      <c r="E2317" s="39" t="n">
        <v>3272.78</v>
      </c>
      <c r="F2317" s="22" t="n">
        <f aca="false">IFERROR(D2317*E2317,0)</f>
        <v>3272.78</v>
      </c>
      <c r="G2317" s="16" t="str">
        <f aca="false">INDEX(SETORES!$B:$B,MATCH(A2317,SETORES!$A:$A,0))</f>
        <v>Clientes</v>
      </c>
      <c r="H2317" s="16" t="s">
        <v>88</v>
      </c>
    </row>
    <row r="2318" customFormat="false" ht="14.25" hidden="true" customHeight="true" outlineLevel="0" collapsed="false">
      <c r="A2318" s="16" t="s">
        <v>38</v>
      </c>
      <c r="B2318" s="16" t="s">
        <v>155</v>
      </c>
      <c r="C2318" s="16" t="s">
        <v>249</v>
      </c>
      <c r="D2318" s="38" t="n">
        <v>1</v>
      </c>
      <c r="E2318" s="39" t="n">
        <v>1013</v>
      </c>
      <c r="F2318" s="22" t="n">
        <f aca="false">IFERROR(D2318*E2318,0)</f>
        <v>1013</v>
      </c>
      <c r="G2318" s="16" t="str">
        <f aca="false">INDEX(SETORES!$B:$B,MATCH(A2318,SETORES!$A:$A,0))</f>
        <v>Clientes</v>
      </c>
      <c r="H2318" s="16" t="s">
        <v>88</v>
      </c>
    </row>
    <row r="2319" customFormat="false" ht="14.25" hidden="true" customHeight="true" outlineLevel="0" collapsed="false">
      <c r="A2319" s="16" t="s">
        <v>39</v>
      </c>
      <c r="B2319" s="16" t="s">
        <v>155</v>
      </c>
      <c r="C2319" s="16" t="s">
        <v>249</v>
      </c>
      <c r="D2319" s="38" t="n">
        <v>1</v>
      </c>
      <c r="E2319" s="39" t="n">
        <v>935.08</v>
      </c>
      <c r="F2319" s="22" t="n">
        <f aca="false">IFERROR(D2319*E2319,0)</f>
        <v>935.08</v>
      </c>
      <c r="G2319" s="16" t="str">
        <f aca="false">INDEX(SETORES!$B:$B,MATCH(A2319,SETORES!$A:$A,0))</f>
        <v>Clientes</v>
      </c>
      <c r="H2319" s="16" t="s">
        <v>88</v>
      </c>
    </row>
    <row r="2320" customFormat="false" ht="14.25" hidden="true" customHeight="true" outlineLevel="0" collapsed="false">
      <c r="A2320" s="16" t="s">
        <v>51</v>
      </c>
      <c r="B2320" s="16" t="s">
        <v>155</v>
      </c>
      <c r="C2320" s="16" t="s">
        <v>249</v>
      </c>
      <c r="D2320" s="38" t="n">
        <v>1</v>
      </c>
      <c r="E2320" s="39" t="n">
        <v>857.16</v>
      </c>
      <c r="F2320" s="22" t="n">
        <f aca="false">IFERROR(D2320*E2320,0)</f>
        <v>857.16</v>
      </c>
      <c r="G2320" s="16" t="str">
        <f aca="false">INDEX(SETORES!$B:$B,MATCH(A2320,SETORES!$A:$A,0))</f>
        <v>Clientes</v>
      </c>
      <c r="H2320" s="16" t="s">
        <v>88</v>
      </c>
    </row>
    <row r="2321" customFormat="false" ht="14.25" hidden="true" customHeight="true" outlineLevel="0" collapsed="false">
      <c r="A2321" s="16" t="s">
        <v>53</v>
      </c>
      <c r="B2321" s="16" t="s">
        <v>155</v>
      </c>
      <c r="C2321" s="16" t="s">
        <v>249</v>
      </c>
      <c r="D2321" s="38" t="n">
        <v>1</v>
      </c>
      <c r="E2321" s="39" t="n">
        <v>2571.47</v>
      </c>
      <c r="F2321" s="22" t="n">
        <f aca="false">IFERROR(D2321*E2321,0)</f>
        <v>2571.47</v>
      </c>
      <c r="G2321" s="16" t="str">
        <f aca="false">INDEX(SETORES!$B:$B,MATCH(A2321,SETORES!$A:$A,0))</f>
        <v>Clientes</v>
      </c>
      <c r="H2321" s="16" t="s">
        <v>88</v>
      </c>
    </row>
    <row r="2322" customFormat="false" ht="14.25" hidden="true" customHeight="true" outlineLevel="0" collapsed="false">
      <c r="A2322" s="16" t="s">
        <v>52</v>
      </c>
      <c r="B2322" s="16" t="s">
        <v>155</v>
      </c>
      <c r="C2322" s="16" t="s">
        <v>249</v>
      </c>
      <c r="D2322" s="38" t="n">
        <v>1</v>
      </c>
      <c r="E2322" s="39" t="n">
        <v>623.39</v>
      </c>
      <c r="F2322" s="22" t="n">
        <f aca="false">IFERROR(D2322*E2322,0)</f>
        <v>623.39</v>
      </c>
      <c r="G2322" s="16" t="str">
        <f aca="false">INDEX(SETORES!$B:$B,MATCH(A2322,SETORES!$A:$A,0))</f>
        <v>Clientes</v>
      </c>
      <c r="H2322" s="16" t="s">
        <v>88</v>
      </c>
    </row>
    <row r="2323" customFormat="false" ht="14.25" hidden="true" customHeight="true" outlineLevel="0" collapsed="false">
      <c r="A2323" s="16" t="s">
        <v>45</v>
      </c>
      <c r="B2323" s="16" t="s">
        <v>155</v>
      </c>
      <c r="C2323" s="16" t="s">
        <v>250</v>
      </c>
      <c r="D2323" s="38" t="n">
        <v>1</v>
      </c>
      <c r="E2323" s="39" t="n">
        <v>1574.51</v>
      </c>
      <c r="F2323" s="22" t="n">
        <f aca="false">IFERROR(D2323*E2323,0)</f>
        <v>1574.51</v>
      </c>
      <c r="G2323" s="16" t="str">
        <f aca="false">INDEX(SETORES!$B:$B,MATCH(A2323,SETORES!$A:$A,0))</f>
        <v>Clientes</v>
      </c>
      <c r="H2323" s="16" t="s">
        <v>88</v>
      </c>
    </row>
    <row r="2324" customFormat="false" ht="14.25" hidden="true" customHeight="true" outlineLevel="0" collapsed="false">
      <c r="A2324" s="16" t="s">
        <v>46</v>
      </c>
      <c r="B2324" s="16" t="s">
        <v>155</v>
      </c>
      <c r="C2324" s="16" t="s">
        <v>250</v>
      </c>
      <c r="D2324" s="38" t="n">
        <v>1</v>
      </c>
      <c r="E2324" s="39" t="n">
        <v>4198.71</v>
      </c>
      <c r="F2324" s="22" t="n">
        <f aca="false">IFERROR(D2324*E2324,0)</f>
        <v>4198.71</v>
      </c>
      <c r="G2324" s="16" t="str">
        <f aca="false">INDEX(SETORES!$B:$B,MATCH(A2324,SETORES!$A:$A,0))</f>
        <v>Clientes</v>
      </c>
      <c r="H2324" s="16" t="s">
        <v>88</v>
      </c>
    </row>
    <row r="2325" customFormat="false" ht="14.25" hidden="true" customHeight="true" outlineLevel="0" collapsed="false">
      <c r="A2325" s="16" t="s">
        <v>47</v>
      </c>
      <c r="B2325" s="16" t="s">
        <v>155</v>
      </c>
      <c r="C2325" s="16" t="s">
        <v>250</v>
      </c>
      <c r="D2325" s="38" t="n">
        <v>1</v>
      </c>
      <c r="E2325" s="39" t="n">
        <v>2624.19</v>
      </c>
      <c r="F2325" s="22" t="n">
        <f aca="false">IFERROR(D2325*E2325,0)</f>
        <v>2624.19</v>
      </c>
      <c r="G2325" s="16" t="str">
        <f aca="false">INDEX(SETORES!$B:$B,MATCH(A2325,SETORES!$A:$A,0))</f>
        <v>Clientes</v>
      </c>
      <c r="H2325" s="16" t="s">
        <v>88</v>
      </c>
    </row>
    <row r="2326" customFormat="false" ht="14.25" hidden="true" customHeight="true" outlineLevel="0" collapsed="false">
      <c r="A2326" s="16" t="s">
        <v>84</v>
      </c>
      <c r="B2326" s="16" t="s">
        <v>155</v>
      </c>
      <c r="C2326" s="16" t="s">
        <v>250</v>
      </c>
      <c r="D2326" s="38" t="n">
        <v>1</v>
      </c>
      <c r="E2326" s="39" t="n">
        <v>4198.71</v>
      </c>
      <c r="F2326" s="22" t="n">
        <f aca="false">IFERROR(D2326*E2326,0)</f>
        <v>4198.71</v>
      </c>
      <c r="G2326" s="16" t="str">
        <f aca="false">INDEX(SETORES!$B:$B,MATCH(A2326,SETORES!$A:$A,0))</f>
        <v>Clientes</v>
      </c>
      <c r="H2326" s="16" t="s">
        <v>88</v>
      </c>
    </row>
    <row r="2327" customFormat="false" ht="14.25" hidden="true" customHeight="true" outlineLevel="0" collapsed="false">
      <c r="A2327" s="16" t="s">
        <v>82</v>
      </c>
      <c r="B2327" s="16" t="s">
        <v>155</v>
      </c>
      <c r="C2327" s="16" t="s">
        <v>250</v>
      </c>
      <c r="D2327" s="38" t="n">
        <v>1</v>
      </c>
      <c r="E2327" s="39" t="n">
        <v>1749.46</v>
      </c>
      <c r="F2327" s="22" t="n">
        <f aca="false">IFERROR(D2327*E2327,0)</f>
        <v>1749.46</v>
      </c>
      <c r="G2327" s="16" t="str">
        <f aca="false">INDEX(SETORES!$B:$B,MATCH(A2327,SETORES!$A:$A,0))</f>
        <v>Clientes</v>
      </c>
      <c r="H2327" s="16" t="s">
        <v>88</v>
      </c>
    </row>
    <row r="2328" customFormat="false" ht="14.25" hidden="true" customHeight="true" outlineLevel="0" collapsed="false">
      <c r="A2328" s="16" t="s">
        <v>139</v>
      </c>
      <c r="B2328" s="16" t="s">
        <v>155</v>
      </c>
      <c r="C2328" s="16" t="s">
        <v>250</v>
      </c>
      <c r="D2328" s="38" t="n">
        <v>1</v>
      </c>
      <c r="E2328" s="39" t="n">
        <v>1049.68</v>
      </c>
      <c r="F2328" s="22" t="n">
        <f aca="false">IFERROR(D2328*E2328,0)</f>
        <v>1049.68</v>
      </c>
      <c r="G2328" s="16" t="str">
        <f aca="false">INDEX(SETORES!$B:$B,MATCH(A2328,SETORES!$A:$A,0))</f>
        <v>Funcionários</v>
      </c>
      <c r="H2328" s="16" t="s">
        <v>88</v>
      </c>
    </row>
    <row r="2329" customFormat="false" ht="14.25" hidden="true" customHeight="true" outlineLevel="0" collapsed="false">
      <c r="A2329" s="16" t="s">
        <v>137</v>
      </c>
      <c r="B2329" s="16" t="s">
        <v>155</v>
      </c>
      <c r="C2329" s="16" t="s">
        <v>158</v>
      </c>
      <c r="D2329" s="38"/>
      <c r="E2329" s="39"/>
      <c r="F2329" s="22" t="n">
        <f aca="false">IFERROR(D2329*E2329,0)</f>
        <v>0</v>
      </c>
      <c r="G2329" s="16" t="str">
        <f aca="false">INDEX(SETORES!$B:$B,MATCH(A2329,SETORES!$A:$A,0))</f>
        <v>Clientes</v>
      </c>
      <c r="H2329" s="16" t="s">
        <v>88</v>
      </c>
    </row>
    <row r="2330" customFormat="false" ht="14.25" hidden="true" customHeight="true" outlineLevel="0" collapsed="false">
      <c r="A2330" s="16" t="s">
        <v>137</v>
      </c>
      <c r="B2330" s="16" t="s">
        <v>155</v>
      </c>
      <c r="C2330" s="16" t="s">
        <v>159</v>
      </c>
      <c r="D2330" s="38"/>
      <c r="E2330" s="39"/>
      <c r="F2330" s="22" t="n">
        <f aca="false">IFERROR(D2330*E2330,0)</f>
        <v>0</v>
      </c>
      <c r="G2330" s="16" t="str">
        <f aca="false">INDEX(SETORES!$B:$B,MATCH(A2330,SETORES!$A:$A,0))</f>
        <v>Clientes</v>
      </c>
      <c r="H2330" s="16" t="s">
        <v>88</v>
      </c>
    </row>
    <row r="2331" customFormat="false" ht="14.25" hidden="true" customHeight="true" outlineLevel="0" collapsed="false">
      <c r="A2331" s="16" t="s">
        <v>85</v>
      </c>
      <c r="B2331" s="16" t="s">
        <v>155</v>
      </c>
      <c r="C2331" s="16" t="s">
        <v>158</v>
      </c>
      <c r="D2331" s="38"/>
      <c r="E2331" s="39"/>
      <c r="F2331" s="22" t="n">
        <f aca="false">IFERROR(D2331*E2331,0)</f>
        <v>0</v>
      </c>
      <c r="G2331" s="16" t="str">
        <f aca="false">INDEX(SETORES!$B:$B,MATCH(A2331,SETORES!$A:$A,0))</f>
        <v>Clientes</v>
      </c>
      <c r="H2331" s="16" t="s">
        <v>88</v>
      </c>
    </row>
    <row r="2332" customFormat="false" ht="14.25" hidden="true" customHeight="true" outlineLevel="0" collapsed="false">
      <c r="A2332" s="16" t="s">
        <v>85</v>
      </c>
      <c r="B2332" s="16" t="s">
        <v>155</v>
      </c>
      <c r="C2332" s="16" t="s">
        <v>159</v>
      </c>
      <c r="D2332" s="38"/>
      <c r="E2332" s="39"/>
      <c r="F2332" s="22" t="n">
        <f aca="false">IFERROR(D2332*E2332,0)</f>
        <v>0</v>
      </c>
      <c r="G2332" s="16" t="str">
        <f aca="false">INDEX(SETORES!$B:$B,MATCH(A2332,SETORES!$A:$A,0))</f>
        <v>Clientes</v>
      </c>
      <c r="H2332" s="16" t="s">
        <v>88</v>
      </c>
    </row>
    <row r="2333" customFormat="false" ht="14.25" hidden="true" customHeight="true" outlineLevel="0" collapsed="false">
      <c r="A2333" s="16" t="s">
        <v>54</v>
      </c>
      <c r="B2333" s="16" t="s">
        <v>155</v>
      </c>
      <c r="C2333" s="16" t="s">
        <v>158</v>
      </c>
      <c r="D2333" s="38"/>
      <c r="E2333" s="39"/>
      <c r="F2333" s="22" t="n">
        <f aca="false">IFERROR(D2333*E2333,0)</f>
        <v>0</v>
      </c>
      <c r="G2333" s="16" t="str">
        <f aca="false">INDEX(SETORES!$B:$B,MATCH(A2333,SETORES!$A:$A,0))</f>
        <v>Clientes</v>
      </c>
      <c r="H2333" s="16" t="s">
        <v>88</v>
      </c>
    </row>
    <row r="2334" customFormat="false" ht="14.25" hidden="true" customHeight="true" outlineLevel="0" collapsed="false">
      <c r="A2334" s="16" t="s">
        <v>54</v>
      </c>
      <c r="B2334" s="16" t="s">
        <v>155</v>
      </c>
      <c r="C2334" s="16" t="s">
        <v>159</v>
      </c>
      <c r="D2334" s="38"/>
      <c r="E2334" s="39"/>
      <c r="F2334" s="22" t="n">
        <f aca="false">IFERROR(D2334*E2334,0)</f>
        <v>0</v>
      </c>
      <c r="G2334" s="16" t="str">
        <f aca="false">INDEX(SETORES!$B:$B,MATCH(A2334,SETORES!$A:$A,0))</f>
        <v>Clientes</v>
      </c>
      <c r="H2334" s="16" t="s">
        <v>88</v>
      </c>
    </row>
    <row r="2335" customFormat="false" ht="14.25" hidden="true" customHeight="true" outlineLevel="0" collapsed="false">
      <c r="A2335" s="16" t="s">
        <v>87</v>
      </c>
      <c r="B2335" s="16" t="s">
        <v>155</v>
      </c>
      <c r="C2335" s="16" t="s">
        <v>158</v>
      </c>
      <c r="D2335" s="38"/>
      <c r="E2335" s="39"/>
      <c r="F2335" s="22" t="n">
        <f aca="false">IFERROR(D2335*E2335,0)</f>
        <v>0</v>
      </c>
      <c r="G2335" s="16" t="str">
        <f aca="false">INDEX(SETORES!$B:$B,MATCH(A2335,SETORES!$A:$A,0))</f>
        <v>Clientes</v>
      </c>
      <c r="H2335" s="16" t="s">
        <v>88</v>
      </c>
    </row>
    <row r="2336" customFormat="false" ht="14.25" hidden="true" customHeight="true" outlineLevel="0" collapsed="false">
      <c r="A2336" s="16" t="s">
        <v>87</v>
      </c>
      <c r="B2336" s="16" t="s">
        <v>155</v>
      </c>
      <c r="C2336" s="16" t="s">
        <v>159</v>
      </c>
      <c r="D2336" s="38"/>
      <c r="E2336" s="39"/>
      <c r="F2336" s="22" t="n">
        <f aca="false">IFERROR(D2336*E2336,0)</f>
        <v>0</v>
      </c>
      <c r="G2336" s="16" t="str">
        <f aca="false">INDEX(SETORES!$B:$B,MATCH(A2336,SETORES!$A:$A,0))</f>
        <v>Clientes</v>
      </c>
      <c r="H2336" s="16" t="s">
        <v>88</v>
      </c>
    </row>
    <row r="2337" customFormat="false" ht="14.25" hidden="true" customHeight="true" outlineLevel="0" collapsed="false">
      <c r="A2337" s="16" t="s">
        <v>80</v>
      </c>
      <c r="B2337" s="16" t="s">
        <v>155</v>
      </c>
      <c r="C2337" s="16" t="s">
        <v>158</v>
      </c>
      <c r="D2337" s="38"/>
      <c r="E2337" s="39"/>
      <c r="F2337" s="22" t="n">
        <f aca="false">IFERROR(D2337*E2337,0)</f>
        <v>0</v>
      </c>
      <c r="G2337" s="16" t="str">
        <f aca="false">INDEX(SETORES!$B:$B,MATCH(A2337,SETORES!$A:$A,0))</f>
        <v>Clientes</v>
      </c>
      <c r="H2337" s="16" t="s">
        <v>88</v>
      </c>
    </row>
    <row r="2338" customFormat="false" ht="14.25" hidden="true" customHeight="true" outlineLevel="0" collapsed="false">
      <c r="A2338" s="16" t="s">
        <v>80</v>
      </c>
      <c r="B2338" s="16" t="s">
        <v>155</v>
      </c>
      <c r="C2338" s="16" t="s">
        <v>159</v>
      </c>
      <c r="D2338" s="38"/>
      <c r="E2338" s="39"/>
      <c r="F2338" s="22" t="n">
        <f aca="false">IFERROR(D2338*E2338,0)</f>
        <v>0</v>
      </c>
      <c r="G2338" s="16" t="str">
        <f aca="false">INDEX(SETORES!$B:$B,MATCH(A2338,SETORES!$A:$A,0))</f>
        <v>Clientes</v>
      </c>
      <c r="H2338" s="16" t="s">
        <v>88</v>
      </c>
    </row>
    <row r="2339" customFormat="false" ht="14.25" hidden="true" customHeight="true" outlineLevel="0" collapsed="false">
      <c r="A2339" s="16" t="s">
        <v>137</v>
      </c>
      <c r="B2339" s="16" t="s">
        <v>155</v>
      </c>
      <c r="C2339" s="16" t="s">
        <v>167</v>
      </c>
      <c r="D2339" s="38"/>
      <c r="E2339" s="39"/>
      <c r="F2339" s="22" t="n">
        <f aca="false">IFERROR(D2339*E2339,0)</f>
        <v>0</v>
      </c>
      <c r="G2339" s="16" t="str">
        <f aca="false">INDEX(SETORES!$B:$B,MATCH(A2339,SETORES!$A:$A,0))</f>
        <v>Clientes</v>
      </c>
      <c r="H2339" s="16" t="s">
        <v>88</v>
      </c>
    </row>
    <row r="2340" customFormat="false" ht="14.25" hidden="true" customHeight="true" outlineLevel="0" collapsed="false">
      <c r="A2340" s="16" t="s">
        <v>137</v>
      </c>
      <c r="B2340" s="16" t="s">
        <v>155</v>
      </c>
      <c r="C2340" s="16" t="s">
        <v>168</v>
      </c>
      <c r="D2340" s="38" t="n">
        <v>2</v>
      </c>
      <c r="E2340" s="39" t="n">
        <v>1.87</v>
      </c>
      <c r="F2340" s="22" t="n">
        <f aca="false">IFERROR(D2340*E2340,0)</f>
        <v>3.74</v>
      </c>
      <c r="G2340" s="16" t="str">
        <f aca="false">INDEX(SETORES!$B:$B,MATCH(A2340,SETORES!$A:$A,0))</f>
        <v>Clientes</v>
      </c>
      <c r="H2340" s="16" t="s">
        <v>88</v>
      </c>
    </row>
    <row r="2341" customFormat="false" ht="14.25" hidden="true" customHeight="true" outlineLevel="0" collapsed="false">
      <c r="A2341" s="16" t="s">
        <v>137</v>
      </c>
      <c r="B2341" s="16" t="s">
        <v>155</v>
      </c>
      <c r="C2341" s="16" t="s">
        <v>170</v>
      </c>
      <c r="D2341" s="38"/>
      <c r="E2341" s="39"/>
      <c r="F2341" s="22" t="n">
        <f aca="false">IFERROR(D2341*E2341,0)</f>
        <v>0</v>
      </c>
      <c r="G2341" s="16" t="str">
        <f aca="false">INDEX(SETORES!$B:$B,MATCH(A2341,SETORES!$A:$A,0))</f>
        <v>Clientes</v>
      </c>
      <c r="H2341" s="16" t="s">
        <v>88</v>
      </c>
    </row>
    <row r="2342" customFormat="false" ht="14.25" hidden="true" customHeight="true" outlineLevel="0" collapsed="false">
      <c r="A2342" s="16" t="s">
        <v>137</v>
      </c>
      <c r="B2342" s="16" t="s">
        <v>155</v>
      </c>
      <c r="C2342" s="16" t="s">
        <v>171</v>
      </c>
      <c r="D2342" s="38"/>
      <c r="E2342" s="39"/>
      <c r="F2342" s="22" t="n">
        <f aca="false">IFERROR(D2342*E2342,0)</f>
        <v>0</v>
      </c>
      <c r="G2342" s="16" t="str">
        <f aca="false">INDEX(SETORES!$B:$B,MATCH(A2342,SETORES!$A:$A,0))</f>
        <v>Clientes</v>
      </c>
      <c r="H2342" s="16" t="s">
        <v>88</v>
      </c>
    </row>
    <row r="2343" customFormat="false" ht="14.25" hidden="true" customHeight="true" outlineLevel="0" collapsed="false">
      <c r="A2343" s="16" t="s">
        <v>137</v>
      </c>
      <c r="B2343" s="16" t="s">
        <v>155</v>
      </c>
      <c r="C2343" s="16" t="s">
        <v>169</v>
      </c>
      <c r="D2343" s="38"/>
      <c r="E2343" s="39"/>
      <c r="F2343" s="22" t="n">
        <f aca="false">IFERROR(D2343*E2343,0)</f>
        <v>0</v>
      </c>
      <c r="G2343" s="16" t="str">
        <f aca="false">INDEX(SETORES!$B:$B,MATCH(A2343,SETORES!$A:$A,0))</f>
        <v>Clientes</v>
      </c>
      <c r="H2343" s="16" t="s">
        <v>88</v>
      </c>
    </row>
    <row r="2344" customFormat="false" ht="14.25" hidden="true" customHeight="true" outlineLevel="0" collapsed="false">
      <c r="A2344" s="16" t="s">
        <v>137</v>
      </c>
      <c r="B2344" s="16" t="s">
        <v>155</v>
      </c>
      <c r="C2344" s="16" t="s">
        <v>166</v>
      </c>
      <c r="D2344" s="38" t="n">
        <v>2</v>
      </c>
      <c r="E2344" s="39" t="n">
        <v>50</v>
      </c>
      <c r="F2344" s="22" t="n">
        <f aca="false">IFERROR(D2344*E2344,0)</f>
        <v>100</v>
      </c>
      <c r="G2344" s="16" t="str">
        <f aca="false">INDEX(SETORES!$B:$B,MATCH(A2344,SETORES!$A:$A,0))</f>
        <v>Clientes</v>
      </c>
      <c r="H2344" s="16" t="s">
        <v>88</v>
      </c>
    </row>
    <row r="2345" customFormat="false" ht="14.25" hidden="true" customHeight="true" outlineLevel="0" collapsed="false">
      <c r="A2345" s="16" t="s">
        <v>137</v>
      </c>
      <c r="B2345" s="16" t="s">
        <v>155</v>
      </c>
      <c r="C2345" s="16" t="s">
        <v>212</v>
      </c>
      <c r="D2345" s="38" t="n">
        <v>1</v>
      </c>
      <c r="E2345" s="39" t="n">
        <v>30</v>
      </c>
      <c r="F2345" s="22" t="n">
        <f aca="false">IFERROR(D2345*E2345,0)</f>
        <v>30</v>
      </c>
      <c r="G2345" s="16" t="str">
        <f aca="false">INDEX(SETORES!$B:$B,MATCH(A2345,SETORES!$A:$A,0))</f>
        <v>Clientes</v>
      </c>
      <c r="H2345" s="16" t="s">
        <v>88</v>
      </c>
    </row>
    <row r="2346" customFormat="false" ht="14.25" hidden="true" customHeight="true" outlineLevel="0" collapsed="false">
      <c r="A2346" s="16" t="s">
        <v>139</v>
      </c>
      <c r="B2346" s="16" t="s">
        <v>155</v>
      </c>
      <c r="C2346" s="16" t="s">
        <v>167</v>
      </c>
      <c r="D2346" s="38"/>
      <c r="E2346" s="39"/>
      <c r="F2346" s="22" t="n">
        <f aca="false">IFERROR(D2346*E2346,0)</f>
        <v>0</v>
      </c>
      <c r="G2346" s="16" t="str">
        <f aca="false">INDEX(SETORES!$B:$B,MATCH(A2346,SETORES!$A:$A,0))</f>
        <v>Funcionários</v>
      </c>
      <c r="H2346" s="16" t="s">
        <v>88</v>
      </c>
    </row>
    <row r="2347" customFormat="false" ht="14.25" hidden="true" customHeight="true" outlineLevel="0" collapsed="false">
      <c r="A2347" s="16" t="s">
        <v>139</v>
      </c>
      <c r="B2347" s="16" t="s">
        <v>155</v>
      </c>
      <c r="C2347" s="16" t="s">
        <v>168</v>
      </c>
      <c r="D2347" s="38" t="n">
        <v>6</v>
      </c>
      <c r="E2347" s="39" t="n">
        <v>1.87</v>
      </c>
      <c r="F2347" s="22" t="n">
        <f aca="false">IFERROR(D2347*E2347,0)</f>
        <v>11.22</v>
      </c>
      <c r="G2347" s="16" t="str">
        <f aca="false">INDEX(SETORES!$B:$B,MATCH(A2347,SETORES!$A:$A,0))</f>
        <v>Funcionários</v>
      </c>
      <c r="H2347" s="16" t="s">
        <v>88</v>
      </c>
    </row>
    <row r="2348" customFormat="false" ht="14.25" hidden="true" customHeight="true" outlineLevel="0" collapsed="false">
      <c r="A2348" s="16" t="s">
        <v>139</v>
      </c>
      <c r="B2348" s="16" t="s">
        <v>155</v>
      </c>
      <c r="C2348" s="16" t="s">
        <v>170</v>
      </c>
      <c r="D2348" s="38"/>
      <c r="E2348" s="39"/>
      <c r="F2348" s="22" t="n">
        <f aca="false">IFERROR(D2348*E2348,0)</f>
        <v>0</v>
      </c>
      <c r="G2348" s="16" t="str">
        <f aca="false">INDEX(SETORES!$B:$B,MATCH(A2348,SETORES!$A:$A,0))</f>
        <v>Funcionários</v>
      </c>
      <c r="H2348" s="16" t="s">
        <v>88</v>
      </c>
    </row>
    <row r="2349" customFormat="false" ht="14.25" hidden="true" customHeight="true" outlineLevel="0" collapsed="false">
      <c r="A2349" s="16" t="s">
        <v>139</v>
      </c>
      <c r="B2349" s="16" t="s">
        <v>155</v>
      </c>
      <c r="C2349" s="16" t="s">
        <v>171</v>
      </c>
      <c r="D2349" s="38"/>
      <c r="E2349" s="39"/>
      <c r="F2349" s="22" t="n">
        <f aca="false">IFERROR(D2349*E2349,0)</f>
        <v>0</v>
      </c>
      <c r="G2349" s="16" t="str">
        <f aca="false">INDEX(SETORES!$B:$B,MATCH(A2349,SETORES!$A:$A,0))</f>
        <v>Funcionários</v>
      </c>
      <c r="H2349" s="16" t="s">
        <v>88</v>
      </c>
    </row>
    <row r="2350" customFormat="false" ht="14.25" hidden="true" customHeight="true" outlineLevel="0" collapsed="false">
      <c r="A2350" s="16" t="s">
        <v>139</v>
      </c>
      <c r="B2350" s="16" t="s">
        <v>155</v>
      </c>
      <c r="C2350" s="16" t="s">
        <v>169</v>
      </c>
      <c r="D2350" s="38"/>
      <c r="E2350" s="39"/>
      <c r="F2350" s="22" t="n">
        <f aca="false">IFERROR(D2350*E2350,0)</f>
        <v>0</v>
      </c>
      <c r="G2350" s="16" t="str">
        <f aca="false">INDEX(SETORES!$B:$B,MATCH(A2350,SETORES!$A:$A,0))</f>
        <v>Funcionários</v>
      </c>
      <c r="H2350" s="16" t="s">
        <v>88</v>
      </c>
    </row>
    <row r="2351" customFormat="false" ht="14.25" hidden="true" customHeight="true" outlineLevel="0" collapsed="false">
      <c r="A2351" s="16" t="s">
        <v>43</v>
      </c>
      <c r="B2351" s="16" t="s">
        <v>162</v>
      </c>
      <c r="C2351" s="16" t="s">
        <v>163</v>
      </c>
      <c r="D2351" s="38"/>
      <c r="E2351" s="39"/>
      <c r="F2351" s="22" t="n">
        <f aca="false">IFERROR(D2351*E2351,0)</f>
        <v>0</v>
      </c>
      <c r="G2351" s="16" t="str">
        <f aca="false">INDEX(SETORES!$B:$B,MATCH(A2351,SETORES!$A:$A,0))</f>
        <v>Clientes</v>
      </c>
      <c r="H2351" s="16" t="s">
        <v>88</v>
      </c>
    </row>
    <row r="2352" customFormat="false" ht="14.25" hidden="true" customHeight="true" outlineLevel="0" collapsed="false">
      <c r="A2352" s="16" t="s">
        <v>81</v>
      </c>
      <c r="B2352" s="16" t="s">
        <v>162</v>
      </c>
      <c r="C2352" s="16" t="s">
        <v>163</v>
      </c>
      <c r="D2352" s="38"/>
      <c r="E2352" s="39"/>
      <c r="F2352" s="22" t="n">
        <f aca="false">IFERROR(D2352*E2352,0)</f>
        <v>0</v>
      </c>
      <c r="G2352" s="16" t="str">
        <f aca="false">INDEX(SETORES!$B:$B,MATCH(A2352,SETORES!$A:$A,0))</f>
        <v>Clientes</v>
      </c>
      <c r="H2352" s="16" t="s">
        <v>88</v>
      </c>
    </row>
    <row r="2353" customFormat="false" ht="14.25" hidden="true" customHeight="true" outlineLevel="0" collapsed="false">
      <c r="A2353" s="16" t="s">
        <v>47</v>
      </c>
      <c r="B2353" s="16" t="s">
        <v>162</v>
      </c>
      <c r="C2353" s="16" t="s">
        <v>163</v>
      </c>
      <c r="D2353" s="38"/>
      <c r="E2353" s="39"/>
      <c r="F2353" s="22" t="n">
        <f aca="false">IFERROR(D2353*E2353,0)</f>
        <v>0</v>
      </c>
      <c r="G2353" s="16" t="str">
        <f aca="false">INDEX(SETORES!$B:$B,MATCH(A2353,SETORES!$A:$A,0))</f>
        <v>Clientes</v>
      </c>
      <c r="H2353" s="16" t="s">
        <v>88</v>
      </c>
    </row>
    <row r="2354" customFormat="false" ht="14.25" hidden="true" customHeight="true" outlineLevel="0" collapsed="false">
      <c r="A2354" s="16" t="s">
        <v>47</v>
      </c>
      <c r="B2354" s="16" t="s">
        <v>162</v>
      </c>
      <c r="C2354" s="16" t="s">
        <v>164</v>
      </c>
      <c r="D2354" s="38"/>
      <c r="E2354" s="39"/>
      <c r="F2354" s="22" t="n">
        <f aca="false">IFERROR(D2354*E2354,0)</f>
        <v>0</v>
      </c>
      <c r="G2354" s="16" t="str">
        <f aca="false">INDEX(SETORES!$B:$B,MATCH(A2354,SETORES!$A:$A,0))</f>
        <v>Clientes</v>
      </c>
      <c r="H2354" s="16" t="s">
        <v>88</v>
      </c>
    </row>
    <row r="2355" customFormat="false" ht="14.25" hidden="true" customHeight="true" outlineLevel="0" collapsed="false">
      <c r="A2355" s="16" t="s">
        <v>85</v>
      </c>
      <c r="B2355" s="16" t="s">
        <v>162</v>
      </c>
      <c r="C2355" s="16" t="s">
        <v>163</v>
      </c>
      <c r="D2355" s="38" t="n">
        <v>1</v>
      </c>
      <c r="E2355" s="39" t="n">
        <v>360</v>
      </c>
      <c r="F2355" s="22" t="n">
        <f aca="false">IFERROR(D2355*E2355,0)</f>
        <v>360</v>
      </c>
      <c r="G2355" s="16" t="str">
        <f aca="false">INDEX(SETORES!$B:$B,MATCH(A2355,SETORES!$A:$A,0))</f>
        <v>Clientes</v>
      </c>
      <c r="H2355" s="16" t="s">
        <v>88</v>
      </c>
    </row>
    <row r="2356" customFormat="false" ht="14.25" hidden="true" customHeight="true" outlineLevel="0" collapsed="false">
      <c r="A2356" s="16" t="s">
        <v>139</v>
      </c>
      <c r="B2356" s="16" t="s">
        <v>162</v>
      </c>
      <c r="C2356" s="16" t="s">
        <v>164</v>
      </c>
      <c r="D2356" s="38"/>
      <c r="E2356" s="39"/>
      <c r="F2356" s="22" t="n">
        <f aca="false">IFERROR(D2356*E2356,0)</f>
        <v>0</v>
      </c>
      <c r="G2356" s="16" t="str">
        <f aca="false">INDEX(SETORES!$B:$B,MATCH(A2356,SETORES!$A:$A,0))</f>
        <v>Funcionários</v>
      </c>
      <c r="H2356" s="16" t="s">
        <v>88</v>
      </c>
    </row>
    <row r="2357" customFormat="false" ht="14.25" hidden="true" customHeight="true" outlineLevel="0" collapsed="false">
      <c r="A2357" s="16" t="s">
        <v>53</v>
      </c>
      <c r="B2357" s="16" t="s">
        <v>162</v>
      </c>
      <c r="C2357" s="16" t="s">
        <v>163</v>
      </c>
      <c r="D2357" s="38"/>
      <c r="E2357" s="39"/>
      <c r="F2357" s="22" t="n">
        <f aca="false">IFERROR(D2357*E2357,0)</f>
        <v>0</v>
      </c>
      <c r="G2357" s="16" t="str">
        <f aca="false">INDEX(SETORES!$B:$B,MATCH(A2357,SETORES!$A:$A,0))</f>
        <v>Clientes</v>
      </c>
      <c r="H2357" s="16" t="s">
        <v>88</v>
      </c>
    </row>
    <row r="2358" customFormat="false" ht="14.25" hidden="true" customHeight="true" outlineLevel="0" collapsed="false">
      <c r="A2358" s="16" t="s">
        <v>52</v>
      </c>
      <c r="B2358" s="16" t="s">
        <v>162</v>
      </c>
      <c r="C2358" s="16" t="s">
        <v>164</v>
      </c>
      <c r="D2358" s="38"/>
      <c r="E2358" s="39"/>
      <c r="F2358" s="22" t="n">
        <f aca="false">IFERROR(D2358*E2358,0)</f>
        <v>0</v>
      </c>
      <c r="G2358" s="16" t="str">
        <f aca="false">INDEX(SETORES!$B:$B,MATCH(A2358,SETORES!$A:$A,0))</f>
        <v>Clientes</v>
      </c>
      <c r="H2358" s="16" t="s">
        <v>88</v>
      </c>
    </row>
    <row r="2359" customFormat="false" ht="14.25" hidden="true" customHeight="true" outlineLevel="0" collapsed="false">
      <c r="A2359" s="16" t="s">
        <v>51</v>
      </c>
      <c r="B2359" s="16" t="s">
        <v>162</v>
      </c>
      <c r="C2359" s="16" t="s">
        <v>163</v>
      </c>
      <c r="D2359" s="38"/>
      <c r="E2359" s="39"/>
      <c r="F2359" s="22" t="n">
        <f aca="false">IFERROR(D2359*E2359,0)</f>
        <v>0</v>
      </c>
      <c r="G2359" s="16" t="str">
        <f aca="false">INDEX(SETORES!$B:$B,MATCH(A2359,SETORES!$A:$A,0))</f>
        <v>Clientes</v>
      </c>
      <c r="H2359" s="16" t="s">
        <v>88</v>
      </c>
    </row>
    <row r="2360" customFormat="false" ht="14.25" hidden="true" customHeight="true" outlineLevel="0" collapsed="false">
      <c r="A2360" s="16" t="s">
        <v>87</v>
      </c>
      <c r="B2360" s="16" t="s">
        <v>162</v>
      </c>
      <c r="C2360" s="16" t="s">
        <v>163</v>
      </c>
      <c r="D2360" s="38"/>
      <c r="E2360" s="39"/>
      <c r="F2360" s="22" t="n">
        <f aca="false">IFERROR(D2360*E2360,0)</f>
        <v>0</v>
      </c>
      <c r="G2360" s="16" t="str">
        <f aca="false">INDEX(SETORES!$B:$B,MATCH(A2360,SETORES!$A:$A,0))</f>
        <v>Clientes</v>
      </c>
      <c r="H2360" s="16" t="s">
        <v>88</v>
      </c>
    </row>
    <row r="2361" customFormat="false" ht="14.25" hidden="true" customHeight="true" outlineLevel="0" collapsed="false">
      <c r="A2361" s="16" t="s">
        <v>51</v>
      </c>
      <c r="B2361" s="16" t="s">
        <v>155</v>
      </c>
      <c r="C2361" s="16" t="s">
        <v>187</v>
      </c>
      <c r="D2361" s="38"/>
      <c r="E2361" s="39"/>
      <c r="F2361" s="22" t="n">
        <f aca="false">IFERROR(D2361*E2361,0)</f>
        <v>0</v>
      </c>
      <c r="G2361" s="16" t="str">
        <f aca="false">INDEX(SETORES!$B:$B,MATCH(A2361,SETORES!$A:$A,0))</f>
        <v>Clientes</v>
      </c>
      <c r="H2361" s="16" t="s">
        <v>88</v>
      </c>
    </row>
    <row r="2362" customFormat="false" ht="14.25" hidden="true" customHeight="true" outlineLevel="0" collapsed="false">
      <c r="A2362" s="16" t="s">
        <v>79</v>
      </c>
      <c r="B2362" s="16" t="s">
        <v>155</v>
      </c>
      <c r="C2362" s="16" t="s">
        <v>250</v>
      </c>
      <c r="D2362" s="38" t="n">
        <v>1</v>
      </c>
      <c r="E2362" s="39" t="n">
        <v>699.78</v>
      </c>
      <c r="F2362" s="22" t="n">
        <f aca="false">IFERROR(D2362*E2362,0)</f>
        <v>699.78</v>
      </c>
      <c r="G2362" s="16" t="str">
        <f aca="false">INDEX(SETORES!$B:$B,MATCH(A2362,SETORES!$A:$A,0))</f>
        <v>Funcionários</v>
      </c>
      <c r="H2362" s="16" t="s">
        <v>88</v>
      </c>
    </row>
    <row r="2363" customFormat="false" ht="14.25" hidden="true" customHeight="true" outlineLevel="0" collapsed="false">
      <c r="A2363" s="16" t="s">
        <v>79</v>
      </c>
      <c r="B2363" s="16" t="s">
        <v>155</v>
      </c>
      <c r="C2363" s="16" t="s">
        <v>167</v>
      </c>
      <c r="D2363" s="38"/>
      <c r="E2363" s="39"/>
      <c r="F2363" s="22" t="n">
        <f aca="false">IFERROR(D2363*E2363,0)</f>
        <v>0</v>
      </c>
      <c r="G2363" s="16" t="str">
        <f aca="false">INDEX(SETORES!$B:$B,MATCH(A2363,SETORES!$A:$A,0))</f>
        <v>Funcionários</v>
      </c>
      <c r="H2363" s="16" t="s">
        <v>88</v>
      </c>
    </row>
    <row r="2364" customFormat="false" ht="14.25" hidden="true" customHeight="true" outlineLevel="0" collapsed="false">
      <c r="A2364" s="16" t="s">
        <v>79</v>
      </c>
      <c r="B2364" s="16" t="s">
        <v>155</v>
      </c>
      <c r="C2364" s="16" t="s">
        <v>168</v>
      </c>
      <c r="D2364" s="38" t="n">
        <v>4</v>
      </c>
      <c r="E2364" s="39" t="n">
        <v>1.87</v>
      </c>
      <c r="F2364" s="22" t="n">
        <f aca="false">IFERROR(D2364*E2364,0)</f>
        <v>7.48</v>
      </c>
      <c r="G2364" s="16" t="str">
        <f aca="false">INDEX(SETORES!$B:$B,MATCH(A2364,SETORES!$A:$A,0))</f>
        <v>Funcionários</v>
      </c>
      <c r="H2364" s="16" t="s">
        <v>88</v>
      </c>
    </row>
    <row r="2365" customFormat="false" ht="14.25" hidden="true" customHeight="true" outlineLevel="0" collapsed="false">
      <c r="A2365" s="16" t="s">
        <v>79</v>
      </c>
      <c r="B2365" s="16" t="s">
        <v>155</v>
      </c>
      <c r="C2365" s="16" t="s">
        <v>170</v>
      </c>
      <c r="D2365" s="38"/>
      <c r="E2365" s="39"/>
      <c r="F2365" s="22" t="n">
        <f aca="false">IFERROR(D2365*E2365,0)</f>
        <v>0</v>
      </c>
      <c r="G2365" s="16" t="str">
        <f aca="false">INDEX(SETORES!$B:$B,MATCH(A2365,SETORES!$A:$A,0))</f>
        <v>Funcionários</v>
      </c>
      <c r="H2365" s="16" t="s">
        <v>88</v>
      </c>
    </row>
    <row r="2366" customFormat="false" ht="14.25" hidden="true" customHeight="true" outlineLevel="0" collapsed="false">
      <c r="A2366" s="16" t="s">
        <v>79</v>
      </c>
      <c r="B2366" s="16" t="s">
        <v>155</v>
      </c>
      <c r="C2366" s="16" t="s">
        <v>171</v>
      </c>
      <c r="D2366" s="38"/>
      <c r="E2366" s="39"/>
      <c r="F2366" s="22" t="n">
        <f aca="false">IFERROR(D2366*E2366,0)</f>
        <v>0</v>
      </c>
      <c r="G2366" s="16" t="str">
        <f aca="false">INDEX(SETORES!$B:$B,MATCH(A2366,SETORES!$A:$A,0))</f>
        <v>Funcionários</v>
      </c>
      <c r="H2366" s="16" t="s">
        <v>88</v>
      </c>
    </row>
    <row r="2367" customFormat="false" ht="14.25" hidden="true" customHeight="true" outlineLevel="0" collapsed="false">
      <c r="A2367" s="16" t="s">
        <v>79</v>
      </c>
      <c r="B2367" s="16" t="s">
        <v>155</v>
      </c>
      <c r="C2367" s="16" t="s">
        <v>169</v>
      </c>
      <c r="D2367" s="38"/>
      <c r="E2367" s="39"/>
      <c r="F2367" s="22" t="n">
        <f aca="false">IFERROR(D2367*E2367,0)</f>
        <v>0</v>
      </c>
      <c r="G2367" s="16" t="str">
        <f aca="false">INDEX(SETORES!$B:$B,MATCH(A2367,SETORES!$A:$A,0))</f>
        <v>Funcionários</v>
      </c>
      <c r="H2367" s="16" t="s">
        <v>88</v>
      </c>
    </row>
    <row r="2368" customFormat="false" ht="14.25" hidden="true" customHeight="true" outlineLevel="0" collapsed="false">
      <c r="A2368" s="16" t="s">
        <v>79</v>
      </c>
      <c r="B2368" s="16" t="s">
        <v>162</v>
      </c>
      <c r="C2368" s="16" t="s">
        <v>252</v>
      </c>
      <c r="D2368" s="38"/>
      <c r="E2368" s="39"/>
      <c r="F2368" s="22" t="n">
        <f aca="false">IFERROR(D2368*E2368,0)</f>
        <v>0</v>
      </c>
      <c r="G2368" s="16" t="str">
        <f aca="false">INDEX(SETORES!$B:$B,MATCH(A2368,SETORES!$A:$A,0))</f>
        <v>Funcionários</v>
      </c>
      <c r="H2368" s="16" t="s">
        <v>88</v>
      </c>
    </row>
    <row r="2369" customFormat="false" ht="14.25" hidden="true" customHeight="true" outlineLevel="0" collapsed="false">
      <c r="A2369" s="16" t="s">
        <v>79</v>
      </c>
      <c r="B2369" s="16" t="s">
        <v>162</v>
      </c>
      <c r="C2369" s="16" t="s">
        <v>253</v>
      </c>
      <c r="D2369" s="38"/>
      <c r="E2369" s="39"/>
      <c r="F2369" s="22" t="n">
        <f aca="false">IFERROR(D2369*E2369,0)</f>
        <v>0</v>
      </c>
      <c r="G2369" s="16" t="str">
        <f aca="false">INDEX(SETORES!$B:$B,MATCH(A2369,SETORES!$A:$A,0))</f>
        <v>Funcionários</v>
      </c>
      <c r="H2369" s="16" t="s">
        <v>88</v>
      </c>
    </row>
    <row r="2370" customFormat="false" ht="14.25" hidden="true" customHeight="true" outlineLevel="0" collapsed="false">
      <c r="A2370" s="16" t="s">
        <v>79</v>
      </c>
      <c r="B2370" s="16" t="s">
        <v>162</v>
      </c>
      <c r="C2370" s="16" t="s">
        <v>254</v>
      </c>
      <c r="D2370" s="38"/>
      <c r="E2370" s="39"/>
      <c r="F2370" s="22" t="n">
        <f aca="false">IFERROR(D2370*E2370,0)</f>
        <v>0</v>
      </c>
      <c r="G2370" s="16" t="str">
        <f aca="false">INDEX(SETORES!$B:$B,MATCH(A2370,SETORES!$A:$A,0))</f>
        <v>Funcionários</v>
      </c>
      <c r="H2370" s="16" t="s">
        <v>88</v>
      </c>
    </row>
    <row r="2371" customFormat="false" ht="14.25" hidden="true" customHeight="true" outlineLevel="0" collapsed="false">
      <c r="A2371" s="16" t="s">
        <v>79</v>
      </c>
      <c r="B2371" s="16" t="s">
        <v>162</v>
      </c>
      <c r="C2371" s="16" t="s">
        <v>255</v>
      </c>
      <c r="D2371" s="38"/>
      <c r="E2371" s="39"/>
      <c r="F2371" s="22" t="n">
        <f aca="false">IFERROR(D2371*E2371,0)</f>
        <v>0</v>
      </c>
      <c r="G2371" s="16" t="str">
        <f aca="false">INDEX(SETORES!$B:$B,MATCH(A2371,SETORES!$A:$A,0))</f>
        <v>Funcionários</v>
      </c>
      <c r="H2371" s="16" t="s">
        <v>88</v>
      </c>
    </row>
    <row r="2372" customFormat="false" ht="14.25" hidden="true" customHeight="true" outlineLevel="0" collapsed="false">
      <c r="A2372" s="16" t="s">
        <v>141</v>
      </c>
      <c r="B2372" s="16" t="s">
        <v>155</v>
      </c>
      <c r="C2372" s="16" t="s">
        <v>161</v>
      </c>
      <c r="D2372" s="38" t="n">
        <v>1</v>
      </c>
      <c r="E2372" s="39" t="n">
        <v>24325.69</v>
      </c>
      <c r="F2372" s="22" t="n">
        <f aca="false">IFERROR(D2372*E2372,0)</f>
        <v>24325.69</v>
      </c>
      <c r="G2372" s="16" t="str">
        <f aca="false">INDEX(SETORES!$B:$B,MATCH(A2372,SETORES!$A:$A,0))</f>
        <v>Clientes</v>
      </c>
      <c r="H2372" s="16" t="s">
        <v>88</v>
      </c>
    </row>
    <row r="2373" customFormat="false" ht="14.25" hidden="true" customHeight="true" outlineLevel="0" collapsed="false">
      <c r="A2373" s="16" t="s">
        <v>48</v>
      </c>
      <c r="B2373" s="16" t="s">
        <v>155</v>
      </c>
      <c r="C2373" s="16" t="s">
        <v>256</v>
      </c>
      <c r="D2373" s="38" t="n">
        <v>1</v>
      </c>
      <c r="E2373" s="39" t="n">
        <v>11599.66</v>
      </c>
      <c r="F2373" s="22" t="n">
        <f aca="false">IFERROR(D2373*E2373,0)</f>
        <v>11599.66</v>
      </c>
      <c r="G2373" s="16" t="str">
        <f aca="false">INDEX(SETORES!$B:$B,MATCH(A2373,SETORES!$A:$A,0))</f>
        <v>Clientes</v>
      </c>
      <c r="H2373" s="16" t="s">
        <v>88</v>
      </c>
    </row>
    <row r="2374" customFormat="false" ht="14.25" hidden="true" customHeight="true" outlineLevel="0" collapsed="false">
      <c r="A2374" s="16" t="s">
        <v>49</v>
      </c>
      <c r="B2374" s="16" t="s">
        <v>155</v>
      </c>
      <c r="C2374" s="16" t="s">
        <v>256</v>
      </c>
      <c r="D2374" s="38" t="n">
        <v>1</v>
      </c>
      <c r="E2374" s="39" t="n">
        <v>2899.91</v>
      </c>
      <c r="F2374" s="22" t="n">
        <f aca="false">IFERROR(D2374*E2374,0)</f>
        <v>2899.91</v>
      </c>
      <c r="G2374" s="16" t="str">
        <f aca="false">INDEX(SETORES!$B:$B,MATCH(A2374,SETORES!$A:$A,0))</f>
        <v>Clientes</v>
      </c>
      <c r="H2374" s="16" t="s">
        <v>88</v>
      </c>
    </row>
    <row r="2375" customFormat="false" ht="14.25" hidden="true" customHeight="true" outlineLevel="0" collapsed="false">
      <c r="A2375" s="16" t="s">
        <v>143</v>
      </c>
      <c r="B2375" s="16" t="s">
        <v>155</v>
      </c>
      <c r="C2375" s="16" t="s">
        <v>161</v>
      </c>
      <c r="D2375" s="38" t="n">
        <v>1</v>
      </c>
      <c r="E2375" s="39" t="n">
        <v>46351.21</v>
      </c>
      <c r="F2375" s="22" t="n">
        <f aca="false">IFERROR(D2375*E2375,0)</f>
        <v>46351.21</v>
      </c>
      <c r="G2375" s="16" t="str">
        <f aca="false">INDEX(SETORES!$B:$B,MATCH(A2375,SETORES!$A:$A,0))</f>
        <v>Clientes</v>
      </c>
      <c r="H2375" s="16" t="s">
        <v>88</v>
      </c>
    </row>
    <row r="2376" customFormat="false" ht="14.25" hidden="true" customHeight="true" outlineLevel="0" collapsed="false">
      <c r="A2376" s="16" t="s">
        <v>79</v>
      </c>
      <c r="B2376" s="16" t="s">
        <v>162</v>
      </c>
      <c r="C2376" s="16" t="s">
        <v>222</v>
      </c>
      <c r="D2376" s="38"/>
      <c r="E2376" s="39"/>
      <c r="F2376" s="22" t="n">
        <f aca="false">IFERROR(D2376*E2376,0)</f>
        <v>0</v>
      </c>
      <c r="G2376" s="16" t="str">
        <f aca="false">INDEX(SETORES!$B:$B,MATCH(A2376,SETORES!$A:$A,0))</f>
        <v>Funcionários</v>
      </c>
      <c r="H2376" s="16" t="s">
        <v>88</v>
      </c>
    </row>
    <row r="2377" customFormat="false" ht="14.25" hidden="true" customHeight="true" outlineLevel="0" collapsed="false">
      <c r="A2377" s="16" t="s">
        <v>85</v>
      </c>
      <c r="B2377" s="16" t="s">
        <v>162</v>
      </c>
      <c r="C2377" s="16" t="s">
        <v>222</v>
      </c>
      <c r="D2377" s="38"/>
      <c r="E2377" s="39"/>
      <c r="F2377" s="22" t="n">
        <f aca="false">IFERROR(D2377*E2377,0)</f>
        <v>0</v>
      </c>
      <c r="G2377" s="16" t="str">
        <f aca="false">INDEX(SETORES!$B:$B,MATCH(A2377,SETORES!$A:$A,0))</f>
        <v>Clientes</v>
      </c>
      <c r="H2377" s="16" t="s">
        <v>88</v>
      </c>
    </row>
    <row r="2378" customFormat="false" ht="14.25" hidden="true" customHeight="true" outlineLevel="0" collapsed="false">
      <c r="A2378" s="16" t="s">
        <v>143</v>
      </c>
      <c r="B2378" s="16" t="s">
        <v>162</v>
      </c>
      <c r="C2378" s="16" t="s">
        <v>222</v>
      </c>
      <c r="D2378" s="38"/>
      <c r="E2378" s="39"/>
      <c r="F2378" s="22" t="n">
        <f aca="false">IFERROR(D2378*E2378,0)</f>
        <v>0</v>
      </c>
      <c r="G2378" s="16" t="str">
        <f aca="false">INDEX(SETORES!$B:$B,MATCH(A2378,SETORES!$A:$A,0))</f>
        <v>Clientes</v>
      </c>
      <c r="H2378" s="16" t="s">
        <v>88</v>
      </c>
    </row>
    <row r="2379" customFormat="false" ht="14.25" hidden="true" customHeight="true" outlineLevel="0" collapsed="false">
      <c r="A2379" s="16" t="s">
        <v>86</v>
      </c>
      <c r="B2379" s="16" t="s">
        <v>162</v>
      </c>
      <c r="C2379" s="16" t="s">
        <v>163</v>
      </c>
      <c r="D2379" s="38" t="n">
        <v>1</v>
      </c>
      <c r="E2379" s="39" t="n">
        <v>270</v>
      </c>
      <c r="F2379" s="22" t="n">
        <f aca="false">IFERROR(D2379*E2379,0)</f>
        <v>270</v>
      </c>
      <c r="G2379" s="16" t="str">
        <f aca="false">INDEX(SETORES!$B:$B,MATCH(A2379,SETORES!$A:$A,0))</f>
        <v>Clientes</v>
      </c>
      <c r="H2379" s="16" t="s">
        <v>88</v>
      </c>
    </row>
    <row r="2380" customFormat="false" ht="14.25" hidden="true" customHeight="true" outlineLevel="0" collapsed="false">
      <c r="A2380" s="16" t="s">
        <v>86</v>
      </c>
      <c r="B2380" s="16" t="s">
        <v>162</v>
      </c>
      <c r="C2380" s="16" t="s">
        <v>156</v>
      </c>
      <c r="D2380" s="38" t="n">
        <v>1</v>
      </c>
      <c r="E2380" s="39" t="n">
        <v>69.45</v>
      </c>
      <c r="F2380" s="22" t="n">
        <f aca="false">IFERROR(D2380*E2380,0)</f>
        <v>69.45</v>
      </c>
      <c r="G2380" s="16" t="str">
        <f aca="false">INDEX(SETORES!$B:$B,MATCH(A2380,SETORES!$A:$A,0))</f>
        <v>Clientes</v>
      </c>
      <c r="H2380" s="16" t="s">
        <v>88</v>
      </c>
    </row>
    <row r="2381" customFormat="false" ht="14.25" hidden="true" customHeight="true" outlineLevel="0" collapsed="false">
      <c r="A2381" s="16" t="s">
        <v>87</v>
      </c>
      <c r="B2381" s="16" t="s">
        <v>162</v>
      </c>
      <c r="C2381" s="16" t="s">
        <v>156</v>
      </c>
      <c r="D2381" s="38" t="n">
        <v>1</v>
      </c>
      <c r="E2381" s="39" t="n">
        <v>52.84</v>
      </c>
      <c r="F2381" s="22" t="n">
        <f aca="false">IFERROR(D2381*E2381,0)</f>
        <v>52.84</v>
      </c>
      <c r="G2381" s="16" t="str">
        <f aca="false">INDEX(SETORES!$B:$B,MATCH(A2381,SETORES!$A:$A,0))</f>
        <v>Clientes</v>
      </c>
      <c r="H2381" s="16" t="s">
        <v>88</v>
      </c>
    </row>
    <row r="2382" customFormat="false" ht="14.25" hidden="true" customHeight="true" outlineLevel="0" collapsed="false">
      <c r="A2382" s="16" t="s">
        <v>54</v>
      </c>
      <c r="B2382" s="16" t="s">
        <v>162</v>
      </c>
      <c r="C2382" s="16" t="s">
        <v>156</v>
      </c>
      <c r="D2382" s="38" t="n">
        <v>1</v>
      </c>
      <c r="E2382" s="39" t="n">
        <v>9.64</v>
      </c>
      <c r="F2382" s="22" t="n">
        <f aca="false">IFERROR(D2382*E2382,0)</f>
        <v>9.64</v>
      </c>
      <c r="G2382" s="16" t="str">
        <f aca="false">INDEX(SETORES!$B:$B,MATCH(A2382,SETORES!$A:$A,0))</f>
        <v>Clientes</v>
      </c>
      <c r="H2382" s="16" t="s">
        <v>88</v>
      </c>
    </row>
    <row r="2383" customFormat="false" ht="14.25" hidden="true" customHeight="true" outlineLevel="0" collapsed="false">
      <c r="A2383" s="16" t="s">
        <v>79</v>
      </c>
      <c r="B2383" s="16" t="s">
        <v>162</v>
      </c>
      <c r="C2383" s="16" t="s">
        <v>157</v>
      </c>
      <c r="D2383" s="38" t="n">
        <v>1</v>
      </c>
      <c r="E2383" s="39" t="n">
        <v>124.05</v>
      </c>
      <c r="F2383" s="22" t="n">
        <f aca="false">IFERROR(D2383*E2383,0)</f>
        <v>124.05</v>
      </c>
      <c r="G2383" s="16" t="str">
        <f aca="false">INDEX(SETORES!$B:$B,MATCH(A2383,SETORES!$A:$A,0))</f>
        <v>Funcionários</v>
      </c>
      <c r="H2383" s="16" t="s">
        <v>88</v>
      </c>
    </row>
    <row r="2384" customFormat="false" ht="14.25" hidden="true" customHeight="true" outlineLevel="0" collapsed="false">
      <c r="A2384" s="16" t="s">
        <v>81</v>
      </c>
      <c r="B2384" s="16" t="s">
        <v>162</v>
      </c>
      <c r="C2384" s="16" t="s">
        <v>156</v>
      </c>
      <c r="D2384" s="38" t="n">
        <v>1</v>
      </c>
      <c r="E2384" s="39" t="n">
        <v>528.1</v>
      </c>
      <c r="F2384" s="22" t="n">
        <f aca="false">IFERROR(D2384*E2384,0)</f>
        <v>528.1</v>
      </c>
      <c r="G2384" s="16" t="str">
        <f aca="false">INDEX(SETORES!$B:$B,MATCH(A2384,SETORES!$A:$A,0))</f>
        <v>Clientes</v>
      </c>
      <c r="H2384" s="16" t="s">
        <v>88</v>
      </c>
    </row>
    <row r="2385" customFormat="false" ht="14.25" hidden="true" customHeight="true" outlineLevel="0" collapsed="false">
      <c r="A2385" s="16" t="s">
        <v>34</v>
      </c>
      <c r="B2385" s="16" t="s">
        <v>155</v>
      </c>
      <c r="C2385" s="16" t="s">
        <v>258</v>
      </c>
      <c r="D2385" s="38" t="n">
        <v>1</v>
      </c>
      <c r="E2385" s="39" t="n">
        <v>329.56</v>
      </c>
      <c r="F2385" s="22" t="n">
        <f aca="false">IFERROR(D2385*E2385,0)</f>
        <v>329.56</v>
      </c>
      <c r="G2385" s="16" t="str">
        <f aca="false">INDEX(SETORES!$B:$B,MATCH(A2385,SETORES!$A:$A,0))</f>
        <v>Clientes</v>
      </c>
      <c r="H2385" s="16" t="s">
        <v>88</v>
      </c>
    </row>
    <row r="2386" customFormat="false" ht="14.25" hidden="true" customHeight="true" outlineLevel="0" collapsed="false">
      <c r="A2386" s="16" t="s">
        <v>35</v>
      </c>
      <c r="B2386" s="16" t="s">
        <v>155</v>
      </c>
      <c r="C2386" s="16" t="s">
        <v>258</v>
      </c>
      <c r="D2386" s="38" t="n">
        <v>1</v>
      </c>
      <c r="E2386" s="39" t="n">
        <v>96.93</v>
      </c>
      <c r="F2386" s="22" t="n">
        <f aca="false">IFERROR(D2386*E2386,0)</f>
        <v>96.93</v>
      </c>
      <c r="G2386" s="16" t="str">
        <f aca="false">INDEX(SETORES!$B:$B,MATCH(A2386,SETORES!$A:$A,0))</f>
        <v>Clientes</v>
      </c>
      <c r="H2386" s="16" t="s">
        <v>88</v>
      </c>
    </row>
    <row r="2387" customFormat="false" ht="14.25" hidden="true" customHeight="true" outlineLevel="0" collapsed="false">
      <c r="A2387" s="16" t="s">
        <v>38</v>
      </c>
      <c r="B2387" s="16" t="s">
        <v>155</v>
      </c>
      <c r="C2387" s="16" t="s">
        <v>258</v>
      </c>
      <c r="D2387" s="38" t="n">
        <v>1</v>
      </c>
      <c r="E2387" s="39" t="n">
        <v>252.02</v>
      </c>
      <c r="F2387" s="22" t="n">
        <f aca="false">IFERROR(D2387*E2387,0)</f>
        <v>252.02</v>
      </c>
      <c r="G2387" s="16" t="str">
        <f aca="false">INDEX(SETORES!$B:$B,MATCH(A2387,SETORES!$A:$A,0))</f>
        <v>Clientes</v>
      </c>
      <c r="H2387" s="16" t="s">
        <v>88</v>
      </c>
    </row>
    <row r="2388" customFormat="false" ht="14.25" hidden="true" customHeight="true" outlineLevel="0" collapsed="false">
      <c r="A2388" s="16" t="s">
        <v>43</v>
      </c>
      <c r="B2388" s="16" t="s">
        <v>155</v>
      </c>
      <c r="C2388" s="16" t="s">
        <v>258</v>
      </c>
      <c r="D2388" s="38" t="n">
        <v>1</v>
      </c>
      <c r="E2388" s="39" t="n">
        <v>96.93</v>
      </c>
      <c r="F2388" s="22" t="n">
        <f aca="false">IFERROR(D2388*E2388,0)</f>
        <v>96.93</v>
      </c>
      <c r="G2388" s="16" t="str">
        <f aca="false">INDEX(SETORES!$B:$B,MATCH(A2388,SETORES!$A:$A,0))</f>
        <v>Clientes</v>
      </c>
      <c r="H2388" s="16" t="s">
        <v>88</v>
      </c>
    </row>
    <row r="2389" customFormat="false" ht="14.25" hidden="true" customHeight="true" outlineLevel="0" collapsed="false">
      <c r="A2389" s="16" t="s">
        <v>40</v>
      </c>
      <c r="B2389" s="16" t="s">
        <v>155</v>
      </c>
      <c r="C2389" s="16" t="s">
        <v>258</v>
      </c>
      <c r="D2389" s="38" t="n">
        <v>1</v>
      </c>
      <c r="E2389" s="39" t="n">
        <v>116.32</v>
      </c>
      <c r="F2389" s="22" t="n">
        <f aca="false">IFERROR(D2389*E2389,0)</f>
        <v>116.32</v>
      </c>
      <c r="G2389" s="16" t="str">
        <f aca="false">INDEX(SETORES!$B:$B,MATCH(A2389,SETORES!$A:$A,0))</f>
        <v>Clientes</v>
      </c>
      <c r="H2389" s="16" t="s">
        <v>88</v>
      </c>
    </row>
    <row r="2390" customFormat="false" ht="14.25" hidden="true" customHeight="true" outlineLevel="0" collapsed="false">
      <c r="A2390" s="16" t="s">
        <v>33</v>
      </c>
      <c r="B2390" s="16" t="s">
        <v>155</v>
      </c>
      <c r="C2390" s="16" t="s">
        <v>258</v>
      </c>
      <c r="D2390" s="38" t="n">
        <v>1</v>
      </c>
      <c r="E2390" s="39" t="n">
        <v>174.47</v>
      </c>
      <c r="F2390" s="22" t="n">
        <f aca="false">IFERROR(D2390*E2390,0)</f>
        <v>174.47</v>
      </c>
      <c r="G2390" s="16" t="str">
        <f aca="false">INDEX(SETORES!$B:$B,MATCH(A2390,SETORES!$A:$A,0))</f>
        <v>Funcionários</v>
      </c>
      <c r="H2390" s="16" t="s">
        <v>88</v>
      </c>
    </row>
    <row r="2391" customFormat="false" ht="14.25" hidden="true" customHeight="true" outlineLevel="0" collapsed="false">
      <c r="A2391" s="16" t="s">
        <v>42</v>
      </c>
      <c r="B2391" s="16" t="s">
        <v>155</v>
      </c>
      <c r="C2391" s="16" t="s">
        <v>258</v>
      </c>
      <c r="D2391" s="38" t="n">
        <v>1</v>
      </c>
      <c r="E2391" s="39" t="n">
        <v>38.77</v>
      </c>
      <c r="F2391" s="22" t="n">
        <f aca="false">IFERROR(D2391*E2391,0)</f>
        <v>38.77</v>
      </c>
      <c r="G2391" s="16" t="str">
        <f aca="false">INDEX(SETORES!$B:$B,MATCH(A2391,SETORES!$A:$A,0))</f>
        <v>Clientes</v>
      </c>
      <c r="H2391" s="16" t="s">
        <v>88</v>
      </c>
    </row>
    <row r="2392" customFormat="false" ht="14.25" hidden="true" customHeight="true" outlineLevel="0" collapsed="false">
      <c r="A2392" s="16" t="s">
        <v>45</v>
      </c>
      <c r="B2392" s="16" t="s">
        <v>155</v>
      </c>
      <c r="C2392" s="16" t="s">
        <v>258</v>
      </c>
      <c r="D2392" s="38" t="n">
        <v>1</v>
      </c>
      <c r="E2392" s="39" t="n">
        <v>174.47</v>
      </c>
      <c r="F2392" s="22" t="n">
        <f aca="false">IFERROR(D2392*E2392,0)</f>
        <v>174.47</v>
      </c>
      <c r="G2392" s="16" t="str">
        <f aca="false">INDEX(SETORES!$B:$B,MATCH(A2392,SETORES!$A:$A,0))</f>
        <v>Clientes</v>
      </c>
      <c r="H2392" s="16" t="s">
        <v>88</v>
      </c>
    </row>
    <row r="2393" customFormat="false" ht="14.25" hidden="true" customHeight="true" outlineLevel="0" collapsed="false">
      <c r="A2393" s="16" t="s">
        <v>50</v>
      </c>
      <c r="B2393" s="16" t="s">
        <v>155</v>
      </c>
      <c r="C2393" s="16" t="s">
        <v>258</v>
      </c>
      <c r="D2393" s="38" t="n">
        <v>1</v>
      </c>
      <c r="E2393" s="39" t="n">
        <v>310.17</v>
      </c>
      <c r="F2393" s="22" t="n">
        <f aca="false">IFERROR(D2393*E2393,0)</f>
        <v>310.17</v>
      </c>
      <c r="G2393" s="16" t="str">
        <f aca="false">INDEX(SETORES!$B:$B,MATCH(A2393,SETORES!$A:$A,0))</f>
        <v>Clientes</v>
      </c>
      <c r="H2393" s="16" t="s">
        <v>88</v>
      </c>
    </row>
    <row r="2394" customFormat="false" ht="14.25" hidden="true" customHeight="true" outlineLevel="0" collapsed="false">
      <c r="A2394" s="16" t="s">
        <v>36</v>
      </c>
      <c r="B2394" s="16" t="s">
        <v>155</v>
      </c>
      <c r="C2394" s="16" t="s">
        <v>258</v>
      </c>
      <c r="D2394" s="38" t="n">
        <v>1</v>
      </c>
      <c r="E2394" s="39" t="n">
        <v>155.09</v>
      </c>
      <c r="F2394" s="22" t="n">
        <f aca="false">IFERROR(D2394*E2394,0)</f>
        <v>155.09</v>
      </c>
      <c r="G2394" s="16" t="str">
        <f aca="false">INDEX(SETORES!$B:$B,MATCH(A2394,SETORES!$A:$A,0))</f>
        <v>Clientes</v>
      </c>
      <c r="H2394" s="16" t="s">
        <v>88</v>
      </c>
    </row>
    <row r="2395" customFormat="false" ht="14.25" hidden="true" customHeight="true" outlineLevel="0" collapsed="false">
      <c r="A2395" s="16" t="s">
        <v>48</v>
      </c>
      <c r="B2395" s="16" t="s">
        <v>155</v>
      </c>
      <c r="C2395" s="16" t="s">
        <v>258</v>
      </c>
      <c r="D2395" s="38" t="n">
        <v>1</v>
      </c>
      <c r="E2395" s="39" t="n">
        <v>310.17</v>
      </c>
      <c r="F2395" s="22" t="n">
        <f aca="false">IFERROR(D2395*E2395,0)</f>
        <v>310.17</v>
      </c>
      <c r="G2395" s="16" t="str">
        <f aca="false">INDEX(SETORES!$B:$B,MATCH(A2395,SETORES!$A:$A,0))</f>
        <v>Clientes</v>
      </c>
      <c r="H2395" s="16" t="s">
        <v>88</v>
      </c>
    </row>
    <row r="2396" customFormat="false" ht="14.25" hidden="true" customHeight="true" outlineLevel="0" collapsed="false">
      <c r="A2396" s="16" t="s">
        <v>31</v>
      </c>
      <c r="B2396" s="16" t="s">
        <v>155</v>
      </c>
      <c r="C2396" s="16" t="s">
        <v>258</v>
      </c>
      <c r="D2396" s="38" t="n">
        <v>1</v>
      </c>
      <c r="E2396" s="39" t="n">
        <v>58.16</v>
      </c>
      <c r="F2396" s="22" t="n">
        <f aca="false">IFERROR(D2396*E2396,0)</f>
        <v>58.16</v>
      </c>
      <c r="G2396" s="16" t="str">
        <f aca="false">INDEX(SETORES!$B:$B,MATCH(A2396,SETORES!$A:$A,0))</f>
        <v>Clientes</v>
      </c>
      <c r="H2396" s="16" t="s">
        <v>88</v>
      </c>
    </row>
    <row r="2397" customFormat="false" ht="14.25" hidden="true" customHeight="true" outlineLevel="0" collapsed="false">
      <c r="A2397" s="16" t="s">
        <v>37</v>
      </c>
      <c r="B2397" s="16" t="s">
        <v>155</v>
      </c>
      <c r="C2397" s="16" t="s">
        <v>258</v>
      </c>
      <c r="D2397" s="38" t="n">
        <v>1</v>
      </c>
      <c r="E2397" s="39" t="n">
        <v>814.21</v>
      </c>
      <c r="F2397" s="22" t="n">
        <f aca="false">IFERROR(D2397*E2397,0)</f>
        <v>814.21</v>
      </c>
      <c r="G2397" s="16" t="str">
        <f aca="false">INDEX(SETORES!$B:$B,MATCH(A2397,SETORES!$A:$A,0))</f>
        <v>Clientes</v>
      </c>
      <c r="H2397" s="16" t="s">
        <v>88</v>
      </c>
    </row>
    <row r="2398" customFormat="false" ht="14.25" hidden="true" customHeight="true" outlineLevel="0" collapsed="false">
      <c r="A2398" s="16" t="s">
        <v>49</v>
      </c>
      <c r="B2398" s="16" t="s">
        <v>155</v>
      </c>
      <c r="C2398" s="16" t="s">
        <v>258</v>
      </c>
      <c r="D2398" s="38" t="n">
        <v>1</v>
      </c>
      <c r="E2398" s="39" t="n">
        <v>77.54</v>
      </c>
      <c r="F2398" s="22" t="n">
        <f aca="false">IFERROR(D2398*E2398,0)</f>
        <v>77.54</v>
      </c>
      <c r="G2398" s="16" t="str">
        <f aca="false">INDEX(SETORES!$B:$B,MATCH(A2398,SETORES!$A:$A,0))</f>
        <v>Clientes</v>
      </c>
      <c r="H2398" s="16" t="s">
        <v>88</v>
      </c>
    </row>
    <row r="2399" customFormat="false" ht="14.25" hidden="true" customHeight="true" outlineLevel="0" collapsed="false">
      <c r="A2399" s="16" t="s">
        <v>32</v>
      </c>
      <c r="B2399" s="16" t="s">
        <v>155</v>
      </c>
      <c r="C2399" s="16" t="s">
        <v>258</v>
      </c>
      <c r="D2399" s="38" t="n">
        <v>1</v>
      </c>
      <c r="E2399" s="39" t="n">
        <v>116.32</v>
      </c>
      <c r="F2399" s="22" t="n">
        <f aca="false">IFERROR(D2399*E2399,0)</f>
        <v>116.32</v>
      </c>
      <c r="G2399" s="16" t="str">
        <f aca="false">INDEX(SETORES!$B:$B,MATCH(A2399,SETORES!$A:$A,0))</f>
        <v>Funcionários</v>
      </c>
      <c r="H2399" s="16" t="s">
        <v>88</v>
      </c>
    </row>
    <row r="2400" customFormat="false" ht="14.25" hidden="true" customHeight="true" outlineLevel="0" collapsed="false">
      <c r="A2400" s="16" t="s">
        <v>39</v>
      </c>
      <c r="B2400" s="16" t="s">
        <v>155</v>
      </c>
      <c r="C2400" s="16" t="s">
        <v>258</v>
      </c>
      <c r="D2400" s="38" t="n">
        <v>1</v>
      </c>
      <c r="E2400" s="39" t="n">
        <v>232.63</v>
      </c>
      <c r="F2400" s="22" t="n">
        <f aca="false">IFERROR(D2400*E2400,0)</f>
        <v>232.63</v>
      </c>
      <c r="G2400" s="16" t="str">
        <f aca="false">INDEX(SETORES!$B:$B,MATCH(A2400,SETORES!$A:$A,0))</f>
        <v>Clientes</v>
      </c>
      <c r="H2400" s="16" t="s">
        <v>88</v>
      </c>
    </row>
    <row r="2401" customFormat="false" ht="14.25" hidden="true" customHeight="true" outlineLevel="0" collapsed="false">
      <c r="A2401" s="16" t="s">
        <v>44</v>
      </c>
      <c r="B2401" s="16" t="s">
        <v>155</v>
      </c>
      <c r="C2401" s="16" t="s">
        <v>258</v>
      </c>
      <c r="D2401" s="38" t="n">
        <v>1</v>
      </c>
      <c r="E2401" s="39" t="n">
        <v>155.09</v>
      </c>
      <c r="F2401" s="22" t="n">
        <f aca="false">IFERROR(D2401*E2401,0)</f>
        <v>155.09</v>
      </c>
      <c r="G2401" s="16" t="str">
        <f aca="false">INDEX(SETORES!$B:$B,MATCH(A2401,SETORES!$A:$A,0))</f>
        <v>Funcionários</v>
      </c>
      <c r="H2401" s="16" t="s">
        <v>88</v>
      </c>
    </row>
    <row r="2402" customFormat="false" ht="14.25" hidden="true" customHeight="true" outlineLevel="0" collapsed="false">
      <c r="A2402" s="16" t="s">
        <v>52</v>
      </c>
      <c r="B2402" s="16" t="s">
        <v>155</v>
      </c>
      <c r="C2402" s="16" t="s">
        <v>258</v>
      </c>
      <c r="D2402" s="38" t="n">
        <v>1</v>
      </c>
      <c r="E2402" s="39" t="n">
        <v>155.09</v>
      </c>
      <c r="F2402" s="22" t="n">
        <f aca="false">IFERROR(D2402*E2402,0)</f>
        <v>155.09</v>
      </c>
      <c r="G2402" s="16" t="str">
        <f aca="false">INDEX(SETORES!$B:$B,MATCH(A2402,SETORES!$A:$A,0))</f>
        <v>Clientes</v>
      </c>
      <c r="H2402" s="16" t="s">
        <v>88</v>
      </c>
    </row>
    <row r="2403" customFormat="false" ht="14.25" hidden="true" customHeight="true" outlineLevel="0" collapsed="false">
      <c r="A2403" s="16" t="s">
        <v>53</v>
      </c>
      <c r="B2403" s="16" t="s">
        <v>155</v>
      </c>
      <c r="C2403" s="16" t="s">
        <v>258</v>
      </c>
      <c r="D2403" s="38" t="n">
        <v>1</v>
      </c>
      <c r="E2403" s="39" t="n">
        <v>639.74</v>
      </c>
      <c r="F2403" s="22" t="n">
        <f aca="false">IFERROR(D2403*E2403,0)</f>
        <v>639.74</v>
      </c>
      <c r="G2403" s="16" t="str">
        <f aca="false">INDEX(SETORES!$B:$B,MATCH(A2403,SETORES!$A:$A,0))</f>
        <v>Clientes</v>
      </c>
      <c r="H2403" s="16" t="s">
        <v>88</v>
      </c>
    </row>
    <row r="2404" customFormat="false" ht="14.25" hidden="true" customHeight="true" outlineLevel="0" collapsed="false">
      <c r="A2404" s="16" t="s">
        <v>51</v>
      </c>
      <c r="B2404" s="16" t="s">
        <v>155</v>
      </c>
      <c r="C2404" s="16" t="s">
        <v>258</v>
      </c>
      <c r="D2404" s="38" t="n">
        <v>1</v>
      </c>
      <c r="E2404" s="39" t="n">
        <v>213.25</v>
      </c>
      <c r="F2404" s="22" t="n">
        <f aca="false">IFERROR(D2404*E2404,0)</f>
        <v>213.25</v>
      </c>
      <c r="G2404" s="16" t="str">
        <f aca="false">INDEX(SETORES!$B:$B,MATCH(A2404,SETORES!$A:$A,0))</f>
        <v>Clientes</v>
      </c>
      <c r="H2404" s="16" t="s">
        <v>88</v>
      </c>
    </row>
    <row r="2405" customFormat="false" ht="14.25" hidden="true" customHeight="true" outlineLevel="0" collapsed="false">
      <c r="A2405" s="16" t="s">
        <v>78</v>
      </c>
      <c r="B2405" s="16" t="s">
        <v>155</v>
      </c>
      <c r="C2405" s="16" t="s">
        <v>258</v>
      </c>
      <c r="D2405" s="38" t="n">
        <v>1</v>
      </c>
      <c r="E2405" s="39" t="n">
        <v>213.25</v>
      </c>
      <c r="F2405" s="22" t="n">
        <f aca="false">IFERROR(D2405*E2405,0)</f>
        <v>213.25</v>
      </c>
      <c r="G2405" s="16" t="str">
        <f aca="false">INDEX(SETORES!$B:$B,MATCH(A2405,SETORES!$A:$A,0))</f>
        <v>Clientes</v>
      </c>
      <c r="H2405" s="16" t="s">
        <v>88</v>
      </c>
    </row>
    <row r="2406" customFormat="false" ht="14.25" hidden="true" customHeight="true" outlineLevel="0" collapsed="false">
      <c r="A2406" s="16" t="s">
        <v>79</v>
      </c>
      <c r="B2406" s="16" t="s">
        <v>155</v>
      </c>
      <c r="C2406" s="16" t="s">
        <v>258</v>
      </c>
      <c r="D2406" s="38" t="n">
        <v>1</v>
      </c>
      <c r="E2406" s="39" t="n">
        <v>77.54</v>
      </c>
      <c r="F2406" s="22" t="n">
        <f aca="false">IFERROR(D2406*E2406,0)</f>
        <v>77.54</v>
      </c>
      <c r="G2406" s="16" t="str">
        <f aca="false">INDEX(SETORES!$B:$B,MATCH(A2406,SETORES!$A:$A,0))</f>
        <v>Funcionários</v>
      </c>
      <c r="H2406" s="16" t="s">
        <v>88</v>
      </c>
    </row>
    <row r="2407" customFormat="false" ht="14.25" hidden="true" customHeight="true" outlineLevel="0" collapsed="false">
      <c r="A2407" s="16" t="s">
        <v>137</v>
      </c>
      <c r="B2407" s="16" t="s">
        <v>155</v>
      </c>
      <c r="C2407" s="16" t="s">
        <v>258</v>
      </c>
      <c r="D2407" s="38" t="n">
        <v>1</v>
      </c>
      <c r="E2407" s="39" t="n">
        <v>38.77</v>
      </c>
      <c r="F2407" s="22" t="n">
        <f aca="false">IFERROR(D2407*E2407,0)</f>
        <v>38.77</v>
      </c>
      <c r="G2407" s="16" t="str">
        <f aca="false">INDEX(SETORES!$B:$B,MATCH(A2407,SETORES!$A:$A,0))</f>
        <v>Clientes</v>
      </c>
      <c r="H2407" s="16" t="s">
        <v>88</v>
      </c>
    </row>
    <row r="2408" customFormat="false" ht="14.25" hidden="true" customHeight="true" outlineLevel="0" collapsed="false">
      <c r="A2408" s="16" t="s">
        <v>85</v>
      </c>
      <c r="B2408" s="16" t="s">
        <v>155</v>
      </c>
      <c r="C2408" s="16" t="s">
        <v>258</v>
      </c>
      <c r="D2408" s="38" t="n">
        <v>1</v>
      </c>
      <c r="E2408" s="39" t="n">
        <v>329.56</v>
      </c>
      <c r="F2408" s="22" t="n">
        <f aca="false">IFERROR(D2408*E2408,0)</f>
        <v>329.56</v>
      </c>
      <c r="G2408" s="16" t="str">
        <f aca="false">INDEX(SETORES!$B:$B,MATCH(A2408,SETORES!$A:$A,0))</f>
        <v>Clientes</v>
      </c>
      <c r="H2408" s="16" t="s">
        <v>88</v>
      </c>
    </row>
    <row r="2409" customFormat="false" ht="14.25" hidden="true" customHeight="true" outlineLevel="0" collapsed="false">
      <c r="A2409" s="16" t="s">
        <v>54</v>
      </c>
      <c r="B2409" s="16" t="s">
        <v>155</v>
      </c>
      <c r="C2409" s="16" t="s">
        <v>258</v>
      </c>
      <c r="D2409" s="38" t="n">
        <v>1</v>
      </c>
      <c r="E2409" s="39" t="n">
        <v>232.63</v>
      </c>
      <c r="F2409" s="22" t="n">
        <f aca="false">IFERROR(D2409*E2409,0)</f>
        <v>232.63</v>
      </c>
      <c r="G2409" s="16" t="str">
        <f aca="false">INDEX(SETORES!$B:$B,MATCH(A2409,SETORES!$A:$A,0))</f>
        <v>Clientes</v>
      </c>
      <c r="H2409" s="16" t="s">
        <v>88</v>
      </c>
    </row>
    <row r="2410" customFormat="false" ht="14.25" hidden="true" customHeight="true" outlineLevel="0" collapsed="false">
      <c r="A2410" s="16" t="s">
        <v>87</v>
      </c>
      <c r="B2410" s="16" t="s">
        <v>155</v>
      </c>
      <c r="C2410" s="16" t="s">
        <v>258</v>
      </c>
      <c r="D2410" s="38" t="n">
        <v>1</v>
      </c>
      <c r="E2410" s="39" t="n">
        <v>135.7</v>
      </c>
      <c r="F2410" s="22" t="n">
        <f aca="false">IFERROR(D2410*E2410,0)</f>
        <v>135.7</v>
      </c>
      <c r="G2410" s="16" t="str">
        <f aca="false">INDEX(SETORES!$B:$B,MATCH(A2410,SETORES!$A:$A,0))</f>
        <v>Clientes</v>
      </c>
      <c r="H2410" s="16" t="s">
        <v>88</v>
      </c>
    </row>
    <row r="2411" customFormat="false" ht="14.25" hidden="true" customHeight="true" outlineLevel="0" collapsed="false">
      <c r="A2411" s="16" t="s">
        <v>80</v>
      </c>
      <c r="B2411" s="16" t="s">
        <v>155</v>
      </c>
      <c r="C2411" s="16" t="s">
        <v>258</v>
      </c>
      <c r="D2411" s="38" t="n">
        <v>1</v>
      </c>
      <c r="E2411" s="39" t="n">
        <v>38.77</v>
      </c>
      <c r="F2411" s="22" t="n">
        <f aca="false">IFERROR(D2411*E2411,0)</f>
        <v>38.77</v>
      </c>
      <c r="G2411" s="16" t="str">
        <f aca="false">INDEX(SETORES!$B:$B,MATCH(A2411,SETORES!$A:$A,0))</f>
        <v>Clientes</v>
      </c>
      <c r="H2411" s="16" t="s">
        <v>88</v>
      </c>
    </row>
    <row r="2412" customFormat="false" ht="14.25" hidden="true" customHeight="true" outlineLevel="0" collapsed="false">
      <c r="A2412" s="16" t="s">
        <v>41</v>
      </c>
      <c r="B2412" s="16" t="s">
        <v>155</v>
      </c>
      <c r="C2412" s="16" t="s">
        <v>258</v>
      </c>
      <c r="D2412" s="38" t="n">
        <v>1</v>
      </c>
      <c r="E2412" s="39" t="n">
        <v>19.39</v>
      </c>
      <c r="F2412" s="22" t="n">
        <f aca="false">IFERROR(D2412*E2412,0)</f>
        <v>19.39</v>
      </c>
      <c r="G2412" s="16" t="str">
        <f aca="false">INDEX(SETORES!$B:$B,MATCH(A2412,SETORES!$A:$A,0))</f>
        <v>Clientes</v>
      </c>
      <c r="H2412" s="16" t="s">
        <v>88</v>
      </c>
    </row>
    <row r="2413" customFormat="false" ht="14.25" hidden="true" customHeight="true" outlineLevel="0" collapsed="false">
      <c r="A2413" s="16" t="s">
        <v>143</v>
      </c>
      <c r="B2413" s="16" t="s">
        <v>155</v>
      </c>
      <c r="C2413" s="16" t="s">
        <v>168</v>
      </c>
      <c r="D2413" s="38" t="n">
        <v>10</v>
      </c>
      <c r="E2413" s="39" t="n">
        <v>1.87</v>
      </c>
      <c r="F2413" s="22" t="n">
        <f aca="false">IFERROR(D2413*E2413,0)</f>
        <v>18.7</v>
      </c>
      <c r="G2413" s="16" t="str">
        <f aca="false">INDEX(SETORES!$B:$B,MATCH(A2413,SETORES!$A:$A,0))</f>
        <v>Clientes</v>
      </c>
      <c r="H2413" s="16" t="s">
        <v>88</v>
      </c>
    </row>
    <row r="2414" customFormat="false" ht="14.25" hidden="true" customHeight="true" outlineLevel="0" collapsed="false">
      <c r="A2414" s="16" t="s">
        <v>143</v>
      </c>
      <c r="B2414" s="16" t="s">
        <v>155</v>
      </c>
      <c r="C2414" s="16" t="s">
        <v>166</v>
      </c>
      <c r="D2414" s="38" t="n">
        <v>10</v>
      </c>
      <c r="E2414" s="39" t="n">
        <v>50</v>
      </c>
      <c r="F2414" s="22" t="n">
        <f aca="false">IFERROR(D2414*E2414,0)</f>
        <v>500</v>
      </c>
      <c r="G2414" s="16" t="str">
        <f aca="false">INDEX(SETORES!$B:$B,MATCH(A2414,SETORES!$A:$A,0))</f>
        <v>Clientes</v>
      </c>
      <c r="H2414" s="16" t="s">
        <v>88</v>
      </c>
    </row>
    <row r="2415" customFormat="false" ht="14.25" hidden="true" customHeight="true" outlineLevel="0" collapsed="false">
      <c r="A2415" s="16" t="s">
        <v>141</v>
      </c>
      <c r="B2415" s="16" t="s">
        <v>155</v>
      </c>
      <c r="C2415" s="16" t="s">
        <v>168</v>
      </c>
      <c r="D2415" s="38" t="n">
        <v>6</v>
      </c>
      <c r="E2415" s="39" t="n">
        <v>1.87</v>
      </c>
      <c r="F2415" s="22" t="n">
        <f aca="false">IFERROR(D2415*E2415,0)</f>
        <v>11.22</v>
      </c>
      <c r="G2415" s="16" t="str">
        <f aca="false">INDEX(SETORES!$B:$B,MATCH(A2415,SETORES!$A:$A,0))</f>
        <v>Clientes</v>
      </c>
      <c r="H2415" s="16" t="s">
        <v>88</v>
      </c>
    </row>
    <row r="2416" customFormat="false" ht="14.25" hidden="true" customHeight="true" outlineLevel="0" collapsed="false">
      <c r="A2416" s="16" t="s">
        <v>141</v>
      </c>
      <c r="B2416" s="16" t="s">
        <v>155</v>
      </c>
      <c r="C2416" s="16" t="s">
        <v>166</v>
      </c>
      <c r="D2416" s="38" t="n">
        <v>6</v>
      </c>
      <c r="E2416" s="39" t="n">
        <v>50</v>
      </c>
      <c r="F2416" s="22" t="n">
        <f aca="false">IFERROR(D2416*E2416,0)</f>
        <v>300</v>
      </c>
      <c r="G2416" s="16" t="str">
        <f aca="false">INDEX(SETORES!$B:$B,MATCH(A2416,SETORES!$A:$A,0))</f>
        <v>Clientes</v>
      </c>
      <c r="H2416" s="16" t="s">
        <v>88</v>
      </c>
    </row>
    <row r="2417" customFormat="false" ht="14.25" hidden="false" customHeight="true" outlineLevel="0" collapsed="false">
      <c r="A2417" s="1" t="s">
        <v>146</v>
      </c>
      <c r="B2417" s="1" t="s">
        <v>155</v>
      </c>
      <c r="C2417" s="1" t="s">
        <v>161</v>
      </c>
      <c r="D2417" s="1" t="n">
        <v>1</v>
      </c>
      <c r="E2417" s="1" t="n">
        <v>15936.7</v>
      </c>
      <c r="F2417" s="1" t="n">
        <f aca="false">IFERROR(D2417*E2417,0)</f>
        <v>15936.7</v>
      </c>
      <c r="G2417" s="1" t="str">
        <f aca="false">INDEX(SETORES!$B:$B,MATCH(A2417,SETORES!$A:$A,0))</f>
        <v>Clientes</v>
      </c>
      <c r="H2417" s="1" t="s">
        <v>20</v>
      </c>
    </row>
    <row r="2418" customFormat="false" ht="14.25" hidden="false" customHeight="true" outlineLevel="0" collapsed="false">
      <c r="A2418" s="1" t="s">
        <v>146</v>
      </c>
      <c r="B2418" s="1" t="s">
        <v>155</v>
      </c>
      <c r="C2418" s="1" t="s">
        <v>161</v>
      </c>
      <c r="D2418" s="1" t="n">
        <v>1</v>
      </c>
      <c r="E2418" s="1" t="n">
        <v>23431.15</v>
      </c>
      <c r="F2418" s="1" t="n">
        <f aca="false">IFERROR(D2418*E2418,0)</f>
        <v>23431.15</v>
      </c>
      <c r="G2418" s="1" t="str">
        <f aca="false">INDEX(SETORES!$B:$B,MATCH(A2418,SETORES!$A:$A,0))</f>
        <v>Clientes</v>
      </c>
      <c r="H2418" s="1" t="s">
        <v>11</v>
      </c>
    </row>
    <row r="2419" customFormat="false" ht="14.25" hidden="false" customHeight="true" outlineLevel="0" collapsed="false">
      <c r="A2419" s="1" t="s">
        <v>146</v>
      </c>
      <c r="B2419" s="1" t="s">
        <v>155</v>
      </c>
      <c r="C2419" s="1" t="s">
        <v>161</v>
      </c>
      <c r="D2419" s="1" t="n">
        <v>1</v>
      </c>
      <c r="E2419" s="1" t="n">
        <v>23134.52</v>
      </c>
      <c r="F2419" s="1" t="n">
        <f aca="false">IFERROR(D2419*E2419,0)</f>
        <v>23134.52</v>
      </c>
      <c r="G2419" s="1" t="str">
        <f aca="false">INDEX(SETORES!$B:$B,MATCH(A2419,SETORES!$A:$A,0))</f>
        <v>Clientes</v>
      </c>
      <c r="H2419" s="1" t="s">
        <v>21</v>
      </c>
    </row>
    <row r="2420" customFormat="false" ht="14.25" hidden="false" customHeight="true" outlineLevel="0" collapsed="false">
      <c r="A2420" s="1" t="s">
        <v>146</v>
      </c>
      <c r="B2420" s="1" t="s">
        <v>155</v>
      </c>
      <c r="C2420" s="1" t="s">
        <v>161</v>
      </c>
      <c r="D2420" s="1" t="n">
        <v>1</v>
      </c>
      <c r="E2420" s="1" t="n">
        <v>25653.46</v>
      </c>
      <c r="F2420" s="1" t="n">
        <f aca="false">IFERROR(D2420*E2420,0)</f>
        <v>25653.46</v>
      </c>
      <c r="G2420" s="1" t="str">
        <f aca="false">INDEX(SETORES!$B:$B,MATCH(A2420,SETORES!$A:$A,0))</f>
        <v>Clientes</v>
      </c>
      <c r="H2420" s="1" t="s">
        <v>88</v>
      </c>
    </row>
    <row r="2421" customFormat="false" ht="14.25" hidden="false" customHeight="true" outlineLevel="0" collapsed="false">
      <c r="A2421" s="1" t="s">
        <v>53</v>
      </c>
      <c r="B2421" s="1" t="s">
        <v>162</v>
      </c>
      <c r="C2421" s="1" t="s">
        <v>164</v>
      </c>
      <c r="D2421" s="1" t="n">
        <v>1</v>
      </c>
      <c r="E2421" s="1" t="n">
        <v>272</v>
      </c>
      <c r="F2421" s="1" t="n">
        <f aca="false">IFERROR(D2421*E2421,0)</f>
        <v>272</v>
      </c>
      <c r="G2421" s="1" t="str">
        <f aca="false">INDEX(SETORES!$B:$B,MATCH(A2421,SETORES!$A:$A,0))</f>
        <v>Clientes</v>
      </c>
      <c r="H2421" s="1" t="s">
        <v>88</v>
      </c>
    </row>
    <row r="2422" customFormat="false" ht="14.25" hidden="false" customHeight="true" outlineLevel="0" collapsed="false">
      <c r="A2422" s="1" t="s">
        <v>143</v>
      </c>
      <c r="B2422" s="1" t="s">
        <v>162</v>
      </c>
      <c r="C2422" s="1" t="s">
        <v>163</v>
      </c>
      <c r="D2422" s="1" t="n">
        <v>1</v>
      </c>
      <c r="E2422" s="1" t="n">
        <v>90</v>
      </c>
      <c r="F2422" s="1" t="n">
        <f aca="false">IFERROR(D2422*E2422,0)</f>
        <v>90</v>
      </c>
      <c r="G2422" s="1" t="str">
        <f aca="false">INDEX(SETORES!$B:$B,MATCH(A2422,SETORES!$A:$A,0))</f>
        <v>Clientes</v>
      </c>
      <c r="H2422" s="1" t="s">
        <v>88</v>
      </c>
    </row>
    <row r="2423" customFormat="false" ht="14.25" hidden="false" customHeight="false" outlineLevel="0" collapsed="false">
      <c r="A2423" s="16" t="s">
        <v>34</v>
      </c>
      <c r="B2423" s="16" t="s">
        <v>155</v>
      </c>
      <c r="C2423" s="16" t="s">
        <v>156</v>
      </c>
      <c r="D2423" s="38" t="n">
        <v>1</v>
      </c>
      <c r="E2423" s="39" t="n">
        <v>840.67</v>
      </c>
      <c r="F2423" s="22" t="n">
        <f aca="false">IFERROR(D2423*E2423,0)</f>
        <v>840.67</v>
      </c>
      <c r="G2423" s="16" t="str">
        <f aca="false">INDEX(SETORES!$B:$B,MATCH(A2423,SETORES!$A:$A,0))</f>
        <v>Clientes</v>
      </c>
      <c r="H2423" s="16" t="s">
        <v>259</v>
      </c>
    </row>
    <row r="2424" customFormat="false" ht="14.25" hidden="false" customHeight="false" outlineLevel="0" collapsed="false">
      <c r="A2424" s="16" t="s">
        <v>34</v>
      </c>
      <c r="B2424" s="16" t="s">
        <v>155</v>
      </c>
      <c r="C2424" s="16" t="s">
        <v>157</v>
      </c>
      <c r="D2424" s="38" t="n">
        <v>1</v>
      </c>
      <c r="E2424" s="39" t="n">
        <v>882.22</v>
      </c>
      <c r="F2424" s="22" t="n">
        <f aca="false">IFERROR(D2424*E2424,0)</f>
        <v>882.22</v>
      </c>
      <c r="G2424" s="16" t="str">
        <f aca="false">INDEX(SETORES!$B:$B,MATCH(A2424,SETORES!$A:$A,0))</f>
        <v>Clientes</v>
      </c>
      <c r="H2424" s="16" t="s">
        <v>259</v>
      </c>
    </row>
    <row r="2425" customFormat="false" ht="14.25" hidden="false" customHeight="false" outlineLevel="0" collapsed="false">
      <c r="A2425" s="16" t="s">
        <v>34</v>
      </c>
      <c r="B2425" s="16" t="s">
        <v>155</v>
      </c>
      <c r="C2425" s="16" t="s">
        <v>158</v>
      </c>
      <c r="D2425" s="38"/>
      <c r="E2425" s="39"/>
      <c r="F2425" s="22" t="n">
        <f aca="false">IFERROR(D2425*E2425,0)</f>
        <v>0</v>
      </c>
      <c r="G2425" s="16" t="str">
        <f aca="false">INDEX(SETORES!$B:$B,MATCH(A2425,SETORES!$A:$A,0))</f>
        <v>Clientes</v>
      </c>
      <c r="H2425" s="16" t="s">
        <v>259</v>
      </c>
    </row>
    <row r="2426" customFormat="false" ht="14.25" hidden="false" customHeight="false" outlineLevel="0" collapsed="false">
      <c r="A2426" s="16" t="s">
        <v>34</v>
      </c>
      <c r="B2426" s="16" t="s">
        <v>155</v>
      </c>
      <c r="C2426" s="16" t="s">
        <v>159</v>
      </c>
      <c r="D2426" s="38"/>
      <c r="E2426" s="39"/>
      <c r="F2426" s="22" t="n">
        <f aca="false">IFERROR(D2426*E2426,0)</f>
        <v>0</v>
      </c>
      <c r="G2426" s="16" t="str">
        <f aca="false">INDEX(SETORES!$B:$B,MATCH(A2426,SETORES!$A:$A,0))</f>
        <v>Clientes</v>
      </c>
      <c r="H2426" s="16" t="s">
        <v>259</v>
      </c>
    </row>
    <row r="2427" customFormat="false" ht="14.25" hidden="false" customHeight="false" outlineLevel="0" collapsed="false">
      <c r="A2427" s="16" t="s">
        <v>34</v>
      </c>
      <c r="B2427" s="16" t="s">
        <v>155</v>
      </c>
      <c r="C2427" s="16" t="s">
        <v>160</v>
      </c>
      <c r="D2427" s="38"/>
      <c r="E2427" s="39"/>
      <c r="F2427" s="22" t="n">
        <f aca="false">IFERROR(D2427*E2427,0)</f>
        <v>0</v>
      </c>
      <c r="G2427" s="16" t="str">
        <f aca="false">INDEX(SETORES!$B:$B,MATCH(A2427,SETORES!$A:$A,0))</f>
        <v>Clientes</v>
      </c>
      <c r="H2427" s="16" t="s">
        <v>259</v>
      </c>
    </row>
    <row r="2428" customFormat="false" ht="14.25" hidden="false" customHeight="false" outlineLevel="0" collapsed="false">
      <c r="A2428" s="16" t="s">
        <v>34</v>
      </c>
      <c r="B2428" s="16" t="s">
        <v>155</v>
      </c>
      <c r="C2428" s="16" t="s">
        <v>161</v>
      </c>
      <c r="D2428" s="38" t="n">
        <v>1</v>
      </c>
      <c r="E2428" s="39" t="n">
        <v>55556.32</v>
      </c>
      <c r="F2428" s="22" t="n">
        <f aca="false">IFERROR(D2428*E2428,0)</f>
        <v>55556.32</v>
      </c>
      <c r="G2428" s="16" t="str">
        <f aca="false">INDEX(SETORES!$B:$B,MATCH(A2428,SETORES!$A:$A,0))</f>
        <v>Clientes</v>
      </c>
      <c r="H2428" s="16" t="s">
        <v>259</v>
      </c>
    </row>
    <row r="2429" customFormat="false" ht="14.25" hidden="false" customHeight="false" outlineLevel="0" collapsed="false">
      <c r="A2429" s="16" t="s">
        <v>34</v>
      </c>
      <c r="B2429" s="16" t="s">
        <v>162</v>
      </c>
      <c r="C2429" s="16" t="s">
        <v>163</v>
      </c>
      <c r="D2429" s="38" t="n">
        <v>1</v>
      </c>
      <c r="E2429" s="39" t="n">
        <v>180</v>
      </c>
      <c r="F2429" s="22" t="n">
        <f aca="false">IFERROR(D2429*E2429,0)</f>
        <v>180</v>
      </c>
      <c r="G2429" s="16" t="str">
        <f aca="false">INDEX(SETORES!$B:$B,MATCH(A2429,SETORES!$A:$A,0))</f>
        <v>Clientes</v>
      </c>
      <c r="H2429" s="16" t="s">
        <v>259</v>
      </c>
    </row>
    <row r="2430" customFormat="false" ht="14.25" hidden="false" customHeight="false" outlineLevel="0" collapsed="false">
      <c r="A2430" s="16" t="s">
        <v>34</v>
      </c>
      <c r="B2430" s="16" t="s">
        <v>162</v>
      </c>
      <c r="C2430" s="16" t="s">
        <v>164</v>
      </c>
      <c r="D2430" s="38"/>
      <c r="E2430" s="39"/>
      <c r="F2430" s="22" t="n">
        <f aca="false">IFERROR(D2430*E2430,0)</f>
        <v>0</v>
      </c>
      <c r="G2430" s="16" t="str">
        <f aca="false">INDEX(SETORES!$B:$B,MATCH(A2430,SETORES!$A:$A,0))</f>
        <v>Clientes</v>
      </c>
      <c r="H2430" s="16" t="s">
        <v>259</v>
      </c>
    </row>
    <row r="2431" customFormat="false" ht="14.25" hidden="false" customHeight="false" outlineLevel="0" collapsed="false">
      <c r="A2431" s="16" t="s">
        <v>34</v>
      </c>
      <c r="B2431" s="16" t="s">
        <v>162</v>
      </c>
      <c r="C2431" s="16" t="s">
        <v>165</v>
      </c>
      <c r="D2431" s="38"/>
      <c r="E2431" s="39"/>
      <c r="F2431" s="22" t="n">
        <f aca="false">IFERROR(D2431*E2431,0)</f>
        <v>0</v>
      </c>
      <c r="G2431" s="16" t="str">
        <f aca="false">INDEX(SETORES!$B:$B,MATCH(A2431,SETORES!$A:$A,0))</f>
        <v>Clientes</v>
      </c>
      <c r="H2431" s="16" t="s">
        <v>259</v>
      </c>
    </row>
    <row r="2432" customFormat="false" ht="14.25" hidden="false" customHeight="false" outlineLevel="0" collapsed="false">
      <c r="A2432" s="16" t="s">
        <v>34</v>
      </c>
      <c r="B2432" s="16" t="s">
        <v>155</v>
      </c>
      <c r="C2432" s="16" t="s">
        <v>166</v>
      </c>
      <c r="D2432" s="38" t="n">
        <v>17</v>
      </c>
      <c r="E2432" s="39" t="n">
        <v>50</v>
      </c>
      <c r="F2432" s="22" t="n">
        <f aca="false">IFERROR(D2432*E2432,0)</f>
        <v>850</v>
      </c>
      <c r="G2432" s="16" t="str">
        <f aca="false">INDEX(SETORES!$B:$B,MATCH(A2432,SETORES!$A:$A,0))</f>
        <v>Clientes</v>
      </c>
      <c r="H2432" s="16" t="s">
        <v>259</v>
      </c>
    </row>
    <row r="2433" customFormat="false" ht="14.25" hidden="false" customHeight="false" outlineLevel="0" collapsed="false">
      <c r="A2433" s="16" t="s">
        <v>34</v>
      </c>
      <c r="B2433" s="16" t="s">
        <v>155</v>
      </c>
      <c r="C2433" s="16" t="s">
        <v>167</v>
      </c>
      <c r="D2433" s="38"/>
      <c r="E2433" s="39"/>
      <c r="F2433" s="22" t="n">
        <f aca="false">IFERROR(D2433*E2433,0)</f>
        <v>0</v>
      </c>
      <c r="G2433" s="16" t="str">
        <f aca="false">INDEX(SETORES!$B:$B,MATCH(A2433,SETORES!$A:$A,0))</f>
        <v>Clientes</v>
      </c>
      <c r="H2433" s="16" t="s">
        <v>259</v>
      </c>
    </row>
    <row r="2434" customFormat="false" ht="14.25" hidden="false" customHeight="false" outlineLevel="0" collapsed="false">
      <c r="A2434" s="16" t="s">
        <v>34</v>
      </c>
      <c r="B2434" s="16" t="s">
        <v>155</v>
      </c>
      <c r="C2434" s="16" t="s">
        <v>168</v>
      </c>
      <c r="D2434" s="38" t="n">
        <v>17</v>
      </c>
      <c r="E2434" s="39" t="n">
        <v>1.87</v>
      </c>
      <c r="F2434" s="22" t="n">
        <f aca="false">IFERROR(D2434*E2434,0)</f>
        <v>31.79</v>
      </c>
      <c r="G2434" s="16" t="str">
        <f aca="false">INDEX(SETORES!$B:$B,MATCH(A2434,SETORES!$A:$A,0))</f>
        <v>Clientes</v>
      </c>
      <c r="H2434" s="16" t="s">
        <v>259</v>
      </c>
    </row>
    <row r="2435" customFormat="false" ht="14.25" hidden="false" customHeight="false" outlineLevel="0" collapsed="false">
      <c r="A2435" s="16" t="s">
        <v>32</v>
      </c>
      <c r="B2435" s="16" t="s">
        <v>155</v>
      </c>
      <c r="C2435" s="16" t="s">
        <v>175</v>
      </c>
      <c r="D2435" s="38" t="n">
        <v>1</v>
      </c>
      <c r="E2435" s="39" t="n">
        <v>2500</v>
      </c>
      <c r="F2435" s="22" t="n">
        <f aca="false">IFERROR(D2435*E2435,0)</f>
        <v>2500</v>
      </c>
      <c r="G2435" s="16" t="str">
        <f aca="false">INDEX(SETORES!$B:$B,MATCH(A2435,SETORES!$A:$A,0))</f>
        <v>Funcionários</v>
      </c>
      <c r="H2435" s="16" t="s">
        <v>259</v>
      </c>
    </row>
    <row r="2436" customFormat="false" ht="14.25" hidden="false" customHeight="false" outlineLevel="0" collapsed="false">
      <c r="A2436" s="16" t="s">
        <v>32</v>
      </c>
      <c r="B2436" s="16" t="s">
        <v>155</v>
      </c>
      <c r="C2436" s="16" t="s">
        <v>176</v>
      </c>
      <c r="D2436" s="38" t="n">
        <v>1</v>
      </c>
      <c r="E2436" s="39" t="n">
        <v>2612.9</v>
      </c>
      <c r="F2436" s="22" t="n">
        <f aca="false">IFERROR(D2436*E2436,0)</f>
        <v>2612.9</v>
      </c>
      <c r="G2436" s="16" t="str">
        <f aca="false">INDEX(SETORES!$B:$B,MATCH(A2436,SETORES!$A:$A,0))</f>
        <v>Funcionários</v>
      </c>
      <c r="H2436" s="16" t="s">
        <v>259</v>
      </c>
    </row>
    <row r="2437" customFormat="false" ht="14.25" hidden="false" customHeight="false" outlineLevel="0" collapsed="false">
      <c r="A2437" s="16" t="s">
        <v>55</v>
      </c>
      <c r="B2437" s="16" t="s">
        <v>155</v>
      </c>
      <c r="C2437" s="16" t="s">
        <v>185</v>
      </c>
      <c r="D2437" s="38" t="n">
        <v>1</v>
      </c>
      <c r="E2437" s="39" t="n">
        <v>99</v>
      </c>
      <c r="F2437" s="22" t="n">
        <f aca="false">IFERROR(D2437*E2437,0)</f>
        <v>99</v>
      </c>
      <c r="G2437" s="16" t="str">
        <f aca="false">INDEX(SETORES!$B:$B,MATCH(A2437,SETORES!$A:$A,0))</f>
        <v>Funcionários</v>
      </c>
      <c r="H2437" s="16" t="s">
        <v>259</v>
      </c>
    </row>
    <row r="2438" customFormat="false" ht="14.25" hidden="false" customHeight="false" outlineLevel="0" collapsed="false">
      <c r="A2438" s="16" t="s">
        <v>36</v>
      </c>
      <c r="B2438" s="16" t="s">
        <v>155</v>
      </c>
      <c r="C2438" s="16" t="s">
        <v>242</v>
      </c>
      <c r="D2438" s="38"/>
      <c r="E2438" s="39"/>
      <c r="F2438" s="22" t="n">
        <f aca="false">IFERROR(D2438*E2438,0)</f>
        <v>0</v>
      </c>
      <c r="G2438" s="16" t="str">
        <f aca="false">INDEX(SETORES!$B:$B,MATCH(A2438,SETORES!$A:$A,0))</f>
        <v>Clientes</v>
      </c>
      <c r="H2438" s="16" t="s">
        <v>259</v>
      </c>
    </row>
    <row r="2439" customFormat="false" ht="14.25" hidden="false" customHeight="false" outlineLevel="0" collapsed="false">
      <c r="A2439" s="16" t="s">
        <v>33</v>
      </c>
      <c r="B2439" s="16" t="s">
        <v>155</v>
      </c>
      <c r="C2439" s="16" t="s">
        <v>177</v>
      </c>
      <c r="D2439" s="38" t="n">
        <v>1</v>
      </c>
      <c r="E2439" s="39" t="n">
        <v>2559.44</v>
      </c>
      <c r="F2439" s="22" t="n">
        <f aca="false">IFERROR(D2439*E2439,0)</f>
        <v>2559.44</v>
      </c>
      <c r="G2439" s="16" t="str">
        <f aca="false">INDEX(SETORES!$B:$B,MATCH(A2439,SETORES!$A:$A,0))</f>
        <v>Funcionários</v>
      </c>
      <c r="H2439" s="16" t="s">
        <v>259</v>
      </c>
    </row>
    <row r="2440" customFormat="false" ht="14.25" hidden="false" customHeight="false" outlineLevel="0" collapsed="false">
      <c r="A2440" s="16" t="s">
        <v>33</v>
      </c>
      <c r="B2440" s="16" t="s">
        <v>155</v>
      </c>
      <c r="C2440" s="16" t="s">
        <v>239</v>
      </c>
      <c r="D2440" s="38"/>
      <c r="E2440" s="39"/>
      <c r="F2440" s="22" t="n">
        <f aca="false">IFERROR(D2440*E2440,0)</f>
        <v>0</v>
      </c>
      <c r="G2440" s="16" t="str">
        <f aca="false">INDEX(SETORES!$B:$B,MATCH(A2440,SETORES!$A:$A,0))</f>
        <v>Funcionários</v>
      </c>
      <c r="H2440" s="16" t="s">
        <v>259</v>
      </c>
    </row>
    <row r="2441" customFormat="false" ht="14.25" hidden="false" customHeight="false" outlineLevel="0" collapsed="false">
      <c r="A2441" s="16" t="s">
        <v>32</v>
      </c>
      <c r="B2441" s="16" t="s">
        <v>155</v>
      </c>
      <c r="C2441" s="16" t="s">
        <v>174</v>
      </c>
      <c r="D2441" s="38" t="n">
        <v>1</v>
      </c>
      <c r="E2441" s="39" t="n">
        <v>2000</v>
      </c>
      <c r="F2441" s="22" t="n">
        <f aca="false">IFERROR(D2441*E2441,0)</f>
        <v>2000</v>
      </c>
      <c r="G2441" s="16" t="str">
        <f aca="false">INDEX(SETORES!$B:$B,MATCH(A2441,SETORES!$A:$A,0))</f>
        <v>Funcionários</v>
      </c>
      <c r="H2441" s="16" t="s">
        <v>259</v>
      </c>
    </row>
    <row r="2442" customFormat="false" ht="14.25" hidden="false" customHeight="false" outlineLevel="0" collapsed="false">
      <c r="A2442" s="16" t="s">
        <v>33</v>
      </c>
      <c r="B2442" s="16" t="s">
        <v>155</v>
      </c>
      <c r="C2442" s="16" t="s">
        <v>179</v>
      </c>
      <c r="D2442" s="38"/>
      <c r="E2442" s="39"/>
      <c r="F2442" s="22" t="n">
        <f aca="false">IFERROR(D2442*E2442,0)</f>
        <v>0</v>
      </c>
      <c r="G2442" s="16" t="str">
        <f aca="false">INDEX(SETORES!$B:$B,MATCH(A2442,SETORES!$A:$A,0))</f>
        <v>Funcionários</v>
      </c>
      <c r="H2442" s="16" t="s">
        <v>259</v>
      </c>
    </row>
    <row r="2443" customFormat="false" ht="14.25" hidden="false" customHeight="false" outlineLevel="0" collapsed="false">
      <c r="A2443" s="16" t="s">
        <v>33</v>
      </c>
      <c r="B2443" s="16" t="s">
        <v>155</v>
      </c>
      <c r="C2443" s="16" t="s">
        <v>180</v>
      </c>
      <c r="D2443" s="38"/>
      <c r="E2443" s="39"/>
      <c r="F2443" s="22" t="n">
        <f aca="false">IFERROR(D2443*E2443,0)</f>
        <v>0</v>
      </c>
      <c r="G2443" s="16" t="str">
        <f aca="false">INDEX(SETORES!$B:$B,MATCH(A2443,SETORES!$A:$A,0))</f>
        <v>Funcionários</v>
      </c>
      <c r="H2443" s="16" t="s">
        <v>259</v>
      </c>
    </row>
    <row r="2444" customFormat="false" ht="14.25" hidden="false" customHeight="false" outlineLevel="0" collapsed="false">
      <c r="A2444" s="16" t="s">
        <v>40</v>
      </c>
      <c r="B2444" s="16" t="s">
        <v>155</v>
      </c>
      <c r="C2444" s="16" t="s">
        <v>181</v>
      </c>
      <c r="D2444" s="38" t="n">
        <v>1</v>
      </c>
      <c r="E2444" s="39" t="n">
        <v>2559.45</v>
      </c>
      <c r="F2444" s="22" t="n">
        <f aca="false">IFERROR(D2444*E2444,0)</f>
        <v>2559.45</v>
      </c>
      <c r="G2444" s="16" t="str">
        <f aca="false">INDEX(SETORES!$B:$B,MATCH(A2444,SETORES!$A:$A,0))</f>
        <v>Clientes</v>
      </c>
      <c r="H2444" s="16" t="s">
        <v>259</v>
      </c>
    </row>
    <row r="2445" customFormat="false" ht="14.25" hidden="false" customHeight="false" outlineLevel="0" collapsed="false">
      <c r="A2445" s="16" t="s">
        <v>55</v>
      </c>
      <c r="B2445" s="16" t="s">
        <v>155</v>
      </c>
      <c r="C2445" s="16" t="s">
        <v>243</v>
      </c>
      <c r="D2445" s="38" t="n">
        <v>1</v>
      </c>
      <c r="E2445" s="39" t="n">
        <v>1787.09</v>
      </c>
      <c r="F2445" s="22" t="n">
        <f aca="false">IFERROR(D2445*E2445,0)</f>
        <v>1787.09</v>
      </c>
      <c r="G2445" s="16" t="str">
        <f aca="false">INDEX(SETORES!$B:$B,MATCH(A2445,SETORES!$A:$A,0))</f>
        <v>Funcionários</v>
      </c>
      <c r="H2445" s="16" t="s">
        <v>259</v>
      </c>
    </row>
    <row r="2446" customFormat="false" ht="14.25" hidden="false" customHeight="false" outlineLevel="0" collapsed="false">
      <c r="A2446" s="16" t="s">
        <v>45</v>
      </c>
      <c r="B2446" s="16" t="s">
        <v>155</v>
      </c>
      <c r="C2446" s="16" t="s">
        <v>244</v>
      </c>
      <c r="D2446" s="38"/>
      <c r="E2446" s="39"/>
      <c r="F2446" s="22" t="n">
        <f aca="false">IFERROR(D2446*E2446,0)</f>
        <v>0</v>
      </c>
      <c r="G2446" s="16" t="str">
        <f aca="false">INDEX(SETORES!$B:$B,MATCH(A2446,SETORES!$A:$A,0))</f>
        <v>Clientes</v>
      </c>
      <c r="H2446" s="16" t="s">
        <v>259</v>
      </c>
    </row>
    <row r="2447" customFormat="false" ht="14.25" hidden="false" customHeight="false" outlineLevel="0" collapsed="false">
      <c r="A2447" s="16" t="s">
        <v>48</v>
      </c>
      <c r="B2447" s="16" t="s">
        <v>155</v>
      </c>
      <c r="C2447" s="16" t="s">
        <v>186</v>
      </c>
      <c r="D2447" s="38"/>
      <c r="E2447" s="39"/>
      <c r="F2447" s="22" t="n">
        <f aca="false">IFERROR(D2447*E2447,0)</f>
        <v>0</v>
      </c>
      <c r="G2447" s="16" t="str">
        <f aca="false">INDEX(SETORES!$B:$B,MATCH(A2447,SETORES!$A:$A,0))</f>
        <v>Clientes</v>
      </c>
      <c r="H2447" s="16" t="s">
        <v>259</v>
      </c>
    </row>
    <row r="2448" customFormat="false" ht="14.25" hidden="false" customHeight="false" outlineLevel="0" collapsed="false">
      <c r="A2448" s="16" t="s">
        <v>55</v>
      </c>
      <c r="B2448" s="16" t="s">
        <v>155</v>
      </c>
      <c r="C2448" s="16" t="s">
        <v>245</v>
      </c>
      <c r="D2448" s="38"/>
      <c r="E2448" s="39"/>
      <c r="F2448" s="22" t="n">
        <f aca="false">IFERROR(D2448*E2448,0)</f>
        <v>0</v>
      </c>
      <c r="G2448" s="16" t="str">
        <f aca="false">INDEX(SETORES!$B:$B,MATCH(A2448,SETORES!$A:$A,0))</f>
        <v>Funcionários</v>
      </c>
      <c r="H2448" s="16" t="s">
        <v>259</v>
      </c>
    </row>
    <row r="2449" customFormat="false" ht="14.25" hidden="false" customHeight="false" outlineLevel="0" collapsed="false">
      <c r="A2449" s="16" t="s">
        <v>35</v>
      </c>
      <c r="B2449" s="16" t="s">
        <v>155</v>
      </c>
      <c r="C2449" s="16" t="s">
        <v>156</v>
      </c>
      <c r="D2449" s="38"/>
      <c r="E2449" s="39"/>
      <c r="F2449" s="22" t="n">
        <f aca="false">IFERROR(D2449*E2449,0)</f>
        <v>0</v>
      </c>
      <c r="G2449" s="16" t="str">
        <f aca="false">INDEX(SETORES!$B:$B,MATCH(A2449,SETORES!$A:$A,0))</f>
        <v>Clientes</v>
      </c>
      <c r="H2449" s="16" t="s">
        <v>259</v>
      </c>
    </row>
    <row r="2450" customFormat="false" ht="14.25" hidden="false" customHeight="false" outlineLevel="0" collapsed="false">
      <c r="A2450" s="16" t="s">
        <v>35</v>
      </c>
      <c r="B2450" s="16" t="s">
        <v>155</v>
      </c>
      <c r="C2450" s="16" t="s">
        <v>157</v>
      </c>
      <c r="D2450" s="38"/>
      <c r="E2450" s="39"/>
      <c r="F2450" s="22" t="n">
        <f aca="false">IFERROR(D2450*E2450,0)</f>
        <v>0</v>
      </c>
      <c r="G2450" s="16" t="str">
        <f aca="false">INDEX(SETORES!$B:$B,MATCH(A2450,SETORES!$A:$A,0))</f>
        <v>Clientes</v>
      </c>
      <c r="H2450" s="16" t="s">
        <v>259</v>
      </c>
    </row>
    <row r="2451" customFormat="false" ht="14.25" hidden="false" customHeight="false" outlineLevel="0" collapsed="false">
      <c r="A2451" s="16" t="s">
        <v>35</v>
      </c>
      <c r="B2451" s="16" t="s">
        <v>155</v>
      </c>
      <c r="C2451" s="16" t="s">
        <v>158</v>
      </c>
      <c r="D2451" s="38"/>
      <c r="E2451" s="39"/>
      <c r="F2451" s="22" t="n">
        <f aca="false">IFERROR(D2451*E2451,0)</f>
        <v>0</v>
      </c>
      <c r="G2451" s="16" t="str">
        <f aca="false">INDEX(SETORES!$B:$B,MATCH(A2451,SETORES!$A:$A,0))</f>
        <v>Clientes</v>
      </c>
      <c r="H2451" s="16" t="s">
        <v>259</v>
      </c>
    </row>
    <row r="2452" customFormat="false" ht="14.25" hidden="false" customHeight="false" outlineLevel="0" collapsed="false">
      <c r="A2452" s="16" t="s">
        <v>35</v>
      </c>
      <c r="B2452" s="16" t="s">
        <v>155</v>
      </c>
      <c r="C2452" s="16" t="s">
        <v>159</v>
      </c>
      <c r="D2452" s="38"/>
      <c r="E2452" s="39"/>
      <c r="F2452" s="22" t="n">
        <f aca="false">IFERROR(D2452*E2452,0)</f>
        <v>0</v>
      </c>
      <c r="G2452" s="16" t="str">
        <f aca="false">INDEX(SETORES!$B:$B,MATCH(A2452,SETORES!$A:$A,0))</f>
        <v>Clientes</v>
      </c>
      <c r="H2452" s="16" t="s">
        <v>259</v>
      </c>
    </row>
    <row r="2453" customFormat="false" ht="14.25" hidden="false" customHeight="false" outlineLevel="0" collapsed="false">
      <c r="A2453" s="16" t="s">
        <v>35</v>
      </c>
      <c r="B2453" s="16" t="s">
        <v>155</v>
      </c>
      <c r="C2453" s="16" t="s">
        <v>160</v>
      </c>
      <c r="D2453" s="38"/>
      <c r="E2453" s="39"/>
      <c r="F2453" s="22" t="n">
        <f aca="false">IFERROR(D2453*E2453,0)</f>
        <v>0</v>
      </c>
      <c r="G2453" s="16" t="str">
        <f aca="false">INDEX(SETORES!$B:$B,MATCH(A2453,SETORES!$A:$A,0))</f>
        <v>Clientes</v>
      </c>
      <c r="H2453" s="16" t="s">
        <v>259</v>
      </c>
    </row>
    <row r="2454" customFormat="false" ht="14.25" hidden="false" customHeight="false" outlineLevel="0" collapsed="false">
      <c r="A2454" s="16" t="s">
        <v>35</v>
      </c>
      <c r="B2454" s="16" t="s">
        <v>155</v>
      </c>
      <c r="C2454" s="16" t="s">
        <v>161</v>
      </c>
      <c r="D2454" s="38" t="n">
        <v>1</v>
      </c>
      <c r="E2454" s="39" t="n">
        <v>21051.01</v>
      </c>
      <c r="F2454" s="22" t="n">
        <f aca="false">IFERROR(D2454*E2454,0)</f>
        <v>21051.01</v>
      </c>
      <c r="G2454" s="16" t="str">
        <f aca="false">INDEX(SETORES!$B:$B,MATCH(A2454,SETORES!$A:$A,0))</f>
        <v>Clientes</v>
      </c>
      <c r="H2454" s="16" t="s">
        <v>259</v>
      </c>
    </row>
    <row r="2455" customFormat="false" ht="14.25" hidden="false" customHeight="false" outlineLevel="0" collapsed="false">
      <c r="A2455" s="16" t="s">
        <v>35</v>
      </c>
      <c r="B2455" s="16" t="s">
        <v>162</v>
      </c>
      <c r="C2455" s="16" t="s">
        <v>163</v>
      </c>
      <c r="D2455" s="38"/>
      <c r="E2455" s="39"/>
      <c r="F2455" s="22" t="n">
        <f aca="false">IFERROR(D2455*E2455,0)</f>
        <v>0</v>
      </c>
      <c r="G2455" s="16" t="str">
        <f aca="false">INDEX(SETORES!$B:$B,MATCH(A2455,SETORES!$A:$A,0))</f>
        <v>Clientes</v>
      </c>
      <c r="H2455" s="16" t="s">
        <v>259</v>
      </c>
    </row>
    <row r="2456" customFormat="false" ht="14.25" hidden="false" customHeight="false" outlineLevel="0" collapsed="false">
      <c r="A2456" s="16" t="s">
        <v>35</v>
      </c>
      <c r="B2456" s="16" t="s">
        <v>162</v>
      </c>
      <c r="C2456" s="16" t="s">
        <v>164</v>
      </c>
      <c r="D2456" s="38"/>
      <c r="E2456" s="39"/>
      <c r="F2456" s="22" t="n">
        <f aca="false">IFERROR(D2456*E2456,0)</f>
        <v>0</v>
      </c>
      <c r="G2456" s="16" t="str">
        <f aca="false">INDEX(SETORES!$B:$B,MATCH(A2456,SETORES!$A:$A,0))</f>
        <v>Clientes</v>
      </c>
      <c r="H2456" s="16" t="s">
        <v>259</v>
      </c>
    </row>
    <row r="2457" customFormat="false" ht="14.25" hidden="false" customHeight="false" outlineLevel="0" collapsed="false">
      <c r="A2457" s="16" t="s">
        <v>35</v>
      </c>
      <c r="B2457" s="16" t="s">
        <v>162</v>
      </c>
      <c r="C2457" s="16" t="s">
        <v>165</v>
      </c>
      <c r="D2457" s="38"/>
      <c r="E2457" s="39"/>
      <c r="F2457" s="22" t="n">
        <f aca="false">IFERROR(D2457*E2457,0)</f>
        <v>0</v>
      </c>
      <c r="G2457" s="16" t="str">
        <f aca="false">INDEX(SETORES!$B:$B,MATCH(A2457,SETORES!$A:$A,0))</f>
        <v>Clientes</v>
      </c>
      <c r="H2457" s="16" t="s">
        <v>259</v>
      </c>
    </row>
    <row r="2458" customFormat="false" ht="14.25" hidden="false" customHeight="false" outlineLevel="0" collapsed="false">
      <c r="A2458" s="16" t="s">
        <v>35</v>
      </c>
      <c r="B2458" s="16" t="s">
        <v>155</v>
      </c>
      <c r="C2458" s="16" t="s">
        <v>166</v>
      </c>
      <c r="D2458" s="38" t="n">
        <v>5</v>
      </c>
      <c r="E2458" s="39" t="n">
        <v>50</v>
      </c>
      <c r="F2458" s="22" t="n">
        <f aca="false">IFERROR(D2458*E2458,0)</f>
        <v>250</v>
      </c>
      <c r="G2458" s="16" t="str">
        <f aca="false">INDEX(SETORES!$B:$B,MATCH(A2458,SETORES!$A:$A,0))</f>
        <v>Clientes</v>
      </c>
      <c r="H2458" s="16" t="s">
        <v>259</v>
      </c>
    </row>
    <row r="2459" customFormat="false" ht="14.25" hidden="false" customHeight="false" outlineLevel="0" collapsed="false">
      <c r="A2459" s="16" t="s">
        <v>35</v>
      </c>
      <c r="B2459" s="16" t="s">
        <v>155</v>
      </c>
      <c r="C2459" s="16" t="s">
        <v>167</v>
      </c>
      <c r="D2459" s="38"/>
      <c r="E2459" s="39"/>
      <c r="F2459" s="22" t="n">
        <f aca="false">IFERROR(D2459*E2459,0)</f>
        <v>0</v>
      </c>
      <c r="G2459" s="16" t="str">
        <f aca="false">INDEX(SETORES!$B:$B,MATCH(A2459,SETORES!$A:$A,0))</f>
        <v>Clientes</v>
      </c>
      <c r="H2459" s="16" t="s">
        <v>259</v>
      </c>
    </row>
    <row r="2460" customFormat="false" ht="14.25" hidden="false" customHeight="false" outlineLevel="0" collapsed="false">
      <c r="A2460" s="16" t="s">
        <v>35</v>
      </c>
      <c r="B2460" s="16" t="s">
        <v>155</v>
      </c>
      <c r="C2460" s="16" t="s">
        <v>168</v>
      </c>
      <c r="D2460" s="38" t="n">
        <v>5</v>
      </c>
      <c r="E2460" s="39" t="n">
        <v>1.87</v>
      </c>
      <c r="F2460" s="22" t="n">
        <f aca="false">IFERROR(D2460*E2460,0)</f>
        <v>9.35</v>
      </c>
      <c r="G2460" s="16" t="str">
        <f aca="false">INDEX(SETORES!$B:$B,MATCH(A2460,SETORES!$A:$A,0))</f>
        <v>Clientes</v>
      </c>
      <c r="H2460" s="16" t="s">
        <v>259</v>
      </c>
    </row>
    <row r="2461" customFormat="false" ht="14.25" hidden="false" customHeight="false" outlineLevel="0" collapsed="false">
      <c r="A2461" s="16" t="s">
        <v>38</v>
      </c>
      <c r="B2461" s="16" t="s">
        <v>155</v>
      </c>
      <c r="C2461" s="16" t="s">
        <v>156</v>
      </c>
      <c r="D2461" s="38" t="n">
        <v>1</v>
      </c>
      <c r="E2461" s="39" t="n">
        <v>3.74</v>
      </c>
      <c r="F2461" s="22" t="n">
        <f aca="false">IFERROR(D2461*E2461,0)</f>
        <v>3.74</v>
      </c>
      <c r="G2461" s="16" t="str">
        <f aca="false">INDEX(SETORES!$B:$B,MATCH(A2461,SETORES!$A:$A,0))</f>
        <v>Clientes</v>
      </c>
      <c r="H2461" s="16" t="s">
        <v>259</v>
      </c>
    </row>
    <row r="2462" customFormat="false" ht="14.25" hidden="false" customHeight="false" outlineLevel="0" collapsed="false">
      <c r="A2462" s="16" t="s">
        <v>38</v>
      </c>
      <c r="B2462" s="16" t="s">
        <v>155</v>
      </c>
      <c r="C2462" s="16" t="s">
        <v>157</v>
      </c>
      <c r="D2462" s="38" t="n">
        <v>1</v>
      </c>
      <c r="E2462" s="39" t="n">
        <v>657.21</v>
      </c>
      <c r="F2462" s="22" t="n">
        <f aca="false">IFERROR(D2462*E2462,0)</f>
        <v>657.21</v>
      </c>
      <c r="G2462" s="16" t="str">
        <f aca="false">INDEX(SETORES!$B:$B,MATCH(A2462,SETORES!$A:$A,0))</f>
        <v>Clientes</v>
      </c>
      <c r="H2462" s="16" t="s">
        <v>259</v>
      </c>
    </row>
    <row r="2463" customFormat="false" ht="14.25" hidden="false" customHeight="false" outlineLevel="0" collapsed="false">
      <c r="A2463" s="16" t="s">
        <v>38</v>
      </c>
      <c r="B2463" s="16" t="s">
        <v>155</v>
      </c>
      <c r="C2463" s="16" t="s">
        <v>158</v>
      </c>
      <c r="D2463" s="38"/>
      <c r="E2463" s="39"/>
      <c r="F2463" s="22" t="n">
        <f aca="false">IFERROR(D2463*E2463,0)</f>
        <v>0</v>
      </c>
      <c r="G2463" s="16" t="str">
        <f aca="false">INDEX(SETORES!$B:$B,MATCH(A2463,SETORES!$A:$A,0))</f>
        <v>Clientes</v>
      </c>
      <c r="H2463" s="16" t="s">
        <v>259</v>
      </c>
    </row>
    <row r="2464" customFormat="false" ht="14.25" hidden="false" customHeight="false" outlineLevel="0" collapsed="false">
      <c r="A2464" s="16" t="s">
        <v>38</v>
      </c>
      <c r="B2464" s="16" t="s">
        <v>155</v>
      </c>
      <c r="C2464" s="16" t="s">
        <v>159</v>
      </c>
      <c r="D2464" s="38"/>
      <c r="E2464" s="39"/>
      <c r="F2464" s="22" t="n">
        <f aca="false">IFERROR(D2464*E2464,0)</f>
        <v>0</v>
      </c>
      <c r="G2464" s="16" t="str">
        <f aca="false">INDEX(SETORES!$B:$B,MATCH(A2464,SETORES!$A:$A,0))</f>
        <v>Clientes</v>
      </c>
      <c r="H2464" s="16" t="s">
        <v>259</v>
      </c>
    </row>
    <row r="2465" customFormat="false" ht="14.25" hidden="false" customHeight="false" outlineLevel="0" collapsed="false">
      <c r="A2465" s="16" t="s">
        <v>38</v>
      </c>
      <c r="B2465" s="16" t="s">
        <v>155</v>
      </c>
      <c r="C2465" s="16" t="s">
        <v>160</v>
      </c>
      <c r="D2465" s="38"/>
      <c r="E2465" s="39"/>
      <c r="F2465" s="22" t="n">
        <f aca="false">IFERROR(D2465*E2465,0)</f>
        <v>0</v>
      </c>
      <c r="G2465" s="16" t="str">
        <f aca="false">INDEX(SETORES!$B:$B,MATCH(A2465,SETORES!$A:$A,0))</f>
        <v>Clientes</v>
      </c>
      <c r="H2465" s="16" t="s">
        <v>259</v>
      </c>
    </row>
    <row r="2466" customFormat="false" ht="14.25" hidden="false" customHeight="false" outlineLevel="0" collapsed="false">
      <c r="A2466" s="16" t="s">
        <v>38</v>
      </c>
      <c r="B2466" s="16" t="s">
        <v>155</v>
      </c>
      <c r="C2466" s="16" t="s">
        <v>161</v>
      </c>
      <c r="D2466" s="38" t="n">
        <v>1</v>
      </c>
      <c r="E2466" s="39" t="n">
        <v>42492.05</v>
      </c>
      <c r="F2466" s="22" t="n">
        <f aca="false">IFERROR(D2466*E2466,0)</f>
        <v>42492.05</v>
      </c>
      <c r="G2466" s="16" t="str">
        <f aca="false">INDEX(SETORES!$B:$B,MATCH(A2466,SETORES!$A:$A,0))</f>
        <v>Clientes</v>
      </c>
      <c r="H2466" s="16" t="s">
        <v>259</v>
      </c>
    </row>
    <row r="2467" customFormat="false" ht="14.25" hidden="false" customHeight="false" outlineLevel="0" collapsed="false">
      <c r="A2467" s="16" t="s">
        <v>38</v>
      </c>
      <c r="B2467" s="16" t="s">
        <v>162</v>
      </c>
      <c r="C2467" s="16" t="s">
        <v>163</v>
      </c>
      <c r="D2467" s="38"/>
      <c r="E2467" s="39"/>
      <c r="F2467" s="22" t="n">
        <f aca="false">IFERROR(D2467*E2467,0)</f>
        <v>0</v>
      </c>
      <c r="G2467" s="16" t="str">
        <f aca="false">INDEX(SETORES!$B:$B,MATCH(A2467,SETORES!$A:$A,0))</f>
        <v>Clientes</v>
      </c>
      <c r="H2467" s="16" t="s">
        <v>259</v>
      </c>
    </row>
    <row r="2468" customFormat="false" ht="14.25" hidden="false" customHeight="false" outlineLevel="0" collapsed="false">
      <c r="A2468" s="16" t="s">
        <v>38</v>
      </c>
      <c r="B2468" s="16" t="s">
        <v>162</v>
      </c>
      <c r="C2468" s="16" t="s">
        <v>164</v>
      </c>
      <c r="D2468" s="38"/>
      <c r="E2468" s="39"/>
      <c r="F2468" s="22" t="n">
        <f aca="false">IFERROR(D2468*E2468,0)</f>
        <v>0</v>
      </c>
      <c r="G2468" s="16" t="str">
        <f aca="false">INDEX(SETORES!$B:$B,MATCH(A2468,SETORES!$A:$A,0))</f>
        <v>Clientes</v>
      </c>
      <c r="H2468" s="16" t="s">
        <v>259</v>
      </c>
    </row>
    <row r="2469" customFormat="false" ht="14.25" hidden="false" customHeight="false" outlineLevel="0" collapsed="false">
      <c r="A2469" s="16" t="s">
        <v>38</v>
      </c>
      <c r="B2469" s="16" t="s">
        <v>162</v>
      </c>
      <c r="C2469" s="16" t="s">
        <v>222</v>
      </c>
      <c r="D2469" s="38"/>
      <c r="E2469" s="39"/>
      <c r="F2469" s="22" t="n">
        <f aca="false">IFERROR(D2469*E2469,0)</f>
        <v>0</v>
      </c>
      <c r="G2469" s="16" t="str">
        <f aca="false">INDEX(SETORES!$B:$B,MATCH(A2469,SETORES!$A:$A,0))</f>
        <v>Clientes</v>
      </c>
      <c r="H2469" s="16" t="s">
        <v>259</v>
      </c>
    </row>
    <row r="2470" customFormat="false" ht="14.25" hidden="false" customHeight="false" outlineLevel="0" collapsed="false">
      <c r="A2470" s="16" t="s">
        <v>38</v>
      </c>
      <c r="B2470" s="16" t="s">
        <v>155</v>
      </c>
      <c r="C2470" s="16" t="s">
        <v>166</v>
      </c>
      <c r="D2470" s="38" t="n">
        <v>13</v>
      </c>
      <c r="E2470" s="39" t="n">
        <v>50</v>
      </c>
      <c r="F2470" s="22" t="n">
        <f aca="false">IFERROR(D2470*E2470,0)</f>
        <v>650</v>
      </c>
      <c r="G2470" s="16" t="str">
        <f aca="false">INDEX(SETORES!$B:$B,MATCH(A2470,SETORES!$A:$A,0))</f>
        <v>Clientes</v>
      </c>
      <c r="H2470" s="16" t="s">
        <v>259</v>
      </c>
    </row>
    <row r="2471" customFormat="false" ht="14.25" hidden="false" customHeight="false" outlineLevel="0" collapsed="false">
      <c r="A2471" s="16" t="s">
        <v>38</v>
      </c>
      <c r="B2471" s="16" t="s">
        <v>155</v>
      </c>
      <c r="C2471" s="16" t="s">
        <v>187</v>
      </c>
      <c r="D2471" s="38"/>
      <c r="E2471" s="39"/>
      <c r="F2471" s="22" t="n">
        <f aca="false">IFERROR(D2471*E2471,0)</f>
        <v>0</v>
      </c>
      <c r="G2471" s="16" t="str">
        <f aca="false">INDEX(SETORES!$B:$B,MATCH(A2471,SETORES!$A:$A,0))</f>
        <v>Clientes</v>
      </c>
      <c r="H2471" s="16" t="s">
        <v>259</v>
      </c>
    </row>
    <row r="2472" customFormat="false" ht="14.25" hidden="false" customHeight="false" outlineLevel="0" collapsed="false">
      <c r="A2472" s="16" t="s">
        <v>38</v>
      </c>
      <c r="B2472" s="16" t="s">
        <v>155</v>
      </c>
      <c r="C2472" s="16" t="s">
        <v>240</v>
      </c>
      <c r="D2472" s="38"/>
      <c r="E2472" s="39"/>
      <c r="F2472" s="22" t="n">
        <f aca="false">IFERROR(D2472*E2472,0)</f>
        <v>0</v>
      </c>
      <c r="G2472" s="16" t="str">
        <f aca="false">INDEX(SETORES!$B:$B,MATCH(A2472,SETORES!$A:$A,0))</f>
        <v>Clientes</v>
      </c>
      <c r="H2472" s="16" t="s">
        <v>259</v>
      </c>
    </row>
    <row r="2473" customFormat="false" ht="14.25" hidden="false" customHeight="false" outlineLevel="0" collapsed="false">
      <c r="A2473" s="16" t="s">
        <v>38</v>
      </c>
      <c r="B2473" s="16" t="s">
        <v>155</v>
      </c>
      <c r="C2473" s="16" t="s">
        <v>167</v>
      </c>
      <c r="D2473" s="38"/>
      <c r="E2473" s="39"/>
      <c r="F2473" s="22" t="n">
        <f aca="false">IFERROR(D2473*E2473,0)</f>
        <v>0</v>
      </c>
      <c r="G2473" s="16" t="str">
        <f aca="false">INDEX(SETORES!$B:$B,MATCH(A2473,SETORES!$A:$A,0))</f>
        <v>Clientes</v>
      </c>
      <c r="H2473" s="16" t="s">
        <v>259</v>
      </c>
    </row>
    <row r="2474" customFormat="false" ht="14.25" hidden="false" customHeight="false" outlineLevel="0" collapsed="false">
      <c r="A2474" s="16" t="s">
        <v>38</v>
      </c>
      <c r="B2474" s="16" t="s">
        <v>155</v>
      </c>
      <c r="C2474" s="16" t="s">
        <v>168</v>
      </c>
      <c r="D2474" s="38" t="n">
        <v>13</v>
      </c>
      <c r="E2474" s="39" t="n">
        <v>1.87</v>
      </c>
      <c r="F2474" s="22" t="n">
        <f aca="false">IFERROR(D2474*E2474,0)</f>
        <v>24.31</v>
      </c>
      <c r="G2474" s="16" t="str">
        <f aca="false">INDEX(SETORES!$B:$B,MATCH(A2474,SETORES!$A:$A,0))</f>
        <v>Clientes</v>
      </c>
      <c r="H2474" s="16" t="s">
        <v>259</v>
      </c>
    </row>
    <row r="2475" customFormat="false" ht="14.25" hidden="false" customHeight="false" outlineLevel="0" collapsed="false">
      <c r="A2475" s="16" t="s">
        <v>54</v>
      </c>
      <c r="B2475" s="16" t="s">
        <v>162</v>
      </c>
      <c r="C2475" s="16" t="s">
        <v>194</v>
      </c>
      <c r="D2475" s="38"/>
      <c r="E2475" s="39"/>
      <c r="F2475" s="22" t="n">
        <f aca="false">IFERROR(D2475*E2475,0)</f>
        <v>0</v>
      </c>
      <c r="G2475" s="16" t="str">
        <f aca="false">INDEX(SETORES!$B:$B,MATCH(A2475,SETORES!$A:$A,0))</f>
        <v>Clientes</v>
      </c>
      <c r="H2475" s="16" t="s">
        <v>259</v>
      </c>
    </row>
    <row r="2476" customFormat="false" ht="14.25" hidden="false" customHeight="false" outlineLevel="0" collapsed="false">
      <c r="A2476" s="16" t="s">
        <v>54</v>
      </c>
      <c r="B2476" s="16" t="s">
        <v>162</v>
      </c>
      <c r="C2476" s="16" t="s">
        <v>195</v>
      </c>
      <c r="D2476" s="38"/>
      <c r="E2476" s="39"/>
      <c r="F2476" s="22" t="n">
        <f aca="false">IFERROR(D2476*E2476,0)</f>
        <v>0</v>
      </c>
      <c r="G2476" s="16" t="str">
        <f aca="false">INDEX(SETORES!$B:$B,MATCH(A2476,SETORES!$A:$A,0))</f>
        <v>Clientes</v>
      </c>
      <c r="H2476" s="16" t="s">
        <v>259</v>
      </c>
    </row>
    <row r="2477" customFormat="false" ht="14.25" hidden="false" customHeight="false" outlineLevel="0" collapsed="false">
      <c r="A2477" s="16" t="s">
        <v>54</v>
      </c>
      <c r="B2477" s="16" t="s">
        <v>155</v>
      </c>
      <c r="C2477" s="16" t="s">
        <v>196</v>
      </c>
      <c r="D2477" s="38" t="n">
        <v>12</v>
      </c>
      <c r="E2477" s="39" t="n">
        <v>50</v>
      </c>
      <c r="F2477" s="22" t="n">
        <f aca="false">IFERROR(D2477*E2477,0)</f>
        <v>600</v>
      </c>
      <c r="G2477" s="16" t="str">
        <f aca="false">INDEX(SETORES!$B:$B,MATCH(A2477,SETORES!$A:$A,0))</f>
        <v>Clientes</v>
      </c>
      <c r="H2477" s="16" t="s">
        <v>259</v>
      </c>
    </row>
    <row r="2478" customFormat="false" ht="14.25" hidden="false" customHeight="false" outlineLevel="0" collapsed="false">
      <c r="A2478" s="16" t="s">
        <v>54</v>
      </c>
      <c r="B2478" s="16" t="s">
        <v>155</v>
      </c>
      <c r="C2478" s="16" t="s">
        <v>161</v>
      </c>
      <c r="D2478" s="38" t="n">
        <v>1</v>
      </c>
      <c r="E2478" s="39" t="n">
        <v>189839.41</v>
      </c>
      <c r="F2478" s="22" t="n">
        <f aca="false">IFERROR(D2478*E2478,0)</f>
        <v>189839.41</v>
      </c>
      <c r="G2478" s="16" t="str">
        <f aca="false">INDEX(SETORES!$B:$B,MATCH(A2478,SETORES!$A:$A,0))</f>
        <v>Clientes</v>
      </c>
      <c r="H2478" s="16" t="s">
        <v>259</v>
      </c>
    </row>
    <row r="2479" customFormat="false" ht="14.25" hidden="false" customHeight="false" outlineLevel="0" collapsed="false">
      <c r="A2479" s="16" t="s">
        <v>54</v>
      </c>
      <c r="B2479" s="16" t="s">
        <v>155</v>
      </c>
      <c r="C2479" s="16" t="s">
        <v>198</v>
      </c>
      <c r="D2479" s="38"/>
      <c r="E2479" s="39"/>
      <c r="F2479" s="22" t="n">
        <f aca="false">IFERROR(D2479*E2479,0)</f>
        <v>0</v>
      </c>
      <c r="G2479" s="16" t="str">
        <f aca="false">INDEX(SETORES!$B:$B,MATCH(A2479,SETORES!$A:$A,0))</f>
        <v>Clientes</v>
      </c>
      <c r="H2479" s="16" t="s">
        <v>259</v>
      </c>
    </row>
    <row r="2480" customFormat="false" ht="14.25" hidden="false" customHeight="false" outlineLevel="0" collapsed="false">
      <c r="A2480" s="16" t="s">
        <v>54</v>
      </c>
      <c r="B2480" s="16" t="s">
        <v>155</v>
      </c>
      <c r="C2480" s="16" t="s">
        <v>170</v>
      </c>
      <c r="D2480" s="38"/>
      <c r="E2480" s="39"/>
      <c r="F2480" s="22" t="n">
        <f aca="false">IFERROR(D2480*E2480,0)</f>
        <v>0</v>
      </c>
      <c r="G2480" s="16" t="str">
        <f aca="false">INDEX(SETORES!$B:$B,MATCH(A2480,SETORES!$A:$A,0))</f>
        <v>Clientes</v>
      </c>
      <c r="H2480" s="16" t="s">
        <v>259</v>
      </c>
    </row>
    <row r="2481" customFormat="false" ht="14.25" hidden="false" customHeight="false" outlineLevel="0" collapsed="false">
      <c r="A2481" s="16" t="s">
        <v>54</v>
      </c>
      <c r="B2481" s="16" t="s">
        <v>155</v>
      </c>
      <c r="C2481" s="16" t="s">
        <v>171</v>
      </c>
      <c r="D2481" s="38"/>
      <c r="E2481" s="39"/>
      <c r="F2481" s="22" t="n">
        <f aca="false">IFERROR(D2481*E2481,0)</f>
        <v>0</v>
      </c>
      <c r="G2481" s="16" t="str">
        <f aca="false">INDEX(SETORES!$B:$B,MATCH(A2481,SETORES!$A:$A,0))</f>
        <v>Clientes</v>
      </c>
      <c r="H2481" s="16" t="s">
        <v>259</v>
      </c>
    </row>
    <row r="2482" customFormat="false" ht="14.25" hidden="false" customHeight="false" outlineLevel="0" collapsed="false">
      <c r="A2482" s="16" t="s">
        <v>54</v>
      </c>
      <c r="B2482" s="16" t="s">
        <v>155</v>
      </c>
      <c r="C2482" s="16" t="s">
        <v>169</v>
      </c>
      <c r="D2482" s="38"/>
      <c r="E2482" s="39"/>
      <c r="F2482" s="22" t="n">
        <f aca="false">IFERROR(D2482*E2482,0)</f>
        <v>0</v>
      </c>
      <c r="G2482" s="16" t="str">
        <f aca="false">INDEX(SETORES!$B:$B,MATCH(A2482,SETORES!$A:$A,0))</f>
        <v>Clientes</v>
      </c>
      <c r="H2482" s="16" t="s">
        <v>259</v>
      </c>
    </row>
    <row r="2483" customFormat="false" ht="14.25" hidden="false" customHeight="false" outlineLevel="0" collapsed="false">
      <c r="A2483" s="16" t="s">
        <v>54</v>
      </c>
      <c r="B2483" s="16" t="s">
        <v>162</v>
      </c>
      <c r="C2483" s="16" t="s">
        <v>165</v>
      </c>
      <c r="D2483" s="38"/>
      <c r="E2483" s="39"/>
      <c r="F2483" s="22" t="n">
        <f aca="false">IFERROR(D2483*E2483,0)</f>
        <v>0</v>
      </c>
      <c r="G2483" s="16" t="str">
        <f aca="false">INDEX(SETORES!$B:$B,MATCH(A2483,SETORES!$A:$A,0))</f>
        <v>Clientes</v>
      </c>
      <c r="H2483" s="16" t="s">
        <v>259</v>
      </c>
    </row>
    <row r="2484" customFormat="false" ht="14.25" hidden="false" customHeight="false" outlineLevel="0" collapsed="false">
      <c r="A2484" s="16" t="s">
        <v>54</v>
      </c>
      <c r="B2484" s="16" t="s">
        <v>162</v>
      </c>
      <c r="C2484" s="16" t="s">
        <v>200</v>
      </c>
      <c r="D2484" s="38" t="n">
        <v>1</v>
      </c>
      <c r="E2484" s="39" t="n">
        <v>90</v>
      </c>
      <c r="F2484" s="22" t="n">
        <f aca="false">IFERROR(D2484*E2484,0)</f>
        <v>90</v>
      </c>
      <c r="G2484" s="16" t="str">
        <f aca="false">INDEX(SETORES!$B:$B,MATCH(A2484,SETORES!$A:$A,0))</f>
        <v>Clientes</v>
      </c>
      <c r="H2484" s="16" t="s">
        <v>259</v>
      </c>
    </row>
    <row r="2485" customFormat="false" ht="14.25" hidden="false" customHeight="false" outlineLevel="0" collapsed="false">
      <c r="A2485" s="16" t="s">
        <v>54</v>
      </c>
      <c r="B2485" s="16" t="s">
        <v>162</v>
      </c>
      <c r="C2485" s="16" t="s">
        <v>201</v>
      </c>
      <c r="D2485" s="38"/>
      <c r="E2485" s="39"/>
      <c r="F2485" s="22" t="n">
        <f aca="false">IFERROR(D2485*E2485,0)</f>
        <v>0</v>
      </c>
      <c r="G2485" s="16" t="str">
        <f aca="false">INDEX(SETORES!$B:$B,MATCH(A2485,SETORES!$A:$A,0))</f>
        <v>Clientes</v>
      </c>
      <c r="H2485" s="16" t="s">
        <v>259</v>
      </c>
    </row>
    <row r="2486" customFormat="false" ht="14.25" hidden="false" customHeight="false" outlineLevel="0" collapsed="false">
      <c r="A2486" s="16" t="s">
        <v>54</v>
      </c>
      <c r="B2486" s="16" t="s">
        <v>162</v>
      </c>
      <c r="C2486" s="16" t="s">
        <v>202</v>
      </c>
      <c r="D2486" s="38"/>
      <c r="E2486" s="39"/>
      <c r="F2486" s="22" t="n">
        <f aca="false">IFERROR(D2486*E2486,0)</f>
        <v>0</v>
      </c>
      <c r="G2486" s="16" t="str">
        <f aca="false">INDEX(SETORES!$B:$B,MATCH(A2486,SETORES!$A:$A,0))</f>
        <v>Clientes</v>
      </c>
      <c r="H2486" s="16" t="s">
        <v>259</v>
      </c>
    </row>
    <row r="2487" customFormat="false" ht="14.25" hidden="false" customHeight="false" outlineLevel="0" collapsed="false">
      <c r="A2487" s="16" t="s">
        <v>54</v>
      </c>
      <c r="B2487" s="16" t="s">
        <v>162</v>
      </c>
      <c r="C2487" s="16" t="s">
        <v>203</v>
      </c>
      <c r="D2487" s="38"/>
      <c r="E2487" s="39"/>
      <c r="F2487" s="22" t="n">
        <f aca="false">IFERROR(D2487*E2487,0)</f>
        <v>0</v>
      </c>
      <c r="G2487" s="16" t="str">
        <f aca="false">INDEX(SETORES!$B:$B,MATCH(A2487,SETORES!$A:$A,0))</f>
        <v>Clientes</v>
      </c>
      <c r="H2487" s="16" t="s">
        <v>259</v>
      </c>
    </row>
    <row r="2488" customFormat="false" ht="14.25" hidden="false" customHeight="false" outlineLevel="0" collapsed="false">
      <c r="A2488" s="16" t="s">
        <v>54</v>
      </c>
      <c r="B2488" s="16" t="s">
        <v>155</v>
      </c>
      <c r="C2488" s="16" t="s">
        <v>167</v>
      </c>
      <c r="D2488" s="38"/>
      <c r="E2488" s="39"/>
      <c r="F2488" s="22" t="n">
        <f aca="false">IFERROR(D2488*E2488,0)</f>
        <v>0</v>
      </c>
      <c r="G2488" s="16" t="str">
        <f aca="false">INDEX(SETORES!$B:$B,MATCH(A2488,SETORES!$A:$A,0))</f>
        <v>Clientes</v>
      </c>
      <c r="H2488" s="16" t="s">
        <v>259</v>
      </c>
    </row>
    <row r="2489" customFormat="false" ht="14.25" hidden="false" customHeight="false" outlineLevel="0" collapsed="false">
      <c r="A2489" s="16" t="s">
        <v>54</v>
      </c>
      <c r="B2489" s="16" t="s">
        <v>155</v>
      </c>
      <c r="C2489" s="16" t="s">
        <v>168</v>
      </c>
      <c r="D2489" s="38" t="n">
        <v>12</v>
      </c>
      <c r="E2489" s="39" t="n">
        <v>1.87</v>
      </c>
      <c r="F2489" s="22" t="n">
        <f aca="false">IFERROR(D2489*E2489,0)</f>
        <v>22.44</v>
      </c>
      <c r="G2489" s="16" t="str">
        <f aca="false">INDEX(SETORES!$B:$B,MATCH(A2489,SETORES!$A:$A,0))</f>
        <v>Clientes</v>
      </c>
      <c r="H2489" s="16" t="s">
        <v>259</v>
      </c>
    </row>
    <row r="2490" customFormat="false" ht="14.25" hidden="false" customHeight="false" outlineLevel="0" collapsed="false">
      <c r="A2490" s="16" t="s">
        <v>54</v>
      </c>
      <c r="B2490" s="16" t="s">
        <v>162</v>
      </c>
      <c r="C2490" s="16" t="s">
        <v>204</v>
      </c>
      <c r="D2490" s="38"/>
      <c r="E2490" s="39"/>
      <c r="F2490" s="22" t="n">
        <f aca="false">IFERROR(D2490*E2490,0)</f>
        <v>0</v>
      </c>
      <c r="G2490" s="16" t="str">
        <f aca="false">INDEX(SETORES!$B:$B,MATCH(A2490,SETORES!$A:$A,0))</f>
        <v>Clientes</v>
      </c>
      <c r="H2490" s="16" t="s">
        <v>259</v>
      </c>
    </row>
    <row r="2491" customFormat="false" ht="14.25" hidden="false" customHeight="false" outlineLevel="0" collapsed="false">
      <c r="A2491" s="16" t="s">
        <v>54</v>
      </c>
      <c r="B2491" s="16" t="s">
        <v>155</v>
      </c>
      <c r="C2491" s="16" t="s">
        <v>205</v>
      </c>
      <c r="D2491" s="38" t="n">
        <v>1</v>
      </c>
      <c r="E2491" s="39" t="n">
        <v>2997</v>
      </c>
      <c r="F2491" s="22" t="n">
        <f aca="false">IFERROR(D2491*E2491,0)</f>
        <v>2997</v>
      </c>
      <c r="G2491" s="16" t="str">
        <f aca="false">INDEX(SETORES!$B:$B,MATCH(A2491,SETORES!$A:$A,0))</f>
        <v>Clientes</v>
      </c>
      <c r="H2491" s="16" t="s">
        <v>259</v>
      </c>
    </row>
    <row r="2492" customFormat="false" ht="14.25" hidden="false" customHeight="false" outlineLevel="0" collapsed="false">
      <c r="A2492" s="16" t="s">
        <v>54</v>
      </c>
      <c r="B2492" s="16" t="s">
        <v>155</v>
      </c>
      <c r="C2492" s="16" t="s">
        <v>206</v>
      </c>
      <c r="D2492" s="38" t="n">
        <v>1</v>
      </c>
      <c r="E2492" s="39" t="n">
        <v>545.99</v>
      </c>
      <c r="F2492" s="22" t="n">
        <f aca="false">IFERROR(D2492*E2492,0)</f>
        <v>545.99</v>
      </c>
      <c r="G2492" s="16" t="str">
        <f aca="false">INDEX(SETORES!$B:$B,MATCH(A2492,SETORES!$A:$A,0))</f>
        <v>Clientes</v>
      </c>
      <c r="H2492" s="16" t="s">
        <v>259</v>
      </c>
    </row>
    <row r="2493" customFormat="false" ht="14.25" hidden="false" customHeight="false" outlineLevel="0" collapsed="false">
      <c r="A2493" s="16" t="s">
        <v>54</v>
      </c>
      <c r="B2493" s="16" t="s">
        <v>155</v>
      </c>
      <c r="C2493" s="16" t="s">
        <v>207</v>
      </c>
      <c r="D2493" s="38"/>
      <c r="E2493" s="39"/>
      <c r="F2493" s="22" t="n">
        <f aca="false">IFERROR(D2493*E2493,0)</f>
        <v>0</v>
      </c>
      <c r="G2493" s="16" t="str">
        <f aca="false">INDEX(SETORES!$B:$B,MATCH(A2493,SETORES!$A:$A,0))</f>
        <v>Clientes</v>
      </c>
      <c r="H2493" s="16" t="s">
        <v>259</v>
      </c>
    </row>
    <row r="2494" customFormat="false" ht="14.25" hidden="false" customHeight="false" outlineLevel="0" collapsed="false">
      <c r="A2494" s="16" t="s">
        <v>54</v>
      </c>
      <c r="B2494" s="16" t="s">
        <v>155</v>
      </c>
      <c r="C2494" s="16" t="s">
        <v>208</v>
      </c>
      <c r="D2494" s="38" t="n">
        <v>1</v>
      </c>
      <c r="E2494" s="39" t="n">
        <v>3042.34</v>
      </c>
      <c r="F2494" s="22" t="n">
        <f aca="false">IFERROR(D2494*E2494,0)</f>
        <v>3042.34</v>
      </c>
      <c r="G2494" s="16" t="str">
        <f aca="false">INDEX(SETORES!$B:$B,MATCH(A2494,SETORES!$A:$A,0))</f>
        <v>Clientes</v>
      </c>
      <c r="H2494" s="16" t="s">
        <v>259</v>
      </c>
    </row>
    <row r="2495" customFormat="false" ht="14.25" hidden="false" customHeight="false" outlineLevel="0" collapsed="false">
      <c r="A2495" s="16" t="s">
        <v>43</v>
      </c>
      <c r="B2495" s="16" t="s">
        <v>155</v>
      </c>
      <c r="C2495" s="16" t="s">
        <v>156</v>
      </c>
      <c r="D2495" s="38"/>
      <c r="E2495" s="39"/>
      <c r="F2495" s="22" t="n">
        <f aca="false">IFERROR(D2495*E2495,0)</f>
        <v>0</v>
      </c>
      <c r="G2495" s="16" t="str">
        <f aca="false">INDEX(SETORES!$B:$B,MATCH(A2495,SETORES!$A:$A,0))</f>
        <v>Clientes</v>
      </c>
      <c r="H2495" s="16" t="s">
        <v>259</v>
      </c>
    </row>
    <row r="2496" customFormat="false" ht="14.25" hidden="false" customHeight="false" outlineLevel="0" collapsed="false">
      <c r="A2496" s="16" t="s">
        <v>43</v>
      </c>
      <c r="B2496" s="16" t="s">
        <v>155</v>
      </c>
      <c r="C2496" s="16" t="s">
        <v>157</v>
      </c>
      <c r="D2496" s="38"/>
      <c r="E2496" s="39"/>
      <c r="F2496" s="22" t="n">
        <f aca="false">IFERROR(D2496*E2496,0)</f>
        <v>0</v>
      </c>
      <c r="G2496" s="16" t="str">
        <f aca="false">INDEX(SETORES!$B:$B,MATCH(A2496,SETORES!$A:$A,0))</f>
        <v>Clientes</v>
      </c>
      <c r="H2496" s="16" t="s">
        <v>259</v>
      </c>
    </row>
    <row r="2497" customFormat="false" ht="14.25" hidden="false" customHeight="false" outlineLevel="0" collapsed="false">
      <c r="A2497" s="16" t="s">
        <v>43</v>
      </c>
      <c r="B2497" s="16" t="s">
        <v>155</v>
      </c>
      <c r="C2497" s="16" t="s">
        <v>158</v>
      </c>
      <c r="D2497" s="38"/>
      <c r="E2497" s="39"/>
      <c r="F2497" s="22" t="n">
        <f aca="false">IFERROR(D2497*E2497,0)</f>
        <v>0</v>
      </c>
      <c r="G2497" s="16" t="str">
        <f aca="false">INDEX(SETORES!$B:$B,MATCH(A2497,SETORES!$A:$A,0))</f>
        <v>Clientes</v>
      </c>
      <c r="H2497" s="16" t="s">
        <v>259</v>
      </c>
    </row>
    <row r="2498" customFormat="false" ht="14.25" hidden="false" customHeight="false" outlineLevel="0" collapsed="false">
      <c r="A2498" s="16" t="s">
        <v>43</v>
      </c>
      <c r="B2498" s="16" t="s">
        <v>155</v>
      </c>
      <c r="C2498" s="16" t="s">
        <v>159</v>
      </c>
      <c r="D2498" s="38"/>
      <c r="E2498" s="39"/>
      <c r="F2498" s="22" t="n">
        <f aca="false">IFERROR(D2498*E2498,0)</f>
        <v>0</v>
      </c>
      <c r="G2498" s="16" t="str">
        <f aca="false">INDEX(SETORES!$B:$B,MATCH(A2498,SETORES!$A:$A,0))</f>
        <v>Clientes</v>
      </c>
      <c r="H2498" s="16" t="s">
        <v>259</v>
      </c>
    </row>
    <row r="2499" customFormat="false" ht="14.25" hidden="false" customHeight="false" outlineLevel="0" collapsed="false">
      <c r="A2499" s="16" t="s">
        <v>43</v>
      </c>
      <c r="B2499" s="16" t="s">
        <v>155</v>
      </c>
      <c r="C2499" s="16" t="s">
        <v>160</v>
      </c>
      <c r="D2499" s="38"/>
      <c r="E2499" s="39"/>
      <c r="F2499" s="22" t="n">
        <f aca="false">IFERROR(D2499*E2499,0)</f>
        <v>0</v>
      </c>
      <c r="G2499" s="16" t="str">
        <f aca="false">INDEX(SETORES!$B:$B,MATCH(A2499,SETORES!$A:$A,0))</f>
        <v>Clientes</v>
      </c>
      <c r="H2499" s="16" t="s">
        <v>259</v>
      </c>
    </row>
    <row r="2500" customFormat="false" ht="14.25" hidden="false" customHeight="false" outlineLevel="0" collapsed="false">
      <c r="A2500" s="16" t="s">
        <v>43</v>
      </c>
      <c r="B2500" s="16" t="s">
        <v>155</v>
      </c>
      <c r="C2500" s="16" t="s">
        <v>161</v>
      </c>
      <c r="D2500" s="38" t="n">
        <v>1</v>
      </c>
      <c r="E2500" s="39" t="n">
        <v>24935.86</v>
      </c>
      <c r="F2500" s="22" t="n">
        <f aca="false">IFERROR(D2500*E2500,0)</f>
        <v>24935.86</v>
      </c>
      <c r="G2500" s="16" t="str">
        <f aca="false">INDEX(SETORES!$B:$B,MATCH(A2500,SETORES!$A:$A,0))</f>
        <v>Clientes</v>
      </c>
      <c r="H2500" s="16" t="s">
        <v>259</v>
      </c>
    </row>
    <row r="2501" customFormat="false" ht="14.25" hidden="false" customHeight="false" outlineLevel="0" collapsed="false">
      <c r="A2501" s="16" t="s">
        <v>43</v>
      </c>
      <c r="B2501" s="16" t="s">
        <v>162</v>
      </c>
      <c r="C2501" s="16" t="s">
        <v>209</v>
      </c>
      <c r="D2501" s="38"/>
      <c r="E2501" s="39"/>
      <c r="F2501" s="22" t="n">
        <f aca="false">IFERROR(D2501*E2501,0)</f>
        <v>0</v>
      </c>
      <c r="G2501" s="16" t="str">
        <f aca="false">INDEX(SETORES!$B:$B,MATCH(A2501,SETORES!$A:$A,0))</f>
        <v>Clientes</v>
      </c>
      <c r="H2501" s="16" t="s">
        <v>259</v>
      </c>
    </row>
    <row r="2502" customFormat="false" ht="14.25" hidden="false" customHeight="false" outlineLevel="0" collapsed="false">
      <c r="A2502" s="16" t="s">
        <v>43</v>
      </c>
      <c r="B2502" s="16" t="s">
        <v>155</v>
      </c>
      <c r="C2502" s="16" t="s">
        <v>166</v>
      </c>
      <c r="D2502" s="38" t="n">
        <v>5</v>
      </c>
      <c r="E2502" s="39" t="n">
        <v>50</v>
      </c>
      <c r="F2502" s="22" t="n">
        <f aca="false">IFERROR(D2502*E2502,0)</f>
        <v>250</v>
      </c>
      <c r="G2502" s="16" t="str">
        <f aca="false">INDEX(SETORES!$B:$B,MATCH(A2502,SETORES!$A:$A,0))</f>
        <v>Clientes</v>
      </c>
      <c r="H2502" s="16" t="s">
        <v>259</v>
      </c>
    </row>
    <row r="2503" customFormat="false" ht="14.25" hidden="false" customHeight="false" outlineLevel="0" collapsed="false">
      <c r="A2503" s="16" t="s">
        <v>43</v>
      </c>
      <c r="B2503" s="16" t="s">
        <v>155</v>
      </c>
      <c r="C2503" s="16" t="s">
        <v>238</v>
      </c>
      <c r="D2503" s="38"/>
      <c r="E2503" s="39"/>
      <c r="F2503" s="22" t="n">
        <f aca="false">IFERROR(D2503*E2503,0)</f>
        <v>0</v>
      </c>
      <c r="G2503" s="16" t="str">
        <f aca="false">INDEX(SETORES!$B:$B,MATCH(A2503,SETORES!$A:$A,0))</f>
        <v>Clientes</v>
      </c>
      <c r="H2503" s="16" t="s">
        <v>259</v>
      </c>
    </row>
    <row r="2504" customFormat="false" ht="14.25" hidden="false" customHeight="false" outlineLevel="0" collapsed="false">
      <c r="A2504" s="16" t="s">
        <v>43</v>
      </c>
      <c r="B2504" s="16" t="s">
        <v>155</v>
      </c>
      <c r="C2504" s="16" t="s">
        <v>167</v>
      </c>
      <c r="D2504" s="38"/>
      <c r="E2504" s="39"/>
      <c r="F2504" s="22" t="n">
        <f aca="false">IFERROR(D2504*E2504,0)</f>
        <v>0</v>
      </c>
      <c r="G2504" s="16" t="str">
        <f aca="false">INDEX(SETORES!$B:$B,MATCH(A2504,SETORES!$A:$A,0))</f>
        <v>Clientes</v>
      </c>
      <c r="H2504" s="16" t="s">
        <v>259</v>
      </c>
    </row>
    <row r="2505" customFormat="false" ht="14.25" hidden="false" customHeight="false" outlineLevel="0" collapsed="false">
      <c r="A2505" s="16" t="s">
        <v>43</v>
      </c>
      <c r="B2505" s="16" t="s">
        <v>155</v>
      </c>
      <c r="C2505" s="16" t="s">
        <v>168</v>
      </c>
      <c r="D2505" s="38" t="n">
        <v>5</v>
      </c>
      <c r="E2505" s="39" t="n">
        <v>1.87</v>
      </c>
      <c r="F2505" s="22" t="n">
        <f aca="false">IFERROR(D2505*E2505,0)</f>
        <v>9.35</v>
      </c>
      <c r="G2505" s="16" t="str">
        <f aca="false">INDEX(SETORES!$B:$B,MATCH(A2505,SETORES!$A:$A,0))</f>
        <v>Clientes</v>
      </c>
      <c r="H2505" s="16" t="s">
        <v>259</v>
      </c>
    </row>
    <row r="2506" customFormat="false" ht="14.25" hidden="false" customHeight="false" outlineLevel="0" collapsed="false">
      <c r="A2506" s="16" t="s">
        <v>40</v>
      </c>
      <c r="B2506" s="16" t="s">
        <v>155</v>
      </c>
      <c r="C2506" s="16" t="s">
        <v>156</v>
      </c>
      <c r="D2506" s="38"/>
      <c r="E2506" s="39"/>
      <c r="F2506" s="22" t="n">
        <f aca="false">IFERROR(D2506*E2506,0)</f>
        <v>0</v>
      </c>
      <c r="G2506" s="16" t="str">
        <f aca="false">INDEX(SETORES!$B:$B,MATCH(A2506,SETORES!$A:$A,0))</f>
        <v>Clientes</v>
      </c>
      <c r="H2506" s="16" t="s">
        <v>259</v>
      </c>
    </row>
    <row r="2507" customFormat="false" ht="14.25" hidden="false" customHeight="false" outlineLevel="0" collapsed="false">
      <c r="A2507" s="16" t="s">
        <v>40</v>
      </c>
      <c r="B2507" s="16" t="s">
        <v>155</v>
      </c>
      <c r="C2507" s="16" t="s">
        <v>157</v>
      </c>
      <c r="D2507" s="38" t="n">
        <v>1</v>
      </c>
      <c r="E2507" s="39" t="n">
        <v>241.44</v>
      </c>
      <c r="F2507" s="22" t="n">
        <f aca="false">IFERROR(D2507*E2507,0)</f>
        <v>241.44</v>
      </c>
      <c r="G2507" s="16" t="str">
        <f aca="false">INDEX(SETORES!$B:$B,MATCH(A2507,SETORES!$A:$A,0))</f>
        <v>Clientes</v>
      </c>
      <c r="H2507" s="16" t="s">
        <v>259</v>
      </c>
    </row>
    <row r="2508" customFormat="false" ht="14.25" hidden="false" customHeight="false" outlineLevel="0" collapsed="false">
      <c r="A2508" s="16" t="s">
        <v>40</v>
      </c>
      <c r="B2508" s="16" t="s">
        <v>155</v>
      </c>
      <c r="C2508" s="16" t="s">
        <v>158</v>
      </c>
      <c r="D2508" s="38"/>
      <c r="E2508" s="39"/>
      <c r="F2508" s="22" t="n">
        <f aca="false">IFERROR(D2508*E2508,0)</f>
        <v>0</v>
      </c>
      <c r="G2508" s="16" t="str">
        <f aca="false">INDEX(SETORES!$B:$B,MATCH(A2508,SETORES!$A:$A,0))</f>
        <v>Clientes</v>
      </c>
      <c r="H2508" s="16" t="s">
        <v>259</v>
      </c>
    </row>
    <row r="2509" customFormat="false" ht="14.25" hidden="false" customHeight="false" outlineLevel="0" collapsed="false">
      <c r="A2509" s="16" t="s">
        <v>40</v>
      </c>
      <c r="B2509" s="16" t="s">
        <v>155</v>
      </c>
      <c r="C2509" s="16" t="s">
        <v>159</v>
      </c>
      <c r="D2509" s="38"/>
      <c r="E2509" s="39"/>
      <c r="F2509" s="22" t="n">
        <f aca="false">IFERROR(D2509*E2509,0)</f>
        <v>0</v>
      </c>
      <c r="G2509" s="16" t="str">
        <f aca="false">INDEX(SETORES!$B:$B,MATCH(A2509,SETORES!$A:$A,0))</f>
        <v>Clientes</v>
      </c>
      <c r="H2509" s="16" t="s">
        <v>259</v>
      </c>
    </row>
    <row r="2510" customFormat="false" ht="14.25" hidden="false" customHeight="false" outlineLevel="0" collapsed="false">
      <c r="A2510" s="16" t="s">
        <v>40</v>
      </c>
      <c r="B2510" s="16" t="s">
        <v>155</v>
      </c>
      <c r="C2510" s="16" t="s">
        <v>160</v>
      </c>
      <c r="D2510" s="38"/>
      <c r="E2510" s="39"/>
      <c r="F2510" s="22" t="n">
        <f aca="false">IFERROR(D2510*E2510,0)</f>
        <v>0</v>
      </c>
      <c r="G2510" s="16" t="str">
        <f aca="false">INDEX(SETORES!$B:$B,MATCH(A2510,SETORES!$A:$A,0))</f>
        <v>Clientes</v>
      </c>
      <c r="H2510" s="16" t="s">
        <v>259</v>
      </c>
    </row>
    <row r="2511" customFormat="false" ht="14.25" hidden="false" customHeight="false" outlineLevel="0" collapsed="false">
      <c r="A2511" s="16" t="s">
        <v>40</v>
      </c>
      <c r="B2511" s="16" t="s">
        <v>155</v>
      </c>
      <c r="C2511" s="16" t="s">
        <v>161</v>
      </c>
      <c r="D2511" s="38" t="n">
        <v>1</v>
      </c>
      <c r="E2511" s="39" t="n">
        <v>36209.58</v>
      </c>
      <c r="F2511" s="22" t="n">
        <f aca="false">IFERROR(D2511*E2511,0)</f>
        <v>36209.58</v>
      </c>
      <c r="G2511" s="16" t="str">
        <f aca="false">INDEX(SETORES!$B:$B,MATCH(A2511,SETORES!$A:$A,0))</f>
        <v>Clientes</v>
      </c>
      <c r="H2511" s="16" t="s">
        <v>259</v>
      </c>
    </row>
    <row r="2512" customFormat="false" ht="14.25" hidden="false" customHeight="false" outlineLevel="0" collapsed="false">
      <c r="A2512" s="16" t="s">
        <v>40</v>
      </c>
      <c r="B2512" s="16" t="s">
        <v>162</v>
      </c>
      <c r="C2512" s="16" t="s">
        <v>241</v>
      </c>
      <c r="D2512" s="38"/>
      <c r="E2512" s="39"/>
      <c r="F2512" s="22" t="n">
        <f aca="false">IFERROR(D2512*E2512,0)</f>
        <v>0</v>
      </c>
      <c r="G2512" s="16" t="str">
        <f aca="false">INDEX(SETORES!$B:$B,MATCH(A2512,SETORES!$A:$A,0))</f>
        <v>Clientes</v>
      </c>
      <c r="H2512" s="16" t="s">
        <v>259</v>
      </c>
    </row>
    <row r="2513" customFormat="false" ht="14.25" hidden="false" customHeight="false" outlineLevel="0" collapsed="false">
      <c r="A2513" s="16" t="s">
        <v>40</v>
      </c>
      <c r="B2513" s="16" t="s">
        <v>162</v>
      </c>
      <c r="C2513" s="16" t="s">
        <v>163</v>
      </c>
      <c r="D2513" s="38" t="n">
        <v>1</v>
      </c>
      <c r="E2513" s="39" t="n">
        <v>90</v>
      </c>
      <c r="F2513" s="22" t="n">
        <f aca="false">IFERROR(D2513*E2513,0)</f>
        <v>90</v>
      </c>
      <c r="G2513" s="16" t="str">
        <f aca="false">INDEX(SETORES!$B:$B,MATCH(A2513,SETORES!$A:$A,0))</f>
        <v>Clientes</v>
      </c>
      <c r="H2513" s="16" t="s">
        <v>259</v>
      </c>
    </row>
    <row r="2514" customFormat="false" ht="14.25" hidden="false" customHeight="false" outlineLevel="0" collapsed="false">
      <c r="A2514" s="16" t="s">
        <v>40</v>
      </c>
      <c r="B2514" s="16" t="s">
        <v>162</v>
      </c>
      <c r="C2514" s="16" t="s">
        <v>164</v>
      </c>
      <c r="D2514" s="38"/>
      <c r="E2514" s="39"/>
      <c r="F2514" s="22" t="n">
        <f aca="false">IFERROR(D2514*E2514,0)</f>
        <v>0</v>
      </c>
      <c r="G2514" s="16" t="str">
        <f aca="false">INDEX(SETORES!$B:$B,MATCH(A2514,SETORES!$A:$A,0))</f>
        <v>Clientes</v>
      </c>
      <c r="H2514" s="16" t="s">
        <v>259</v>
      </c>
    </row>
    <row r="2515" customFormat="false" ht="14.25" hidden="false" customHeight="false" outlineLevel="0" collapsed="false">
      <c r="A2515" s="16" t="s">
        <v>40</v>
      </c>
      <c r="B2515" s="16" t="s">
        <v>162</v>
      </c>
      <c r="C2515" s="16" t="s">
        <v>222</v>
      </c>
      <c r="D2515" s="38"/>
      <c r="E2515" s="39"/>
      <c r="F2515" s="22" t="n">
        <f aca="false">IFERROR(D2515*E2515,0)</f>
        <v>0</v>
      </c>
      <c r="G2515" s="16" t="str">
        <f aca="false">INDEX(SETORES!$B:$B,MATCH(A2515,SETORES!$A:$A,0))</f>
        <v>Clientes</v>
      </c>
      <c r="H2515" s="16" t="s">
        <v>259</v>
      </c>
    </row>
    <row r="2516" customFormat="false" ht="14.25" hidden="false" customHeight="false" outlineLevel="0" collapsed="false">
      <c r="A2516" s="16" t="s">
        <v>40</v>
      </c>
      <c r="B2516" s="16" t="s">
        <v>155</v>
      </c>
      <c r="C2516" s="16" t="s">
        <v>166</v>
      </c>
      <c r="D2516" s="38" t="n">
        <v>6</v>
      </c>
      <c r="E2516" s="39" t="n">
        <v>50</v>
      </c>
      <c r="F2516" s="22" t="n">
        <f aca="false">IFERROR(D2516*E2516,0)</f>
        <v>300</v>
      </c>
      <c r="G2516" s="16" t="str">
        <f aca="false">INDEX(SETORES!$B:$B,MATCH(A2516,SETORES!$A:$A,0))</f>
        <v>Clientes</v>
      </c>
      <c r="H2516" s="16" t="s">
        <v>259</v>
      </c>
    </row>
    <row r="2517" customFormat="false" ht="14.25" hidden="false" customHeight="false" outlineLevel="0" collapsed="false">
      <c r="A2517" s="16" t="s">
        <v>40</v>
      </c>
      <c r="B2517" s="16" t="s">
        <v>155</v>
      </c>
      <c r="C2517" s="16" t="s">
        <v>167</v>
      </c>
      <c r="D2517" s="38"/>
      <c r="E2517" s="39"/>
      <c r="F2517" s="22" t="n">
        <f aca="false">IFERROR(D2517*E2517,0)</f>
        <v>0</v>
      </c>
      <c r="G2517" s="16" t="str">
        <f aca="false">INDEX(SETORES!$B:$B,MATCH(A2517,SETORES!$A:$A,0))</f>
        <v>Clientes</v>
      </c>
      <c r="H2517" s="16" t="s">
        <v>259</v>
      </c>
    </row>
    <row r="2518" customFormat="false" ht="14.25" hidden="false" customHeight="false" outlineLevel="0" collapsed="false">
      <c r="A2518" s="16" t="s">
        <v>40</v>
      </c>
      <c r="B2518" s="16" t="s">
        <v>155</v>
      </c>
      <c r="C2518" s="16" t="s">
        <v>168</v>
      </c>
      <c r="D2518" s="38" t="n">
        <v>6</v>
      </c>
      <c r="E2518" s="39" t="n">
        <v>1.87</v>
      </c>
      <c r="F2518" s="22" t="n">
        <f aca="false">IFERROR(D2518*E2518,0)</f>
        <v>11.22</v>
      </c>
      <c r="G2518" s="16" t="str">
        <f aca="false">INDEX(SETORES!$B:$B,MATCH(A2518,SETORES!$A:$A,0))</f>
        <v>Clientes</v>
      </c>
      <c r="H2518" s="16" t="s">
        <v>259</v>
      </c>
    </row>
    <row r="2519" customFormat="false" ht="14.25" hidden="false" customHeight="false" outlineLevel="0" collapsed="false">
      <c r="A2519" s="16" t="s">
        <v>40</v>
      </c>
      <c r="B2519" s="16" t="s">
        <v>162</v>
      </c>
      <c r="C2519" s="16" t="s">
        <v>211</v>
      </c>
      <c r="D2519" s="38"/>
      <c r="E2519" s="39"/>
      <c r="F2519" s="22" t="n">
        <f aca="false">IFERROR(D2519*E2519,0)</f>
        <v>0</v>
      </c>
      <c r="G2519" s="16" t="str">
        <f aca="false">INDEX(SETORES!$B:$B,MATCH(A2519,SETORES!$A:$A,0))</f>
        <v>Clientes</v>
      </c>
      <c r="H2519" s="16" t="s">
        <v>259</v>
      </c>
    </row>
    <row r="2520" customFormat="false" ht="14.25" hidden="false" customHeight="false" outlineLevel="0" collapsed="false">
      <c r="A2520" s="16" t="s">
        <v>41</v>
      </c>
      <c r="B2520" s="16" t="s">
        <v>155</v>
      </c>
      <c r="C2520" s="16" t="s">
        <v>156</v>
      </c>
      <c r="D2520" s="38"/>
      <c r="E2520" s="39"/>
      <c r="F2520" s="22" t="n">
        <f aca="false">IFERROR(D2520*E2520,0)</f>
        <v>0</v>
      </c>
      <c r="G2520" s="16" t="str">
        <f aca="false">INDEX(SETORES!$B:$B,MATCH(A2520,SETORES!$A:$A,0))</f>
        <v>Clientes</v>
      </c>
      <c r="H2520" s="16" t="s">
        <v>259</v>
      </c>
    </row>
    <row r="2521" customFormat="false" ht="14.25" hidden="false" customHeight="false" outlineLevel="0" collapsed="false">
      <c r="A2521" s="16" t="s">
        <v>41</v>
      </c>
      <c r="B2521" s="16" t="s">
        <v>155</v>
      </c>
      <c r="C2521" s="16" t="s">
        <v>157</v>
      </c>
      <c r="D2521" s="38" t="n">
        <v>1</v>
      </c>
      <c r="E2521" s="39" t="n">
        <v>36.22</v>
      </c>
      <c r="F2521" s="22" t="n">
        <f aca="false">IFERROR(D2521*E2521,0)</f>
        <v>36.22</v>
      </c>
      <c r="G2521" s="16" t="str">
        <f aca="false">INDEX(SETORES!$B:$B,MATCH(A2521,SETORES!$A:$A,0))</f>
        <v>Clientes</v>
      </c>
      <c r="H2521" s="16" t="s">
        <v>259</v>
      </c>
    </row>
    <row r="2522" customFormat="false" ht="14.25" hidden="false" customHeight="false" outlineLevel="0" collapsed="false">
      <c r="A2522" s="16" t="s">
        <v>41</v>
      </c>
      <c r="B2522" s="16" t="s">
        <v>155</v>
      </c>
      <c r="C2522" s="16" t="s">
        <v>158</v>
      </c>
      <c r="D2522" s="38"/>
      <c r="E2522" s="39"/>
      <c r="F2522" s="22" t="n">
        <f aca="false">IFERROR(D2522*E2522,0)</f>
        <v>0</v>
      </c>
      <c r="G2522" s="16" t="str">
        <f aca="false">INDEX(SETORES!$B:$B,MATCH(A2522,SETORES!$A:$A,0))</f>
        <v>Clientes</v>
      </c>
      <c r="H2522" s="16" t="s">
        <v>259</v>
      </c>
    </row>
    <row r="2523" customFormat="false" ht="14.25" hidden="false" customHeight="false" outlineLevel="0" collapsed="false">
      <c r="A2523" s="16" t="s">
        <v>41</v>
      </c>
      <c r="B2523" s="16" t="s">
        <v>155</v>
      </c>
      <c r="C2523" s="16" t="s">
        <v>159</v>
      </c>
      <c r="D2523" s="38"/>
      <c r="E2523" s="39"/>
      <c r="F2523" s="22" t="n">
        <f aca="false">IFERROR(D2523*E2523,0)</f>
        <v>0</v>
      </c>
      <c r="G2523" s="16" t="str">
        <f aca="false">INDEX(SETORES!$B:$B,MATCH(A2523,SETORES!$A:$A,0))</f>
        <v>Clientes</v>
      </c>
      <c r="H2523" s="16" t="s">
        <v>259</v>
      </c>
    </row>
    <row r="2524" customFormat="false" ht="14.25" hidden="false" customHeight="false" outlineLevel="0" collapsed="false">
      <c r="A2524" s="16" t="s">
        <v>41</v>
      </c>
      <c r="B2524" s="16" t="s">
        <v>155</v>
      </c>
      <c r="C2524" s="16" t="s">
        <v>212</v>
      </c>
      <c r="D2524" s="38"/>
      <c r="E2524" s="39"/>
      <c r="F2524" s="22" t="n">
        <f aca="false">IFERROR(D2524*E2524,0)</f>
        <v>0</v>
      </c>
      <c r="G2524" s="16" t="str">
        <f aca="false">INDEX(SETORES!$B:$B,MATCH(A2524,SETORES!$A:$A,0))</f>
        <v>Clientes</v>
      </c>
      <c r="H2524" s="16" t="s">
        <v>259</v>
      </c>
    </row>
    <row r="2525" customFormat="false" ht="14.25" hidden="false" customHeight="false" outlineLevel="0" collapsed="false">
      <c r="A2525" s="16" t="s">
        <v>41</v>
      </c>
      <c r="B2525" s="16" t="s">
        <v>155</v>
      </c>
      <c r="C2525" s="16" t="s">
        <v>161</v>
      </c>
      <c r="D2525" s="38" t="n">
        <v>1</v>
      </c>
      <c r="E2525" s="39" t="n">
        <v>18000</v>
      </c>
      <c r="F2525" s="22" t="n">
        <f aca="false">IFERROR(D2525*E2525,0)</f>
        <v>18000</v>
      </c>
      <c r="G2525" s="16" t="str">
        <f aca="false">INDEX(SETORES!$B:$B,MATCH(A2525,SETORES!$A:$A,0))</f>
        <v>Clientes</v>
      </c>
      <c r="H2525" s="16" t="s">
        <v>259</v>
      </c>
    </row>
    <row r="2526" customFormat="false" ht="14.25" hidden="false" customHeight="false" outlineLevel="0" collapsed="false">
      <c r="A2526" s="16" t="s">
        <v>41</v>
      </c>
      <c r="B2526" s="16" t="s">
        <v>155</v>
      </c>
      <c r="C2526" s="16" t="s">
        <v>167</v>
      </c>
      <c r="D2526" s="38"/>
      <c r="E2526" s="39"/>
      <c r="F2526" s="22" t="n">
        <f aca="false">IFERROR(D2526*E2526,0)</f>
        <v>0</v>
      </c>
      <c r="G2526" s="16" t="str">
        <f aca="false">INDEX(SETORES!$B:$B,MATCH(A2526,SETORES!$A:$A,0))</f>
        <v>Clientes</v>
      </c>
      <c r="H2526" s="16" t="s">
        <v>259</v>
      </c>
    </row>
    <row r="2527" customFormat="false" ht="14.25" hidden="false" customHeight="false" outlineLevel="0" collapsed="false">
      <c r="A2527" s="16" t="s">
        <v>41</v>
      </c>
      <c r="B2527" s="16" t="s">
        <v>155</v>
      </c>
      <c r="C2527" s="16" t="s">
        <v>168</v>
      </c>
      <c r="D2527" s="38" t="n">
        <v>1</v>
      </c>
      <c r="E2527" s="39" t="n">
        <v>1.87</v>
      </c>
      <c r="F2527" s="22" t="n">
        <f aca="false">IFERROR(D2527*E2527,0)</f>
        <v>1.87</v>
      </c>
      <c r="G2527" s="16" t="str">
        <f aca="false">INDEX(SETORES!$B:$B,MATCH(A2527,SETORES!$A:$A,0))</f>
        <v>Clientes</v>
      </c>
      <c r="H2527" s="16" t="s">
        <v>259</v>
      </c>
    </row>
    <row r="2528" customFormat="false" ht="14.25" hidden="false" customHeight="false" outlineLevel="0" collapsed="false">
      <c r="A2528" s="16" t="s">
        <v>33</v>
      </c>
      <c r="B2528" s="16" t="s">
        <v>155</v>
      </c>
      <c r="C2528" s="16" t="s">
        <v>156</v>
      </c>
      <c r="D2528" s="38" t="n">
        <v>1</v>
      </c>
      <c r="E2528" s="39" t="n">
        <v>9.24</v>
      </c>
      <c r="F2528" s="22" t="n">
        <f aca="false">IFERROR(D2528*E2528,0)</f>
        <v>9.24</v>
      </c>
      <c r="G2528" s="16" t="str">
        <f aca="false">INDEX(SETORES!$B:$B,MATCH(A2528,SETORES!$A:$A,0))</f>
        <v>Funcionários</v>
      </c>
      <c r="H2528" s="16" t="s">
        <v>259</v>
      </c>
    </row>
    <row r="2529" customFormat="false" ht="14.25" hidden="false" customHeight="false" outlineLevel="0" collapsed="false">
      <c r="A2529" s="16" t="s">
        <v>33</v>
      </c>
      <c r="B2529" s="16" t="s">
        <v>155</v>
      </c>
      <c r="C2529" s="16" t="s">
        <v>157</v>
      </c>
      <c r="D2529" s="38" t="n">
        <v>1</v>
      </c>
      <c r="E2529" s="39" t="n">
        <v>204.89</v>
      </c>
      <c r="F2529" s="22" t="n">
        <f aca="false">IFERROR(D2529*E2529,0)</f>
        <v>204.89</v>
      </c>
      <c r="G2529" s="16" t="str">
        <f aca="false">INDEX(SETORES!$B:$B,MATCH(A2529,SETORES!$A:$A,0))</f>
        <v>Funcionários</v>
      </c>
      <c r="H2529" s="16" t="s">
        <v>259</v>
      </c>
    </row>
    <row r="2530" customFormat="false" ht="14.25" hidden="false" customHeight="false" outlineLevel="0" collapsed="false">
      <c r="A2530" s="16" t="s">
        <v>33</v>
      </c>
      <c r="B2530" s="16" t="s">
        <v>155</v>
      </c>
      <c r="C2530" s="16" t="s">
        <v>158</v>
      </c>
      <c r="D2530" s="38"/>
      <c r="E2530" s="39"/>
      <c r="F2530" s="22" t="n">
        <f aca="false">IFERROR(D2530*E2530,0)</f>
        <v>0</v>
      </c>
      <c r="G2530" s="16" t="str">
        <f aca="false">INDEX(SETORES!$B:$B,MATCH(A2530,SETORES!$A:$A,0))</f>
        <v>Funcionários</v>
      </c>
      <c r="H2530" s="16" t="s">
        <v>259</v>
      </c>
    </row>
    <row r="2531" customFormat="false" ht="14.25" hidden="false" customHeight="false" outlineLevel="0" collapsed="false">
      <c r="A2531" s="16" t="s">
        <v>33</v>
      </c>
      <c r="B2531" s="16" t="s">
        <v>155</v>
      </c>
      <c r="C2531" s="16" t="s">
        <v>159</v>
      </c>
      <c r="D2531" s="38"/>
      <c r="E2531" s="39"/>
      <c r="F2531" s="22" t="n">
        <f aca="false">IFERROR(D2531*E2531,0)</f>
        <v>0</v>
      </c>
      <c r="G2531" s="16" t="str">
        <f aca="false">INDEX(SETORES!$B:$B,MATCH(A2531,SETORES!$A:$A,0))</f>
        <v>Funcionários</v>
      </c>
      <c r="H2531" s="16" t="s">
        <v>259</v>
      </c>
    </row>
    <row r="2532" customFormat="false" ht="14.25" hidden="false" customHeight="false" outlineLevel="0" collapsed="false">
      <c r="A2532" s="16" t="s">
        <v>33</v>
      </c>
      <c r="B2532" s="16" t="s">
        <v>155</v>
      </c>
      <c r="C2532" s="16" t="s">
        <v>160</v>
      </c>
      <c r="D2532" s="38"/>
      <c r="E2532" s="39"/>
      <c r="F2532" s="22" t="n">
        <f aca="false">IFERROR(D2532*E2532,0)</f>
        <v>0</v>
      </c>
      <c r="G2532" s="16" t="str">
        <f aca="false">INDEX(SETORES!$B:$B,MATCH(A2532,SETORES!$A:$A,0))</f>
        <v>Funcionários</v>
      </c>
      <c r="H2532" s="16" t="s">
        <v>259</v>
      </c>
    </row>
    <row r="2533" customFormat="false" ht="14.25" hidden="false" customHeight="false" outlineLevel="0" collapsed="false">
      <c r="A2533" s="16" t="s">
        <v>33</v>
      </c>
      <c r="B2533" s="16" t="s">
        <v>155</v>
      </c>
      <c r="C2533" s="16" t="s">
        <v>161</v>
      </c>
      <c r="D2533" s="38" t="n">
        <v>1</v>
      </c>
      <c r="E2533" s="39" t="n">
        <v>48158.28</v>
      </c>
      <c r="F2533" s="22" t="n">
        <f aca="false">IFERROR(D2533*E2533,0)</f>
        <v>48158.28</v>
      </c>
      <c r="G2533" s="16" t="str">
        <f aca="false">INDEX(SETORES!$B:$B,MATCH(A2533,SETORES!$A:$A,0))</f>
        <v>Funcionários</v>
      </c>
      <c r="H2533" s="16" t="s">
        <v>259</v>
      </c>
    </row>
    <row r="2534" customFormat="false" ht="14.25" hidden="false" customHeight="false" outlineLevel="0" collapsed="false">
      <c r="A2534" s="16" t="s">
        <v>48</v>
      </c>
      <c r="B2534" s="16" t="s">
        <v>162</v>
      </c>
      <c r="C2534" s="16" t="s">
        <v>165</v>
      </c>
      <c r="D2534" s="38"/>
      <c r="E2534" s="39"/>
      <c r="F2534" s="22" t="n">
        <f aca="false">IFERROR(D2534*E2534,0)</f>
        <v>0</v>
      </c>
      <c r="G2534" s="16" t="str">
        <f aca="false">INDEX(SETORES!$B:$B,MATCH(A2534,SETORES!$A:$A,0))</f>
        <v>Clientes</v>
      </c>
      <c r="H2534" s="16" t="s">
        <v>259</v>
      </c>
    </row>
    <row r="2535" customFormat="false" ht="14.25" hidden="false" customHeight="false" outlineLevel="0" collapsed="false">
      <c r="A2535" s="16" t="s">
        <v>49</v>
      </c>
      <c r="B2535" s="16" t="s">
        <v>162</v>
      </c>
      <c r="C2535" s="16" t="s">
        <v>165</v>
      </c>
      <c r="D2535" s="38"/>
      <c r="E2535" s="39"/>
      <c r="F2535" s="22" t="n">
        <f aca="false">IFERROR(D2535*E2535,0)</f>
        <v>0</v>
      </c>
      <c r="G2535" s="16" t="str">
        <f aca="false">INDEX(SETORES!$B:$B,MATCH(A2535,SETORES!$A:$A,0))</f>
        <v>Clientes</v>
      </c>
      <c r="H2535" s="16" t="s">
        <v>259</v>
      </c>
    </row>
    <row r="2536" customFormat="false" ht="14.25" hidden="false" customHeight="false" outlineLevel="0" collapsed="false">
      <c r="A2536" s="16" t="s">
        <v>33</v>
      </c>
      <c r="B2536" s="16" t="s">
        <v>162</v>
      </c>
      <c r="C2536" s="16" t="s">
        <v>165</v>
      </c>
      <c r="D2536" s="38"/>
      <c r="E2536" s="39"/>
      <c r="F2536" s="22" t="n">
        <f aca="false">IFERROR(D2536*E2536,0)</f>
        <v>0</v>
      </c>
      <c r="G2536" s="16" t="str">
        <f aca="false">INDEX(SETORES!$B:$B,MATCH(A2536,SETORES!$A:$A,0))</f>
        <v>Funcionários</v>
      </c>
      <c r="H2536" s="16" t="s">
        <v>259</v>
      </c>
    </row>
    <row r="2537" customFormat="false" ht="14.25" hidden="false" customHeight="false" outlineLevel="0" collapsed="false">
      <c r="A2537" s="16" t="s">
        <v>33</v>
      </c>
      <c r="B2537" s="16" t="s">
        <v>162</v>
      </c>
      <c r="C2537" s="16" t="s">
        <v>214</v>
      </c>
      <c r="D2537" s="38"/>
      <c r="E2537" s="39"/>
      <c r="F2537" s="22" t="n">
        <f aca="false">IFERROR(D2537*E2537,0)</f>
        <v>0</v>
      </c>
      <c r="G2537" s="16" t="str">
        <f aca="false">INDEX(SETORES!$B:$B,MATCH(A2537,SETORES!$A:$A,0))</f>
        <v>Funcionários</v>
      </c>
      <c r="H2537" s="16" t="s">
        <v>259</v>
      </c>
    </row>
    <row r="2538" customFormat="false" ht="14.25" hidden="false" customHeight="false" outlineLevel="0" collapsed="false">
      <c r="A2538" s="16" t="s">
        <v>33</v>
      </c>
      <c r="B2538" s="16" t="s">
        <v>162</v>
      </c>
      <c r="C2538" s="16" t="s">
        <v>163</v>
      </c>
      <c r="D2538" s="38" t="n">
        <v>1</v>
      </c>
      <c r="E2538" s="39" t="n">
        <v>180</v>
      </c>
      <c r="F2538" s="22" t="n">
        <f aca="false">IFERROR(D2538*E2538,0)</f>
        <v>180</v>
      </c>
      <c r="G2538" s="16" t="str">
        <f aca="false">INDEX(SETORES!$B:$B,MATCH(A2538,SETORES!$A:$A,0))</f>
        <v>Funcionários</v>
      </c>
      <c r="H2538" s="16" t="s">
        <v>259</v>
      </c>
    </row>
    <row r="2539" customFormat="false" ht="14.25" hidden="false" customHeight="false" outlineLevel="0" collapsed="false">
      <c r="A2539" s="16" t="s">
        <v>33</v>
      </c>
      <c r="B2539" s="16" t="s">
        <v>162</v>
      </c>
      <c r="C2539" s="16" t="s">
        <v>164</v>
      </c>
      <c r="D2539" s="38" t="n">
        <v>1</v>
      </c>
      <c r="E2539" s="39" t="n">
        <v>272</v>
      </c>
      <c r="F2539" s="22" t="n">
        <f aca="false">IFERROR(D2539*E2539,0)</f>
        <v>272</v>
      </c>
      <c r="G2539" s="16" t="str">
        <f aca="false">INDEX(SETORES!$B:$B,MATCH(A2539,SETORES!$A:$A,0))</f>
        <v>Funcionários</v>
      </c>
      <c r="H2539" s="16" t="s">
        <v>259</v>
      </c>
    </row>
    <row r="2540" customFormat="false" ht="14.25" hidden="false" customHeight="false" outlineLevel="0" collapsed="false">
      <c r="A2540" s="16" t="s">
        <v>33</v>
      </c>
      <c r="B2540" s="16" t="s">
        <v>155</v>
      </c>
      <c r="C2540" s="16" t="s">
        <v>166</v>
      </c>
      <c r="D2540" s="38" t="n">
        <v>9</v>
      </c>
      <c r="E2540" s="39" t="n">
        <v>50</v>
      </c>
      <c r="F2540" s="22" t="n">
        <f aca="false">IFERROR(D2540*E2540,0)</f>
        <v>450</v>
      </c>
      <c r="G2540" s="16" t="str">
        <f aca="false">INDEX(SETORES!$B:$B,MATCH(A2540,SETORES!$A:$A,0))</f>
        <v>Funcionários</v>
      </c>
      <c r="H2540" s="16" t="s">
        <v>259</v>
      </c>
    </row>
    <row r="2541" customFormat="false" ht="14.25" hidden="false" customHeight="false" outlineLevel="0" collapsed="false">
      <c r="A2541" s="16" t="s">
        <v>33</v>
      </c>
      <c r="B2541" s="16" t="s">
        <v>155</v>
      </c>
      <c r="C2541" s="16" t="s">
        <v>238</v>
      </c>
      <c r="D2541" s="38"/>
      <c r="E2541" s="39"/>
      <c r="F2541" s="22" t="n">
        <f aca="false">IFERROR(D2541*E2541,0)</f>
        <v>0</v>
      </c>
      <c r="G2541" s="16" t="str">
        <f aca="false">INDEX(SETORES!$B:$B,MATCH(A2541,SETORES!$A:$A,0))</f>
        <v>Funcionários</v>
      </c>
      <c r="H2541" s="16" t="s">
        <v>259</v>
      </c>
    </row>
    <row r="2542" customFormat="false" ht="14.25" hidden="false" customHeight="false" outlineLevel="0" collapsed="false">
      <c r="A2542" s="16" t="s">
        <v>33</v>
      </c>
      <c r="B2542" s="16" t="s">
        <v>155</v>
      </c>
      <c r="C2542" s="16" t="s">
        <v>167</v>
      </c>
      <c r="D2542" s="38"/>
      <c r="E2542" s="39"/>
      <c r="F2542" s="22" t="n">
        <f aca="false">IFERROR(D2542*E2542,0)</f>
        <v>0</v>
      </c>
      <c r="G2542" s="16" t="str">
        <f aca="false">INDEX(SETORES!$B:$B,MATCH(A2542,SETORES!$A:$A,0))</f>
        <v>Funcionários</v>
      </c>
      <c r="H2542" s="16" t="s">
        <v>259</v>
      </c>
    </row>
    <row r="2543" customFormat="false" ht="14.25" hidden="false" customHeight="false" outlineLevel="0" collapsed="false">
      <c r="A2543" s="16" t="s">
        <v>33</v>
      </c>
      <c r="B2543" s="16" t="s">
        <v>155</v>
      </c>
      <c r="C2543" s="16" t="s">
        <v>168</v>
      </c>
      <c r="D2543" s="38" t="n">
        <v>9</v>
      </c>
      <c r="E2543" s="39" t="n">
        <v>1.87</v>
      </c>
      <c r="F2543" s="22" t="n">
        <f aca="false">IFERROR(D2543*E2543,0)</f>
        <v>16.83</v>
      </c>
      <c r="G2543" s="16" t="str">
        <f aca="false">INDEX(SETORES!$B:$B,MATCH(A2543,SETORES!$A:$A,0))</f>
        <v>Funcionários</v>
      </c>
      <c r="H2543" s="16" t="s">
        <v>259</v>
      </c>
    </row>
    <row r="2544" customFormat="false" ht="14.25" hidden="false" customHeight="false" outlineLevel="0" collapsed="false">
      <c r="A2544" s="16" t="s">
        <v>42</v>
      </c>
      <c r="B2544" s="16" t="s">
        <v>155</v>
      </c>
      <c r="C2544" s="16" t="s">
        <v>156</v>
      </c>
      <c r="D2544" s="38" t="n">
        <v>1</v>
      </c>
      <c r="E2544" s="39" t="n">
        <v>9.31</v>
      </c>
      <c r="F2544" s="22" t="n">
        <f aca="false">IFERROR(D2544*E2544,0)</f>
        <v>9.31</v>
      </c>
      <c r="G2544" s="16" t="str">
        <f aca="false">INDEX(SETORES!$B:$B,MATCH(A2544,SETORES!$A:$A,0))</f>
        <v>Clientes</v>
      </c>
      <c r="H2544" s="16" t="s">
        <v>259</v>
      </c>
    </row>
    <row r="2545" customFormat="false" ht="14.25" hidden="false" customHeight="false" outlineLevel="0" collapsed="false">
      <c r="A2545" s="16" t="s">
        <v>42</v>
      </c>
      <c r="B2545" s="16" t="s">
        <v>155</v>
      </c>
      <c r="C2545" s="16" t="s">
        <v>157</v>
      </c>
      <c r="D2545" s="38" t="n">
        <v>1</v>
      </c>
      <c r="E2545" s="39" t="n">
        <v>70.76</v>
      </c>
      <c r="F2545" s="22" t="n">
        <f aca="false">IFERROR(D2545*E2545,0)</f>
        <v>70.76</v>
      </c>
      <c r="G2545" s="16" t="str">
        <f aca="false">INDEX(SETORES!$B:$B,MATCH(A2545,SETORES!$A:$A,0))</f>
        <v>Clientes</v>
      </c>
      <c r="H2545" s="16" t="s">
        <v>259</v>
      </c>
    </row>
    <row r="2546" customFormat="false" ht="14.25" hidden="false" customHeight="false" outlineLevel="0" collapsed="false">
      <c r="A2546" s="16" t="s">
        <v>42</v>
      </c>
      <c r="B2546" s="16" t="s">
        <v>155</v>
      </c>
      <c r="C2546" s="16" t="s">
        <v>158</v>
      </c>
      <c r="D2546" s="38"/>
      <c r="E2546" s="39"/>
      <c r="F2546" s="22" t="n">
        <f aca="false">IFERROR(D2546*E2546,0)</f>
        <v>0</v>
      </c>
      <c r="G2546" s="16" t="str">
        <f aca="false">INDEX(SETORES!$B:$B,MATCH(A2546,SETORES!$A:$A,0))</f>
        <v>Clientes</v>
      </c>
      <c r="H2546" s="16" t="s">
        <v>259</v>
      </c>
    </row>
    <row r="2547" customFormat="false" ht="14.25" hidden="false" customHeight="false" outlineLevel="0" collapsed="false">
      <c r="A2547" s="16" t="s">
        <v>42</v>
      </c>
      <c r="B2547" s="16" t="s">
        <v>155</v>
      </c>
      <c r="C2547" s="16" t="s">
        <v>159</v>
      </c>
      <c r="D2547" s="38"/>
      <c r="E2547" s="39"/>
      <c r="F2547" s="22" t="n">
        <f aca="false">IFERROR(D2547*E2547,0)</f>
        <v>0</v>
      </c>
      <c r="G2547" s="16" t="str">
        <f aca="false">INDEX(SETORES!$B:$B,MATCH(A2547,SETORES!$A:$A,0))</f>
        <v>Clientes</v>
      </c>
      <c r="H2547" s="16" t="s">
        <v>259</v>
      </c>
    </row>
    <row r="2548" customFormat="false" ht="14.25" hidden="false" customHeight="false" outlineLevel="0" collapsed="false">
      <c r="A2548" s="16" t="s">
        <v>42</v>
      </c>
      <c r="B2548" s="16" t="s">
        <v>155</v>
      </c>
      <c r="C2548" s="16" t="s">
        <v>160</v>
      </c>
      <c r="D2548" s="38"/>
      <c r="E2548" s="39"/>
      <c r="F2548" s="22" t="n">
        <f aca="false">IFERROR(D2548*E2548,0)</f>
        <v>0</v>
      </c>
      <c r="G2548" s="16" t="str">
        <f aca="false">INDEX(SETORES!$B:$B,MATCH(A2548,SETORES!$A:$A,0))</f>
        <v>Clientes</v>
      </c>
      <c r="H2548" s="16" t="s">
        <v>259</v>
      </c>
    </row>
    <row r="2549" customFormat="false" ht="14.25" hidden="false" customHeight="false" outlineLevel="0" collapsed="false">
      <c r="A2549" s="16" t="s">
        <v>42</v>
      </c>
      <c r="B2549" s="16" t="s">
        <v>155</v>
      </c>
      <c r="C2549" s="16" t="s">
        <v>161</v>
      </c>
      <c r="D2549" s="38" t="n">
        <v>1</v>
      </c>
      <c r="E2549" s="39" t="n">
        <v>28328.94</v>
      </c>
      <c r="F2549" s="22" t="n">
        <f aca="false">IFERROR(D2549*E2549,0)</f>
        <v>28328.94</v>
      </c>
      <c r="G2549" s="16" t="str">
        <f aca="false">INDEX(SETORES!$B:$B,MATCH(A2549,SETORES!$A:$A,0))</f>
        <v>Clientes</v>
      </c>
      <c r="H2549" s="16" t="s">
        <v>259</v>
      </c>
    </row>
    <row r="2550" customFormat="false" ht="14.25" hidden="false" customHeight="false" outlineLevel="0" collapsed="false">
      <c r="A2550" s="16" t="s">
        <v>42</v>
      </c>
      <c r="B2550" s="16" t="s">
        <v>162</v>
      </c>
      <c r="C2550" s="16" t="s">
        <v>215</v>
      </c>
      <c r="D2550" s="38"/>
      <c r="E2550" s="39"/>
      <c r="F2550" s="22" t="n">
        <f aca="false">IFERROR(D2550*E2550,0)</f>
        <v>0</v>
      </c>
      <c r="G2550" s="16" t="str">
        <f aca="false">INDEX(SETORES!$B:$B,MATCH(A2550,SETORES!$A:$A,0))</f>
        <v>Clientes</v>
      </c>
      <c r="H2550" s="16" t="s">
        <v>259</v>
      </c>
    </row>
    <row r="2551" customFormat="false" ht="14.25" hidden="false" customHeight="false" outlineLevel="0" collapsed="false">
      <c r="A2551" s="16" t="s">
        <v>42</v>
      </c>
      <c r="B2551" s="16" t="s">
        <v>162</v>
      </c>
      <c r="C2551" s="16" t="s">
        <v>163</v>
      </c>
      <c r="D2551" s="38"/>
      <c r="E2551" s="39"/>
      <c r="F2551" s="22" t="n">
        <f aca="false">IFERROR(D2551*E2551,0)</f>
        <v>0</v>
      </c>
      <c r="G2551" s="16" t="str">
        <f aca="false">INDEX(SETORES!$B:$B,MATCH(A2551,SETORES!$A:$A,0))</f>
        <v>Clientes</v>
      </c>
      <c r="H2551" s="16" t="s">
        <v>259</v>
      </c>
    </row>
    <row r="2552" customFormat="false" ht="14.25" hidden="false" customHeight="false" outlineLevel="0" collapsed="false">
      <c r="A2552" s="16" t="s">
        <v>42</v>
      </c>
      <c r="B2552" s="16" t="s">
        <v>162</v>
      </c>
      <c r="C2552" s="16" t="s">
        <v>164</v>
      </c>
      <c r="D2552" s="38"/>
      <c r="E2552" s="39"/>
      <c r="F2552" s="22" t="n">
        <f aca="false">IFERROR(D2552*E2552,0)</f>
        <v>0</v>
      </c>
      <c r="G2552" s="16" t="str">
        <f aca="false">INDEX(SETORES!$B:$B,MATCH(A2552,SETORES!$A:$A,0))</f>
        <v>Clientes</v>
      </c>
      <c r="H2552" s="16" t="s">
        <v>259</v>
      </c>
    </row>
    <row r="2553" customFormat="false" ht="14.25" hidden="false" customHeight="false" outlineLevel="0" collapsed="false">
      <c r="A2553" s="16" t="s">
        <v>42</v>
      </c>
      <c r="B2553" s="16" t="s">
        <v>155</v>
      </c>
      <c r="C2553" s="16" t="s">
        <v>166</v>
      </c>
      <c r="D2553" s="38" t="n">
        <v>2</v>
      </c>
      <c r="E2553" s="39" t="n">
        <v>50</v>
      </c>
      <c r="F2553" s="22" t="n">
        <f aca="false">IFERROR(D2553*E2553,0)</f>
        <v>100</v>
      </c>
      <c r="G2553" s="16" t="str">
        <f aca="false">INDEX(SETORES!$B:$B,MATCH(A2553,SETORES!$A:$A,0))</f>
        <v>Clientes</v>
      </c>
      <c r="H2553" s="16" t="s">
        <v>259</v>
      </c>
    </row>
    <row r="2554" customFormat="false" ht="14.25" hidden="false" customHeight="false" outlineLevel="0" collapsed="false">
      <c r="A2554" s="16" t="s">
        <v>42</v>
      </c>
      <c r="B2554" s="16" t="s">
        <v>155</v>
      </c>
      <c r="C2554" s="16" t="s">
        <v>167</v>
      </c>
      <c r="D2554" s="38"/>
      <c r="E2554" s="39"/>
      <c r="F2554" s="22" t="n">
        <f aca="false">IFERROR(D2554*E2554,0)</f>
        <v>0</v>
      </c>
      <c r="G2554" s="16" t="str">
        <f aca="false">INDEX(SETORES!$B:$B,MATCH(A2554,SETORES!$A:$A,0))</f>
        <v>Clientes</v>
      </c>
      <c r="H2554" s="16" t="s">
        <v>259</v>
      </c>
    </row>
    <row r="2555" customFormat="false" ht="14.25" hidden="false" customHeight="false" outlineLevel="0" collapsed="false">
      <c r="A2555" s="16" t="s">
        <v>42</v>
      </c>
      <c r="B2555" s="16" t="s">
        <v>155</v>
      </c>
      <c r="C2555" s="16" t="s">
        <v>168</v>
      </c>
      <c r="D2555" s="38" t="n">
        <v>2</v>
      </c>
      <c r="E2555" s="39" t="n">
        <v>1.87</v>
      </c>
      <c r="F2555" s="22" t="n">
        <f aca="false">IFERROR(D2555*E2555,0)</f>
        <v>3.74</v>
      </c>
      <c r="G2555" s="16" t="str">
        <f aca="false">INDEX(SETORES!$B:$B,MATCH(A2555,SETORES!$A:$A,0))</f>
        <v>Clientes</v>
      </c>
      <c r="H2555" s="16" t="s">
        <v>259</v>
      </c>
    </row>
    <row r="2556" customFormat="false" ht="14.25" hidden="false" customHeight="false" outlineLevel="0" collapsed="false">
      <c r="A2556" s="16" t="s">
        <v>45</v>
      </c>
      <c r="B2556" s="16" t="s">
        <v>155</v>
      </c>
      <c r="C2556" s="16" t="s">
        <v>156</v>
      </c>
      <c r="D2556" s="38"/>
      <c r="E2556" s="39"/>
      <c r="F2556" s="22" t="n">
        <f aca="false">IFERROR(D2556*E2556,0)</f>
        <v>0</v>
      </c>
      <c r="G2556" s="16" t="str">
        <f aca="false">INDEX(SETORES!$B:$B,MATCH(A2556,SETORES!$A:$A,0))</f>
        <v>Clientes</v>
      </c>
      <c r="H2556" s="16" t="s">
        <v>259</v>
      </c>
    </row>
    <row r="2557" customFormat="false" ht="14.25" hidden="false" customHeight="false" outlineLevel="0" collapsed="false">
      <c r="A2557" s="16" t="s">
        <v>45</v>
      </c>
      <c r="B2557" s="16" t="s">
        <v>155</v>
      </c>
      <c r="C2557" s="16" t="s">
        <v>157</v>
      </c>
      <c r="D2557" s="38"/>
      <c r="E2557" s="39"/>
      <c r="F2557" s="22" t="n">
        <f aca="false">IFERROR(D2557*E2557,0)</f>
        <v>0</v>
      </c>
      <c r="G2557" s="16" t="str">
        <f aca="false">INDEX(SETORES!$B:$B,MATCH(A2557,SETORES!$A:$A,0))</f>
        <v>Clientes</v>
      </c>
      <c r="H2557" s="16" t="s">
        <v>259</v>
      </c>
    </row>
    <row r="2558" customFormat="false" ht="14.25" hidden="false" customHeight="false" outlineLevel="0" collapsed="false">
      <c r="A2558" s="16" t="s">
        <v>45</v>
      </c>
      <c r="B2558" s="16" t="s">
        <v>162</v>
      </c>
      <c r="C2558" s="16" t="s">
        <v>194</v>
      </c>
      <c r="D2558" s="38"/>
      <c r="E2558" s="39"/>
      <c r="F2558" s="22" t="n">
        <f aca="false">IFERROR(D2558*E2558,0)</f>
        <v>0</v>
      </c>
      <c r="G2558" s="16" t="str">
        <f aca="false">INDEX(SETORES!$B:$B,MATCH(A2558,SETORES!$A:$A,0))</f>
        <v>Clientes</v>
      </c>
      <c r="H2558" s="16" t="s">
        <v>259</v>
      </c>
    </row>
    <row r="2559" customFormat="false" ht="14.25" hidden="false" customHeight="false" outlineLevel="0" collapsed="false">
      <c r="A2559" s="16" t="s">
        <v>45</v>
      </c>
      <c r="B2559" s="16" t="s">
        <v>155</v>
      </c>
      <c r="C2559" s="16" t="s">
        <v>158</v>
      </c>
      <c r="D2559" s="38"/>
      <c r="E2559" s="39"/>
      <c r="F2559" s="22" t="n">
        <f aca="false">IFERROR(D2559*E2559,0)</f>
        <v>0</v>
      </c>
      <c r="G2559" s="16" t="str">
        <f aca="false">INDEX(SETORES!$B:$B,MATCH(A2559,SETORES!$A:$A,0))</f>
        <v>Clientes</v>
      </c>
      <c r="H2559" s="16" t="s">
        <v>259</v>
      </c>
    </row>
    <row r="2560" customFormat="false" ht="14.25" hidden="false" customHeight="false" outlineLevel="0" collapsed="false">
      <c r="A2560" s="16" t="s">
        <v>45</v>
      </c>
      <c r="B2560" s="16" t="s">
        <v>155</v>
      </c>
      <c r="C2560" s="16" t="s">
        <v>159</v>
      </c>
      <c r="D2560" s="38"/>
      <c r="E2560" s="39"/>
      <c r="F2560" s="22" t="n">
        <f aca="false">IFERROR(D2560*E2560,0)</f>
        <v>0</v>
      </c>
      <c r="G2560" s="16" t="str">
        <f aca="false">INDEX(SETORES!$B:$B,MATCH(A2560,SETORES!$A:$A,0))</f>
        <v>Clientes</v>
      </c>
      <c r="H2560" s="16" t="s">
        <v>259</v>
      </c>
    </row>
    <row r="2561" customFormat="false" ht="14.25" hidden="false" customHeight="false" outlineLevel="0" collapsed="false">
      <c r="A2561" s="16" t="s">
        <v>45</v>
      </c>
      <c r="B2561" s="16" t="s">
        <v>155</v>
      </c>
      <c r="C2561" s="16" t="s">
        <v>160</v>
      </c>
      <c r="D2561" s="38"/>
      <c r="E2561" s="39"/>
      <c r="F2561" s="22" t="n">
        <f aca="false">IFERROR(D2561*E2561,0)</f>
        <v>0</v>
      </c>
      <c r="G2561" s="16" t="str">
        <f aca="false">INDEX(SETORES!$B:$B,MATCH(A2561,SETORES!$A:$A,0))</f>
        <v>Clientes</v>
      </c>
      <c r="H2561" s="16" t="s">
        <v>259</v>
      </c>
    </row>
    <row r="2562" customFormat="false" ht="14.25" hidden="false" customHeight="false" outlineLevel="0" collapsed="false">
      <c r="A2562" s="16" t="s">
        <v>45</v>
      </c>
      <c r="B2562" s="16" t="s">
        <v>155</v>
      </c>
      <c r="C2562" s="16" t="s">
        <v>161</v>
      </c>
      <c r="D2562" s="38" t="n">
        <v>1</v>
      </c>
      <c r="E2562" s="39" t="n">
        <v>64244.34</v>
      </c>
      <c r="F2562" s="22" t="n">
        <f aca="false">IFERROR(D2562*E2562,0)</f>
        <v>64244.34</v>
      </c>
      <c r="G2562" s="16" t="str">
        <f aca="false">INDEX(SETORES!$B:$B,MATCH(A2562,SETORES!$A:$A,0))</f>
        <v>Clientes</v>
      </c>
      <c r="H2562" s="16" t="s">
        <v>259</v>
      </c>
    </row>
    <row r="2563" customFormat="false" ht="14.25" hidden="false" customHeight="false" outlineLevel="0" collapsed="false">
      <c r="A2563" s="16" t="s">
        <v>45</v>
      </c>
      <c r="B2563" s="16" t="s">
        <v>162</v>
      </c>
      <c r="C2563" s="16" t="s">
        <v>163</v>
      </c>
      <c r="D2563" s="38" t="n">
        <v>1</v>
      </c>
      <c r="E2563" s="39" t="n">
        <v>90</v>
      </c>
      <c r="F2563" s="22" t="n">
        <f aca="false">IFERROR(D2563*E2563,0)</f>
        <v>90</v>
      </c>
      <c r="G2563" s="16" t="str">
        <f aca="false">INDEX(SETORES!$B:$B,MATCH(A2563,SETORES!$A:$A,0))</f>
        <v>Clientes</v>
      </c>
      <c r="H2563" s="16" t="s">
        <v>259</v>
      </c>
    </row>
    <row r="2564" customFormat="false" ht="14.25" hidden="false" customHeight="false" outlineLevel="0" collapsed="false">
      <c r="A2564" s="16" t="s">
        <v>45</v>
      </c>
      <c r="B2564" s="16" t="s">
        <v>162</v>
      </c>
      <c r="C2564" s="16" t="s">
        <v>164</v>
      </c>
      <c r="D2564" s="38"/>
      <c r="E2564" s="39"/>
      <c r="F2564" s="22" t="n">
        <f aca="false">IFERROR(D2564*E2564,0)</f>
        <v>0</v>
      </c>
      <c r="G2564" s="16" t="str">
        <f aca="false">INDEX(SETORES!$B:$B,MATCH(A2564,SETORES!$A:$A,0))</f>
        <v>Clientes</v>
      </c>
      <c r="H2564" s="16" t="s">
        <v>259</v>
      </c>
    </row>
    <row r="2565" customFormat="false" ht="14.25" hidden="false" customHeight="false" outlineLevel="0" collapsed="false">
      <c r="A2565" s="16" t="s">
        <v>45</v>
      </c>
      <c r="B2565" s="16" t="s">
        <v>162</v>
      </c>
      <c r="C2565" s="16" t="s">
        <v>209</v>
      </c>
      <c r="D2565" s="38"/>
      <c r="E2565" s="39"/>
      <c r="F2565" s="22" t="n">
        <f aca="false">IFERROR(D2565*E2565,0)</f>
        <v>0</v>
      </c>
      <c r="G2565" s="16" t="str">
        <f aca="false">INDEX(SETORES!$B:$B,MATCH(A2565,SETORES!$A:$A,0))</f>
        <v>Clientes</v>
      </c>
      <c r="H2565" s="16" t="s">
        <v>259</v>
      </c>
    </row>
    <row r="2566" customFormat="false" ht="14.25" hidden="false" customHeight="false" outlineLevel="0" collapsed="false">
      <c r="A2566" s="16" t="s">
        <v>45</v>
      </c>
      <c r="B2566" s="16" t="s">
        <v>162</v>
      </c>
      <c r="C2566" s="16" t="s">
        <v>222</v>
      </c>
      <c r="D2566" s="38"/>
      <c r="E2566" s="39"/>
      <c r="F2566" s="22" t="n">
        <f aca="false">IFERROR(D2566*E2566,0)</f>
        <v>0</v>
      </c>
      <c r="G2566" s="16" t="str">
        <f aca="false">INDEX(SETORES!$B:$B,MATCH(A2566,SETORES!$A:$A,0))</f>
        <v>Clientes</v>
      </c>
      <c r="H2566" s="16" t="s">
        <v>259</v>
      </c>
    </row>
    <row r="2567" customFormat="false" ht="14.25" hidden="false" customHeight="false" outlineLevel="0" collapsed="false">
      <c r="A2567" s="16" t="s">
        <v>45</v>
      </c>
      <c r="B2567" s="16" t="s">
        <v>155</v>
      </c>
      <c r="C2567" s="16" t="s">
        <v>166</v>
      </c>
      <c r="D2567" s="38" t="n">
        <v>9</v>
      </c>
      <c r="E2567" s="39" t="n">
        <v>50</v>
      </c>
      <c r="F2567" s="22" t="n">
        <f aca="false">IFERROR(D2567*E2567,0)</f>
        <v>450</v>
      </c>
      <c r="G2567" s="16" t="str">
        <f aca="false">INDEX(SETORES!$B:$B,MATCH(A2567,SETORES!$A:$A,0))</f>
        <v>Clientes</v>
      </c>
      <c r="H2567" s="16" t="s">
        <v>259</v>
      </c>
    </row>
    <row r="2568" customFormat="false" ht="14.25" hidden="false" customHeight="false" outlineLevel="0" collapsed="false">
      <c r="A2568" s="16" t="s">
        <v>45</v>
      </c>
      <c r="B2568" s="16" t="s">
        <v>162</v>
      </c>
      <c r="C2568" s="16" t="s">
        <v>217</v>
      </c>
      <c r="D2568" s="38"/>
      <c r="E2568" s="39"/>
      <c r="F2568" s="22" t="n">
        <f aca="false">IFERROR(D2568*E2568,0)</f>
        <v>0</v>
      </c>
      <c r="G2568" s="16" t="str">
        <f aca="false">INDEX(SETORES!$B:$B,MATCH(A2568,SETORES!$A:$A,0))</f>
        <v>Clientes</v>
      </c>
      <c r="H2568" s="16" t="s">
        <v>259</v>
      </c>
    </row>
    <row r="2569" customFormat="false" ht="14.25" hidden="false" customHeight="false" outlineLevel="0" collapsed="false">
      <c r="A2569" s="16" t="s">
        <v>45</v>
      </c>
      <c r="B2569" s="16" t="s">
        <v>155</v>
      </c>
      <c r="C2569" s="16" t="s">
        <v>238</v>
      </c>
      <c r="D2569" s="38"/>
      <c r="E2569" s="39"/>
      <c r="F2569" s="22" t="n">
        <f aca="false">IFERROR(D2569*E2569,0)</f>
        <v>0</v>
      </c>
      <c r="G2569" s="16" t="str">
        <f aca="false">INDEX(SETORES!$B:$B,MATCH(A2569,SETORES!$A:$A,0))</f>
        <v>Clientes</v>
      </c>
      <c r="H2569" s="16" t="s">
        <v>259</v>
      </c>
    </row>
    <row r="2570" customFormat="false" ht="14.25" hidden="false" customHeight="false" outlineLevel="0" collapsed="false">
      <c r="A2570" s="16" t="s">
        <v>45</v>
      </c>
      <c r="B2570" s="16" t="s">
        <v>155</v>
      </c>
      <c r="C2570" s="16" t="s">
        <v>167</v>
      </c>
      <c r="D2570" s="38"/>
      <c r="E2570" s="39"/>
      <c r="F2570" s="22" t="n">
        <f aca="false">IFERROR(D2570*E2570,0)</f>
        <v>0</v>
      </c>
      <c r="G2570" s="16" t="str">
        <f aca="false">INDEX(SETORES!$B:$B,MATCH(A2570,SETORES!$A:$A,0))</f>
        <v>Clientes</v>
      </c>
      <c r="H2570" s="16" t="s">
        <v>259</v>
      </c>
    </row>
    <row r="2571" customFormat="false" ht="14.25" hidden="false" customHeight="false" outlineLevel="0" collapsed="false">
      <c r="A2571" s="16" t="s">
        <v>45</v>
      </c>
      <c r="B2571" s="16" t="s">
        <v>155</v>
      </c>
      <c r="C2571" s="16" t="s">
        <v>168</v>
      </c>
      <c r="D2571" s="38" t="n">
        <v>9</v>
      </c>
      <c r="E2571" s="39" t="n">
        <v>1.87</v>
      </c>
      <c r="F2571" s="22" t="n">
        <f aca="false">IFERROR(D2571*E2571,0)</f>
        <v>16.83</v>
      </c>
      <c r="G2571" s="16" t="str">
        <f aca="false">INDEX(SETORES!$B:$B,MATCH(A2571,SETORES!$A:$A,0))</f>
        <v>Clientes</v>
      </c>
      <c r="H2571" s="16" t="s">
        <v>259</v>
      </c>
    </row>
    <row r="2572" customFormat="false" ht="14.25" hidden="false" customHeight="false" outlineLevel="0" collapsed="false">
      <c r="A2572" s="16" t="s">
        <v>50</v>
      </c>
      <c r="B2572" s="16" t="s">
        <v>155</v>
      </c>
      <c r="C2572" s="16" t="s">
        <v>156</v>
      </c>
      <c r="D2572" s="38"/>
      <c r="E2572" s="39"/>
      <c r="F2572" s="22" t="n">
        <f aca="false">IFERROR(D2572*E2572,0)</f>
        <v>0</v>
      </c>
      <c r="G2572" s="16" t="str">
        <f aca="false">INDEX(SETORES!$B:$B,MATCH(A2572,SETORES!$A:$A,0))</f>
        <v>Clientes</v>
      </c>
      <c r="H2572" s="16" t="s">
        <v>259</v>
      </c>
    </row>
    <row r="2573" customFormat="false" ht="14.25" hidden="false" customHeight="false" outlineLevel="0" collapsed="false">
      <c r="A2573" s="16" t="s">
        <v>50</v>
      </c>
      <c r="B2573" s="16" t="s">
        <v>155</v>
      </c>
      <c r="C2573" s="16" t="s">
        <v>157</v>
      </c>
      <c r="D2573" s="38" t="n">
        <v>1</v>
      </c>
      <c r="E2573" s="39" t="n">
        <v>828.61</v>
      </c>
      <c r="F2573" s="22" t="n">
        <f aca="false">IFERROR(D2573*E2573,0)</f>
        <v>828.61</v>
      </c>
      <c r="G2573" s="16" t="str">
        <f aca="false">INDEX(SETORES!$B:$B,MATCH(A2573,SETORES!$A:$A,0))</f>
        <v>Clientes</v>
      </c>
      <c r="H2573" s="16" t="s">
        <v>259</v>
      </c>
    </row>
    <row r="2574" customFormat="false" ht="14.25" hidden="false" customHeight="false" outlineLevel="0" collapsed="false">
      <c r="A2574" s="16" t="s">
        <v>50</v>
      </c>
      <c r="B2574" s="16" t="s">
        <v>155</v>
      </c>
      <c r="C2574" s="16" t="s">
        <v>158</v>
      </c>
      <c r="D2574" s="38"/>
      <c r="E2574" s="39"/>
      <c r="F2574" s="22" t="n">
        <f aca="false">IFERROR(D2574*E2574,0)</f>
        <v>0</v>
      </c>
      <c r="G2574" s="16" t="str">
        <f aca="false">INDEX(SETORES!$B:$B,MATCH(A2574,SETORES!$A:$A,0))</f>
        <v>Clientes</v>
      </c>
      <c r="H2574" s="16" t="s">
        <v>259</v>
      </c>
    </row>
    <row r="2575" customFormat="false" ht="14.25" hidden="false" customHeight="false" outlineLevel="0" collapsed="false">
      <c r="A2575" s="16" t="s">
        <v>50</v>
      </c>
      <c r="B2575" s="16" t="s">
        <v>155</v>
      </c>
      <c r="C2575" s="16" t="s">
        <v>159</v>
      </c>
      <c r="D2575" s="38"/>
      <c r="E2575" s="39"/>
      <c r="F2575" s="22" t="n">
        <f aca="false">IFERROR(D2575*E2575,0)</f>
        <v>0</v>
      </c>
      <c r="G2575" s="16" t="str">
        <f aca="false">INDEX(SETORES!$B:$B,MATCH(A2575,SETORES!$A:$A,0))</f>
        <v>Clientes</v>
      </c>
      <c r="H2575" s="16" t="s">
        <v>259</v>
      </c>
    </row>
    <row r="2576" customFormat="false" ht="14.25" hidden="false" customHeight="false" outlineLevel="0" collapsed="false">
      <c r="A2576" s="16" t="s">
        <v>50</v>
      </c>
      <c r="B2576" s="16" t="s">
        <v>155</v>
      </c>
      <c r="C2576" s="16" t="s">
        <v>160</v>
      </c>
      <c r="D2576" s="38"/>
      <c r="E2576" s="39"/>
      <c r="F2576" s="22" t="n">
        <f aca="false">IFERROR(D2576*E2576,0)</f>
        <v>0</v>
      </c>
      <c r="G2576" s="16" t="str">
        <f aca="false">INDEX(SETORES!$B:$B,MATCH(A2576,SETORES!$A:$A,0))</f>
        <v>Clientes</v>
      </c>
      <c r="H2576" s="16" t="s">
        <v>259</v>
      </c>
    </row>
    <row r="2577" customFormat="false" ht="14.25" hidden="false" customHeight="false" outlineLevel="0" collapsed="false">
      <c r="A2577" s="16" t="s">
        <v>50</v>
      </c>
      <c r="B2577" s="16" t="s">
        <v>155</v>
      </c>
      <c r="C2577" s="16" t="s">
        <v>161</v>
      </c>
      <c r="D2577" s="38" t="n">
        <v>1</v>
      </c>
      <c r="E2577" s="39" t="n">
        <v>96388.9</v>
      </c>
      <c r="F2577" s="22" t="n">
        <f aca="false">IFERROR(D2577*E2577,0)</f>
        <v>96388.9</v>
      </c>
      <c r="G2577" s="16" t="str">
        <f aca="false">INDEX(SETORES!$B:$B,MATCH(A2577,SETORES!$A:$A,0))</f>
        <v>Clientes</v>
      </c>
      <c r="H2577" s="16" t="s">
        <v>259</v>
      </c>
    </row>
    <row r="2578" customFormat="false" ht="14.25" hidden="false" customHeight="false" outlineLevel="0" collapsed="false">
      <c r="A2578" s="16" t="s">
        <v>50</v>
      </c>
      <c r="B2578" s="16" t="s">
        <v>162</v>
      </c>
      <c r="C2578" s="16" t="s">
        <v>163</v>
      </c>
      <c r="D2578" s="38"/>
      <c r="E2578" s="39"/>
      <c r="F2578" s="22" t="n">
        <f aca="false">IFERROR(D2578*E2578,0)</f>
        <v>0</v>
      </c>
      <c r="G2578" s="16" t="str">
        <f aca="false">INDEX(SETORES!$B:$B,MATCH(A2578,SETORES!$A:$A,0))</f>
        <v>Clientes</v>
      </c>
      <c r="H2578" s="16" t="s">
        <v>259</v>
      </c>
    </row>
    <row r="2579" customFormat="false" ht="14.25" hidden="false" customHeight="false" outlineLevel="0" collapsed="false">
      <c r="A2579" s="16" t="s">
        <v>50</v>
      </c>
      <c r="B2579" s="16" t="s">
        <v>162</v>
      </c>
      <c r="C2579" s="16" t="s">
        <v>164</v>
      </c>
      <c r="D2579" s="38"/>
      <c r="E2579" s="39"/>
      <c r="F2579" s="22" t="n">
        <f aca="false">IFERROR(D2579*E2579,0)</f>
        <v>0</v>
      </c>
      <c r="G2579" s="16" t="str">
        <f aca="false">INDEX(SETORES!$B:$B,MATCH(A2579,SETORES!$A:$A,0))</f>
        <v>Clientes</v>
      </c>
      <c r="H2579" s="16" t="s">
        <v>259</v>
      </c>
    </row>
    <row r="2580" customFormat="false" ht="14.25" hidden="false" customHeight="false" outlineLevel="0" collapsed="false">
      <c r="A2580" s="16" t="s">
        <v>50</v>
      </c>
      <c r="B2580" s="16" t="s">
        <v>162</v>
      </c>
      <c r="C2580" s="16" t="s">
        <v>209</v>
      </c>
      <c r="D2580" s="38"/>
      <c r="E2580" s="39"/>
      <c r="F2580" s="22" t="n">
        <f aca="false">IFERROR(D2580*E2580,0)</f>
        <v>0</v>
      </c>
      <c r="G2580" s="16" t="str">
        <f aca="false">INDEX(SETORES!$B:$B,MATCH(A2580,SETORES!$A:$A,0))</f>
        <v>Clientes</v>
      </c>
      <c r="H2580" s="16" t="s">
        <v>259</v>
      </c>
    </row>
    <row r="2581" customFormat="false" ht="14.25" hidden="false" customHeight="false" outlineLevel="0" collapsed="false">
      <c r="A2581" s="16" t="s">
        <v>50</v>
      </c>
      <c r="B2581" s="16" t="s">
        <v>162</v>
      </c>
      <c r="C2581" s="16" t="s">
        <v>222</v>
      </c>
      <c r="D2581" s="38"/>
      <c r="E2581" s="39"/>
      <c r="F2581" s="22" t="n">
        <f aca="false">IFERROR(D2581*E2581,0)</f>
        <v>0</v>
      </c>
      <c r="G2581" s="16" t="str">
        <f aca="false">INDEX(SETORES!$B:$B,MATCH(A2581,SETORES!$A:$A,0))</f>
        <v>Clientes</v>
      </c>
      <c r="H2581" s="16" t="s">
        <v>259</v>
      </c>
    </row>
    <row r="2582" customFormat="false" ht="14.25" hidden="false" customHeight="false" outlineLevel="0" collapsed="false">
      <c r="A2582" s="16" t="s">
        <v>50</v>
      </c>
      <c r="B2582" s="16" t="s">
        <v>162</v>
      </c>
      <c r="C2582" s="16" t="s">
        <v>165</v>
      </c>
      <c r="D2582" s="38"/>
      <c r="E2582" s="39"/>
      <c r="F2582" s="22" t="n">
        <f aca="false">IFERROR(D2582*E2582,0)</f>
        <v>0</v>
      </c>
      <c r="G2582" s="16" t="str">
        <f aca="false">INDEX(SETORES!$B:$B,MATCH(A2582,SETORES!$A:$A,0))</f>
        <v>Clientes</v>
      </c>
      <c r="H2582" s="16" t="s">
        <v>259</v>
      </c>
    </row>
    <row r="2583" customFormat="false" ht="14.25" hidden="false" customHeight="false" outlineLevel="0" collapsed="false">
      <c r="A2583" s="16" t="s">
        <v>50</v>
      </c>
      <c r="B2583" s="16" t="s">
        <v>155</v>
      </c>
      <c r="C2583" s="16" t="s">
        <v>166</v>
      </c>
      <c r="D2583" s="38" t="n">
        <v>16</v>
      </c>
      <c r="E2583" s="39" t="n">
        <v>50</v>
      </c>
      <c r="F2583" s="22" t="n">
        <f aca="false">IFERROR(D2583*E2583,0)</f>
        <v>800</v>
      </c>
      <c r="G2583" s="16" t="str">
        <f aca="false">INDEX(SETORES!$B:$B,MATCH(A2583,SETORES!$A:$A,0))</f>
        <v>Clientes</v>
      </c>
      <c r="H2583" s="16" t="s">
        <v>259</v>
      </c>
    </row>
    <row r="2584" customFormat="false" ht="14.25" hidden="false" customHeight="false" outlineLevel="0" collapsed="false">
      <c r="A2584" s="16" t="s">
        <v>50</v>
      </c>
      <c r="B2584" s="16" t="s">
        <v>155</v>
      </c>
      <c r="C2584" s="16" t="s">
        <v>238</v>
      </c>
      <c r="D2584" s="38"/>
      <c r="E2584" s="39"/>
      <c r="F2584" s="22" t="n">
        <f aca="false">IFERROR(D2584*E2584,0)</f>
        <v>0</v>
      </c>
      <c r="G2584" s="16" t="str">
        <f aca="false">INDEX(SETORES!$B:$B,MATCH(A2584,SETORES!$A:$A,0))</f>
        <v>Clientes</v>
      </c>
      <c r="H2584" s="16" t="s">
        <v>259</v>
      </c>
    </row>
    <row r="2585" customFormat="false" ht="14.25" hidden="false" customHeight="false" outlineLevel="0" collapsed="false">
      <c r="A2585" s="16" t="s">
        <v>50</v>
      </c>
      <c r="B2585" s="16" t="s">
        <v>155</v>
      </c>
      <c r="C2585" s="16" t="s">
        <v>167</v>
      </c>
      <c r="D2585" s="38"/>
      <c r="E2585" s="39"/>
      <c r="F2585" s="22" t="n">
        <f aca="false">IFERROR(D2585*E2585,0)</f>
        <v>0</v>
      </c>
      <c r="G2585" s="16" t="str">
        <f aca="false">INDEX(SETORES!$B:$B,MATCH(A2585,SETORES!$A:$A,0))</f>
        <v>Clientes</v>
      </c>
      <c r="H2585" s="16" t="s">
        <v>259</v>
      </c>
    </row>
    <row r="2586" customFormat="false" ht="14.25" hidden="false" customHeight="false" outlineLevel="0" collapsed="false">
      <c r="A2586" s="16" t="s">
        <v>50</v>
      </c>
      <c r="B2586" s="16" t="s">
        <v>155</v>
      </c>
      <c r="C2586" s="16" t="s">
        <v>168</v>
      </c>
      <c r="D2586" s="38" t="n">
        <v>16</v>
      </c>
      <c r="E2586" s="39" t="n">
        <v>1.87</v>
      </c>
      <c r="F2586" s="22" t="n">
        <f aca="false">IFERROR(D2586*E2586,0)</f>
        <v>29.92</v>
      </c>
      <c r="G2586" s="16" t="str">
        <f aca="false">INDEX(SETORES!$B:$B,MATCH(A2586,SETORES!$A:$A,0))</f>
        <v>Clientes</v>
      </c>
      <c r="H2586" s="16" t="s">
        <v>259</v>
      </c>
    </row>
    <row r="2587" customFormat="false" ht="14.25" hidden="false" customHeight="false" outlineLevel="0" collapsed="false">
      <c r="A2587" s="16" t="s">
        <v>36</v>
      </c>
      <c r="B2587" s="16" t="s">
        <v>155</v>
      </c>
      <c r="C2587" s="16" t="s">
        <v>156</v>
      </c>
      <c r="D2587" s="38" t="n">
        <v>1</v>
      </c>
      <c r="E2587" s="39" t="n">
        <v>4.82</v>
      </c>
      <c r="F2587" s="22" t="n">
        <f aca="false">IFERROR(D2587*E2587,0)</f>
        <v>4.82</v>
      </c>
      <c r="G2587" s="16" t="str">
        <f aca="false">INDEX(SETORES!$B:$B,MATCH(A2587,SETORES!$A:$A,0))</f>
        <v>Clientes</v>
      </c>
      <c r="H2587" s="16" t="s">
        <v>259</v>
      </c>
    </row>
    <row r="2588" customFormat="false" ht="14.25" hidden="false" customHeight="false" outlineLevel="0" collapsed="false">
      <c r="A2588" s="16" t="s">
        <v>36</v>
      </c>
      <c r="B2588" s="16" t="s">
        <v>155</v>
      </c>
      <c r="C2588" s="16" t="s">
        <v>157</v>
      </c>
      <c r="D2588" s="38" t="n">
        <v>1</v>
      </c>
      <c r="E2588" s="39" t="n">
        <v>438.85</v>
      </c>
      <c r="F2588" s="22" t="n">
        <f aca="false">IFERROR(D2588*E2588,0)</f>
        <v>438.85</v>
      </c>
      <c r="G2588" s="16" t="str">
        <f aca="false">INDEX(SETORES!$B:$B,MATCH(A2588,SETORES!$A:$A,0))</f>
        <v>Clientes</v>
      </c>
      <c r="H2588" s="16" t="s">
        <v>259</v>
      </c>
    </row>
    <row r="2589" customFormat="false" ht="14.25" hidden="false" customHeight="false" outlineLevel="0" collapsed="false">
      <c r="A2589" s="16" t="s">
        <v>36</v>
      </c>
      <c r="B2589" s="16" t="s">
        <v>155</v>
      </c>
      <c r="C2589" s="16" t="s">
        <v>158</v>
      </c>
      <c r="D2589" s="38"/>
      <c r="E2589" s="39"/>
      <c r="F2589" s="22" t="n">
        <f aca="false">IFERROR(D2589*E2589,0)</f>
        <v>0</v>
      </c>
      <c r="G2589" s="16" t="str">
        <f aca="false">INDEX(SETORES!$B:$B,MATCH(A2589,SETORES!$A:$A,0))</f>
        <v>Clientes</v>
      </c>
      <c r="H2589" s="16" t="s">
        <v>259</v>
      </c>
    </row>
    <row r="2590" customFormat="false" ht="14.25" hidden="false" customHeight="false" outlineLevel="0" collapsed="false">
      <c r="A2590" s="16" t="s">
        <v>36</v>
      </c>
      <c r="B2590" s="16" t="s">
        <v>155</v>
      </c>
      <c r="C2590" s="16" t="s">
        <v>159</v>
      </c>
      <c r="D2590" s="38"/>
      <c r="E2590" s="39"/>
      <c r="F2590" s="22" t="n">
        <f aca="false">IFERROR(D2590*E2590,0)</f>
        <v>0</v>
      </c>
      <c r="G2590" s="16" t="str">
        <f aca="false">INDEX(SETORES!$B:$B,MATCH(A2590,SETORES!$A:$A,0))</f>
        <v>Clientes</v>
      </c>
      <c r="H2590" s="16" t="s">
        <v>259</v>
      </c>
    </row>
    <row r="2591" customFormat="false" ht="14.25" hidden="false" customHeight="false" outlineLevel="0" collapsed="false">
      <c r="A2591" s="16" t="s">
        <v>36</v>
      </c>
      <c r="B2591" s="16" t="s">
        <v>155</v>
      </c>
      <c r="C2591" s="16" t="s">
        <v>160</v>
      </c>
      <c r="D2591" s="38"/>
      <c r="E2591" s="39"/>
      <c r="F2591" s="22" t="n">
        <f aca="false">IFERROR(D2591*E2591,0)</f>
        <v>0</v>
      </c>
      <c r="G2591" s="16" t="str">
        <f aca="false">INDEX(SETORES!$B:$B,MATCH(A2591,SETORES!$A:$A,0))</f>
        <v>Clientes</v>
      </c>
      <c r="H2591" s="16" t="s">
        <v>259</v>
      </c>
    </row>
    <row r="2592" customFormat="false" ht="14.25" hidden="false" customHeight="false" outlineLevel="0" collapsed="false">
      <c r="A2592" s="16" t="s">
        <v>36</v>
      </c>
      <c r="B2592" s="16" t="s">
        <v>155</v>
      </c>
      <c r="C2592" s="16" t="s">
        <v>161</v>
      </c>
      <c r="D2592" s="38" t="n">
        <v>1</v>
      </c>
      <c r="E2592" s="39" t="n">
        <v>33181.94</v>
      </c>
      <c r="F2592" s="22" t="n">
        <f aca="false">IFERROR(D2592*E2592,0)</f>
        <v>33181.94</v>
      </c>
      <c r="G2592" s="16" t="str">
        <f aca="false">INDEX(SETORES!$B:$B,MATCH(A2592,SETORES!$A:$A,0))</f>
        <v>Clientes</v>
      </c>
      <c r="H2592" s="16" t="s">
        <v>259</v>
      </c>
    </row>
    <row r="2593" customFormat="false" ht="14.25" hidden="false" customHeight="false" outlineLevel="0" collapsed="false">
      <c r="A2593" s="16" t="s">
        <v>36</v>
      </c>
      <c r="B2593" s="16" t="s">
        <v>155</v>
      </c>
      <c r="C2593" s="16" t="s">
        <v>219</v>
      </c>
      <c r="D2593" s="38"/>
      <c r="E2593" s="39"/>
      <c r="F2593" s="22" t="n">
        <f aca="false">IFERROR(D2593*E2593,0)</f>
        <v>0</v>
      </c>
      <c r="G2593" s="16" t="str">
        <f aca="false">INDEX(SETORES!$B:$B,MATCH(A2593,SETORES!$A:$A,0))</f>
        <v>Clientes</v>
      </c>
      <c r="H2593" s="16" t="s">
        <v>259</v>
      </c>
    </row>
    <row r="2594" customFormat="false" ht="14.25" hidden="false" customHeight="false" outlineLevel="0" collapsed="false">
      <c r="A2594" s="16" t="s">
        <v>36</v>
      </c>
      <c r="B2594" s="16" t="s">
        <v>162</v>
      </c>
      <c r="C2594" s="16" t="s">
        <v>163</v>
      </c>
      <c r="D2594" s="38"/>
      <c r="E2594" s="39"/>
      <c r="F2594" s="22" t="n">
        <f aca="false">IFERROR(D2594*E2594,0)</f>
        <v>0</v>
      </c>
      <c r="G2594" s="16" t="str">
        <f aca="false">INDEX(SETORES!$B:$B,MATCH(A2594,SETORES!$A:$A,0))</f>
        <v>Clientes</v>
      </c>
      <c r="H2594" s="16" t="s">
        <v>259</v>
      </c>
    </row>
    <row r="2595" customFormat="false" ht="14.25" hidden="false" customHeight="false" outlineLevel="0" collapsed="false">
      <c r="A2595" s="16" t="s">
        <v>36</v>
      </c>
      <c r="B2595" s="16" t="s">
        <v>162</v>
      </c>
      <c r="C2595" s="16" t="s">
        <v>164</v>
      </c>
      <c r="D2595" s="38"/>
      <c r="E2595" s="39"/>
      <c r="F2595" s="22" t="n">
        <f aca="false">IFERROR(D2595*E2595,0)</f>
        <v>0</v>
      </c>
      <c r="G2595" s="16" t="str">
        <f aca="false">INDEX(SETORES!$B:$B,MATCH(A2595,SETORES!$A:$A,0))</f>
        <v>Clientes</v>
      </c>
      <c r="H2595" s="16" t="s">
        <v>259</v>
      </c>
    </row>
    <row r="2596" customFormat="false" ht="14.25" hidden="false" customHeight="false" outlineLevel="0" collapsed="false">
      <c r="A2596" s="16" t="s">
        <v>36</v>
      </c>
      <c r="B2596" s="16" t="s">
        <v>155</v>
      </c>
      <c r="C2596" s="16" t="s">
        <v>166</v>
      </c>
      <c r="D2596" s="38" t="n">
        <v>8</v>
      </c>
      <c r="E2596" s="39" t="n">
        <v>50</v>
      </c>
      <c r="F2596" s="22" t="n">
        <f aca="false">IFERROR(D2596*E2596,0)</f>
        <v>400</v>
      </c>
      <c r="G2596" s="16" t="str">
        <f aca="false">INDEX(SETORES!$B:$B,MATCH(A2596,SETORES!$A:$A,0))</f>
        <v>Clientes</v>
      </c>
      <c r="H2596" s="16" t="s">
        <v>259</v>
      </c>
    </row>
    <row r="2597" customFormat="false" ht="14.25" hidden="false" customHeight="false" outlineLevel="0" collapsed="false">
      <c r="A2597" s="16" t="s">
        <v>36</v>
      </c>
      <c r="B2597" s="16" t="s">
        <v>155</v>
      </c>
      <c r="C2597" s="16" t="s">
        <v>238</v>
      </c>
      <c r="D2597" s="38"/>
      <c r="E2597" s="39"/>
      <c r="F2597" s="22" t="n">
        <f aca="false">IFERROR(D2597*E2597,0)</f>
        <v>0</v>
      </c>
      <c r="G2597" s="16" t="str">
        <f aca="false">INDEX(SETORES!$B:$B,MATCH(A2597,SETORES!$A:$A,0))</f>
        <v>Clientes</v>
      </c>
      <c r="H2597" s="16" t="s">
        <v>259</v>
      </c>
    </row>
    <row r="2598" customFormat="false" ht="14.25" hidden="false" customHeight="false" outlineLevel="0" collapsed="false">
      <c r="A2598" s="16" t="s">
        <v>36</v>
      </c>
      <c r="B2598" s="16" t="s">
        <v>155</v>
      </c>
      <c r="C2598" s="16" t="s">
        <v>167</v>
      </c>
      <c r="D2598" s="38"/>
      <c r="E2598" s="39"/>
      <c r="F2598" s="22" t="n">
        <f aca="false">IFERROR(D2598*E2598,0)</f>
        <v>0</v>
      </c>
      <c r="G2598" s="16" t="str">
        <f aca="false">INDEX(SETORES!$B:$B,MATCH(A2598,SETORES!$A:$A,0))</f>
        <v>Clientes</v>
      </c>
      <c r="H2598" s="16" t="s">
        <v>259</v>
      </c>
    </row>
    <row r="2599" customFormat="false" ht="14.25" hidden="false" customHeight="false" outlineLevel="0" collapsed="false">
      <c r="A2599" s="16" t="s">
        <v>36</v>
      </c>
      <c r="B2599" s="16" t="s">
        <v>155</v>
      </c>
      <c r="C2599" s="16" t="s">
        <v>168</v>
      </c>
      <c r="D2599" s="38" t="n">
        <v>8</v>
      </c>
      <c r="E2599" s="39" t="n">
        <v>1.87</v>
      </c>
      <c r="F2599" s="22" t="n">
        <f aca="false">IFERROR(D2599*E2599,0)</f>
        <v>14.96</v>
      </c>
      <c r="G2599" s="16" t="str">
        <f aca="false">INDEX(SETORES!$B:$B,MATCH(A2599,SETORES!$A:$A,0))</f>
        <v>Clientes</v>
      </c>
      <c r="H2599" s="16" t="s">
        <v>259</v>
      </c>
    </row>
    <row r="2600" customFormat="false" ht="14.25" hidden="false" customHeight="false" outlineLevel="0" collapsed="false">
      <c r="A2600" s="16" t="s">
        <v>48</v>
      </c>
      <c r="B2600" s="16" t="s">
        <v>155</v>
      </c>
      <c r="C2600" s="16" t="s">
        <v>156</v>
      </c>
      <c r="D2600" s="38" t="n">
        <v>1</v>
      </c>
      <c r="E2600" s="39" t="n">
        <v>89.59</v>
      </c>
      <c r="F2600" s="22" t="n">
        <f aca="false">IFERROR(D2600*E2600,0)</f>
        <v>89.59</v>
      </c>
      <c r="G2600" s="16" t="str">
        <f aca="false">INDEX(SETORES!$B:$B,MATCH(A2600,SETORES!$A:$A,0))</f>
        <v>Clientes</v>
      </c>
      <c r="H2600" s="16" t="s">
        <v>259</v>
      </c>
    </row>
    <row r="2601" customFormat="false" ht="14.25" hidden="false" customHeight="false" outlineLevel="0" collapsed="false">
      <c r="A2601" s="16" t="s">
        <v>48</v>
      </c>
      <c r="B2601" s="16" t="s">
        <v>155</v>
      </c>
      <c r="C2601" s="16" t="s">
        <v>157</v>
      </c>
      <c r="D2601" s="38" t="n">
        <v>1</v>
      </c>
      <c r="E2601" s="39" t="n">
        <v>830.33</v>
      </c>
      <c r="F2601" s="22" t="n">
        <f aca="false">IFERROR(D2601*E2601,0)</f>
        <v>830.33</v>
      </c>
      <c r="G2601" s="16" t="str">
        <f aca="false">INDEX(SETORES!$B:$B,MATCH(A2601,SETORES!$A:$A,0))</f>
        <v>Clientes</v>
      </c>
      <c r="H2601" s="16" t="s">
        <v>259</v>
      </c>
    </row>
    <row r="2602" customFormat="false" ht="14.25" hidden="false" customHeight="false" outlineLevel="0" collapsed="false">
      <c r="A2602" s="16" t="s">
        <v>48</v>
      </c>
      <c r="B2602" s="16" t="s">
        <v>155</v>
      </c>
      <c r="C2602" s="16" t="s">
        <v>158</v>
      </c>
      <c r="D2602" s="38"/>
      <c r="E2602" s="39"/>
      <c r="F2602" s="22" t="n">
        <f aca="false">IFERROR(D2602*E2602,0)</f>
        <v>0</v>
      </c>
      <c r="G2602" s="16" t="str">
        <f aca="false">INDEX(SETORES!$B:$B,MATCH(A2602,SETORES!$A:$A,0))</f>
        <v>Clientes</v>
      </c>
      <c r="H2602" s="16" t="s">
        <v>259</v>
      </c>
    </row>
    <row r="2603" customFormat="false" ht="14.25" hidden="false" customHeight="false" outlineLevel="0" collapsed="false">
      <c r="A2603" s="16" t="s">
        <v>48</v>
      </c>
      <c r="B2603" s="16" t="s">
        <v>155</v>
      </c>
      <c r="C2603" s="16" t="s">
        <v>159</v>
      </c>
      <c r="D2603" s="38"/>
      <c r="E2603" s="39"/>
      <c r="F2603" s="22" t="n">
        <f aca="false">IFERROR(D2603*E2603,0)</f>
        <v>0</v>
      </c>
      <c r="G2603" s="16" t="str">
        <f aca="false">INDEX(SETORES!$B:$B,MATCH(A2603,SETORES!$A:$A,0))</f>
        <v>Clientes</v>
      </c>
      <c r="H2603" s="16" t="s">
        <v>259</v>
      </c>
    </row>
    <row r="2604" customFormat="false" ht="14.25" hidden="false" customHeight="false" outlineLevel="0" collapsed="false">
      <c r="A2604" s="16" t="s">
        <v>48</v>
      </c>
      <c r="B2604" s="16" t="s">
        <v>155</v>
      </c>
      <c r="C2604" s="16" t="s">
        <v>160</v>
      </c>
      <c r="D2604" s="38"/>
      <c r="E2604" s="39"/>
      <c r="F2604" s="22" t="n">
        <f aca="false">IFERROR(D2604*E2604,0)</f>
        <v>0</v>
      </c>
      <c r="G2604" s="16" t="str">
        <f aca="false">INDEX(SETORES!$B:$B,MATCH(A2604,SETORES!$A:$A,0))</f>
        <v>Clientes</v>
      </c>
      <c r="H2604" s="16" t="s">
        <v>259</v>
      </c>
    </row>
    <row r="2605" customFormat="false" ht="14.25" hidden="false" customHeight="false" outlineLevel="0" collapsed="false">
      <c r="A2605" s="16" t="s">
        <v>48</v>
      </c>
      <c r="B2605" s="16" t="s">
        <v>155</v>
      </c>
      <c r="C2605" s="16" t="s">
        <v>161</v>
      </c>
      <c r="D2605" s="38" t="n">
        <v>1</v>
      </c>
      <c r="E2605" s="39" t="n">
        <v>92482.68</v>
      </c>
      <c r="F2605" s="22" t="n">
        <f aca="false">IFERROR(D2605*E2605,0)</f>
        <v>92482.68</v>
      </c>
      <c r="G2605" s="16" t="str">
        <f aca="false">INDEX(SETORES!$B:$B,MATCH(A2605,SETORES!$A:$A,0))</f>
        <v>Clientes</v>
      </c>
      <c r="H2605" s="16" t="s">
        <v>259</v>
      </c>
    </row>
    <row r="2606" customFormat="false" ht="14.25" hidden="false" customHeight="false" outlineLevel="0" collapsed="false">
      <c r="A2606" s="16" t="s">
        <v>48</v>
      </c>
      <c r="B2606" s="16" t="s">
        <v>162</v>
      </c>
      <c r="C2606" s="16" t="s">
        <v>217</v>
      </c>
      <c r="D2606" s="38"/>
      <c r="E2606" s="39"/>
      <c r="F2606" s="22" t="n">
        <f aca="false">IFERROR(D2606*E2606,0)</f>
        <v>0</v>
      </c>
      <c r="G2606" s="16" t="str">
        <f aca="false">INDEX(SETORES!$B:$B,MATCH(A2606,SETORES!$A:$A,0))</f>
        <v>Clientes</v>
      </c>
      <c r="H2606" s="16" t="s">
        <v>259</v>
      </c>
    </row>
    <row r="2607" customFormat="false" ht="14.25" hidden="false" customHeight="false" outlineLevel="0" collapsed="false">
      <c r="A2607" s="16" t="s">
        <v>48</v>
      </c>
      <c r="B2607" s="16" t="s">
        <v>162</v>
      </c>
      <c r="C2607" s="16" t="s">
        <v>220</v>
      </c>
      <c r="D2607" s="38"/>
      <c r="E2607" s="39"/>
      <c r="F2607" s="22" t="n">
        <f aca="false">IFERROR(D2607*E2607,0)</f>
        <v>0</v>
      </c>
      <c r="G2607" s="16" t="str">
        <f aca="false">INDEX(SETORES!$B:$B,MATCH(A2607,SETORES!$A:$A,0))</f>
        <v>Clientes</v>
      </c>
      <c r="H2607" s="16" t="s">
        <v>259</v>
      </c>
    </row>
    <row r="2608" customFormat="false" ht="14.25" hidden="false" customHeight="false" outlineLevel="0" collapsed="false">
      <c r="A2608" s="16" t="s">
        <v>48</v>
      </c>
      <c r="B2608" s="16" t="s">
        <v>162</v>
      </c>
      <c r="C2608" s="16" t="s">
        <v>163</v>
      </c>
      <c r="D2608" s="38" t="n">
        <v>1</v>
      </c>
      <c r="E2608" s="39" t="n">
        <v>90</v>
      </c>
      <c r="F2608" s="22" t="n">
        <f aca="false">IFERROR(D2608*E2608,0)</f>
        <v>90</v>
      </c>
      <c r="G2608" s="16" t="str">
        <f aca="false">INDEX(SETORES!$B:$B,MATCH(A2608,SETORES!$A:$A,0))</f>
        <v>Clientes</v>
      </c>
      <c r="H2608" s="16" t="s">
        <v>259</v>
      </c>
    </row>
    <row r="2609" customFormat="false" ht="14.25" hidden="false" customHeight="false" outlineLevel="0" collapsed="false">
      <c r="A2609" s="16" t="s">
        <v>48</v>
      </c>
      <c r="B2609" s="16" t="s">
        <v>162</v>
      </c>
      <c r="C2609" s="16" t="s">
        <v>164</v>
      </c>
      <c r="D2609" s="38"/>
      <c r="E2609" s="39"/>
      <c r="F2609" s="22" t="n">
        <f aca="false">IFERROR(D2609*E2609,0)</f>
        <v>0</v>
      </c>
      <c r="G2609" s="16" t="str">
        <f aca="false">INDEX(SETORES!$B:$B,MATCH(A2609,SETORES!$A:$A,0))</f>
        <v>Clientes</v>
      </c>
      <c r="H2609" s="16" t="s">
        <v>259</v>
      </c>
    </row>
    <row r="2610" customFormat="false" ht="14.25" hidden="false" customHeight="false" outlineLevel="0" collapsed="false">
      <c r="A2610" s="16" t="s">
        <v>48</v>
      </c>
      <c r="B2610" s="16" t="s">
        <v>162</v>
      </c>
      <c r="C2610" s="16" t="s">
        <v>221</v>
      </c>
      <c r="D2610" s="38"/>
      <c r="E2610" s="39"/>
      <c r="F2610" s="22" t="n">
        <f aca="false">IFERROR(D2610*E2610,0)</f>
        <v>0</v>
      </c>
      <c r="G2610" s="16" t="str">
        <f aca="false">INDEX(SETORES!$B:$B,MATCH(A2610,SETORES!$A:$A,0))</f>
        <v>Clientes</v>
      </c>
      <c r="H2610" s="16" t="s">
        <v>259</v>
      </c>
    </row>
    <row r="2611" customFormat="false" ht="14.25" hidden="false" customHeight="false" outlineLevel="0" collapsed="false">
      <c r="A2611" s="16" t="s">
        <v>48</v>
      </c>
      <c r="B2611" s="16" t="s">
        <v>162</v>
      </c>
      <c r="C2611" s="16" t="s">
        <v>209</v>
      </c>
      <c r="D2611" s="38"/>
      <c r="E2611" s="39"/>
      <c r="F2611" s="22" t="n">
        <f aca="false">IFERROR(D2611*E2611,0)</f>
        <v>0</v>
      </c>
      <c r="G2611" s="16" t="str">
        <f aca="false">INDEX(SETORES!$B:$B,MATCH(A2611,SETORES!$A:$A,0))</f>
        <v>Clientes</v>
      </c>
      <c r="H2611" s="16" t="s">
        <v>259</v>
      </c>
    </row>
    <row r="2612" customFormat="false" ht="14.25" hidden="false" customHeight="false" outlineLevel="0" collapsed="false">
      <c r="A2612" s="16" t="s">
        <v>48</v>
      </c>
      <c r="B2612" s="16" t="s">
        <v>155</v>
      </c>
      <c r="C2612" s="16" t="s">
        <v>166</v>
      </c>
      <c r="D2612" s="38" t="n">
        <v>16</v>
      </c>
      <c r="E2612" s="39" t="n">
        <v>50</v>
      </c>
      <c r="F2612" s="22" t="n">
        <f aca="false">IFERROR(D2612*E2612,0)</f>
        <v>800</v>
      </c>
      <c r="G2612" s="16" t="str">
        <f aca="false">INDEX(SETORES!$B:$B,MATCH(A2612,SETORES!$A:$A,0))</f>
        <v>Clientes</v>
      </c>
      <c r="H2612" s="16" t="s">
        <v>259</v>
      </c>
    </row>
    <row r="2613" customFormat="false" ht="14.25" hidden="false" customHeight="false" outlineLevel="0" collapsed="false">
      <c r="A2613" s="16" t="s">
        <v>48</v>
      </c>
      <c r="B2613" s="16" t="s">
        <v>155</v>
      </c>
      <c r="C2613" s="16" t="s">
        <v>238</v>
      </c>
      <c r="D2613" s="38"/>
      <c r="E2613" s="39"/>
      <c r="F2613" s="22" t="n">
        <f aca="false">IFERROR(D2613*E2613,0)</f>
        <v>0</v>
      </c>
      <c r="G2613" s="16" t="str">
        <f aca="false">INDEX(SETORES!$B:$B,MATCH(A2613,SETORES!$A:$A,0))</f>
        <v>Clientes</v>
      </c>
      <c r="H2613" s="16" t="s">
        <v>259</v>
      </c>
    </row>
    <row r="2614" customFormat="false" ht="14.25" hidden="false" customHeight="false" outlineLevel="0" collapsed="false">
      <c r="A2614" s="16" t="s">
        <v>48</v>
      </c>
      <c r="B2614" s="16" t="s">
        <v>155</v>
      </c>
      <c r="C2614" s="16" t="s">
        <v>167</v>
      </c>
      <c r="D2614" s="38"/>
      <c r="E2614" s="39"/>
      <c r="F2614" s="22" t="n">
        <f aca="false">IFERROR(D2614*E2614,0)</f>
        <v>0</v>
      </c>
      <c r="G2614" s="16" t="str">
        <f aca="false">INDEX(SETORES!$B:$B,MATCH(A2614,SETORES!$A:$A,0))</f>
        <v>Clientes</v>
      </c>
      <c r="H2614" s="16" t="s">
        <v>259</v>
      </c>
    </row>
    <row r="2615" customFormat="false" ht="14.25" hidden="false" customHeight="false" outlineLevel="0" collapsed="false">
      <c r="A2615" s="16" t="s">
        <v>48</v>
      </c>
      <c r="B2615" s="16" t="s">
        <v>155</v>
      </c>
      <c r="C2615" s="16" t="s">
        <v>168</v>
      </c>
      <c r="D2615" s="38" t="n">
        <v>16</v>
      </c>
      <c r="E2615" s="39" t="n">
        <v>1.87</v>
      </c>
      <c r="F2615" s="22" t="n">
        <f aca="false">IFERROR(D2615*E2615,0)</f>
        <v>29.92</v>
      </c>
      <c r="G2615" s="16" t="str">
        <f aca="false">INDEX(SETORES!$B:$B,MATCH(A2615,SETORES!$A:$A,0))</f>
        <v>Clientes</v>
      </c>
      <c r="H2615" s="16" t="s">
        <v>259</v>
      </c>
    </row>
    <row r="2616" customFormat="false" ht="14.25" hidden="false" customHeight="false" outlineLevel="0" collapsed="false">
      <c r="A2616" s="16" t="s">
        <v>47</v>
      </c>
      <c r="B2616" s="16" t="s">
        <v>155</v>
      </c>
      <c r="C2616" s="16" t="s">
        <v>156</v>
      </c>
      <c r="D2616" s="38"/>
      <c r="E2616" s="39"/>
      <c r="F2616" s="22" t="n">
        <f aca="false">IFERROR(D2616*E2616,0)</f>
        <v>0</v>
      </c>
      <c r="G2616" s="16" t="str">
        <f aca="false">INDEX(SETORES!$B:$B,MATCH(A2616,SETORES!$A:$A,0))</f>
        <v>Clientes</v>
      </c>
      <c r="H2616" s="16" t="s">
        <v>259</v>
      </c>
    </row>
    <row r="2617" customFormat="false" ht="14.25" hidden="false" customHeight="false" outlineLevel="0" collapsed="false">
      <c r="A2617" s="16" t="s">
        <v>47</v>
      </c>
      <c r="B2617" s="16" t="s">
        <v>155</v>
      </c>
      <c r="C2617" s="16" t="s">
        <v>157</v>
      </c>
      <c r="D2617" s="38"/>
      <c r="E2617" s="39"/>
      <c r="F2617" s="22" t="n">
        <f aca="false">IFERROR(D2617*E2617,0)</f>
        <v>0</v>
      </c>
      <c r="G2617" s="16" t="str">
        <f aca="false">INDEX(SETORES!$B:$B,MATCH(A2617,SETORES!$A:$A,0))</f>
        <v>Clientes</v>
      </c>
      <c r="H2617" s="16" t="s">
        <v>259</v>
      </c>
    </row>
    <row r="2618" customFormat="false" ht="14.25" hidden="false" customHeight="false" outlineLevel="0" collapsed="false">
      <c r="A2618" s="16" t="s">
        <v>47</v>
      </c>
      <c r="B2618" s="16" t="s">
        <v>155</v>
      </c>
      <c r="C2618" s="16" t="s">
        <v>160</v>
      </c>
      <c r="D2618" s="38"/>
      <c r="E2618" s="39"/>
      <c r="F2618" s="22" t="n">
        <f aca="false">IFERROR(D2618*E2618,0)</f>
        <v>0</v>
      </c>
      <c r="G2618" s="16" t="str">
        <f aca="false">INDEX(SETORES!$B:$B,MATCH(A2618,SETORES!$A:$A,0))</f>
        <v>Clientes</v>
      </c>
      <c r="H2618" s="16" t="s">
        <v>259</v>
      </c>
    </row>
    <row r="2619" customFormat="false" ht="14.25" hidden="false" customHeight="false" outlineLevel="0" collapsed="false">
      <c r="A2619" s="16" t="s">
        <v>47</v>
      </c>
      <c r="B2619" s="16" t="s">
        <v>155</v>
      </c>
      <c r="C2619" s="16" t="s">
        <v>161</v>
      </c>
      <c r="D2619" s="38" t="n">
        <v>1</v>
      </c>
      <c r="E2619" s="39" t="n">
        <v>116417.9</v>
      </c>
      <c r="F2619" s="22" t="n">
        <f aca="false">IFERROR(D2619*E2619,0)</f>
        <v>116417.9</v>
      </c>
      <c r="G2619" s="16" t="str">
        <f aca="false">INDEX(SETORES!$B:$B,MATCH(A2619,SETORES!$A:$A,0))</f>
        <v>Clientes</v>
      </c>
      <c r="H2619" s="16" t="s">
        <v>259</v>
      </c>
    </row>
    <row r="2620" customFormat="false" ht="14.25" hidden="false" customHeight="false" outlineLevel="0" collapsed="false">
      <c r="A2620" s="16" t="s">
        <v>47</v>
      </c>
      <c r="B2620" s="16" t="s">
        <v>162</v>
      </c>
      <c r="C2620" s="16" t="s">
        <v>218</v>
      </c>
      <c r="D2620" s="38"/>
      <c r="E2620" s="39"/>
      <c r="F2620" s="22" t="n">
        <f aca="false">IFERROR(D2620*E2620,0)</f>
        <v>0</v>
      </c>
      <c r="G2620" s="16" t="str">
        <f aca="false">INDEX(SETORES!$B:$B,MATCH(A2620,SETORES!$A:$A,0))</f>
        <v>Clientes</v>
      </c>
      <c r="H2620" s="16" t="s">
        <v>259</v>
      </c>
    </row>
    <row r="2621" customFormat="false" ht="14.25" hidden="false" customHeight="false" outlineLevel="0" collapsed="false">
      <c r="A2621" s="16" t="s">
        <v>47</v>
      </c>
      <c r="B2621" s="16" t="s">
        <v>162</v>
      </c>
      <c r="C2621" s="16" t="s">
        <v>221</v>
      </c>
      <c r="D2621" s="38"/>
      <c r="E2621" s="39"/>
      <c r="F2621" s="22" t="n">
        <f aca="false">IFERROR(D2621*E2621,0)</f>
        <v>0</v>
      </c>
      <c r="G2621" s="16" t="str">
        <f aca="false">INDEX(SETORES!$B:$B,MATCH(A2621,SETORES!$A:$A,0))</f>
        <v>Clientes</v>
      </c>
      <c r="H2621" s="16" t="s">
        <v>259</v>
      </c>
    </row>
    <row r="2622" customFormat="false" ht="14.25" hidden="false" customHeight="false" outlineLevel="0" collapsed="false">
      <c r="A2622" s="16" t="s">
        <v>47</v>
      </c>
      <c r="B2622" s="16" t="s">
        <v>155</v>
      </c>
      <c r="C2622" s="16" t="s">
        <v>166</v>
      </c>
      <c r="D2622" s="38" t="n">
        <v>15</v>
      </c>
      <c r="E2622" s="39" t="n">
        <v>50</v>
      </c>
      <c r="F2622" s="22" t="n">
        <f aca="false">IFERROR(D2622*E2622,0)</f>
        <v>750</v>
      </c>
      <c r="G2622" s="16" t="str">
        <f aca="false">INDEX(SETORES!$B:$B,MATCH(A2622,SETORES!$A:$A,0))</f>
        <v>Clientes</v>
      </c>
      <c r="H2622" s="16" t="s">
        <v>259</v>
      </c>
    </row>
    <row r="2623" customFormat="false" ht="14.25" hidden="false" customHeight="false" outlineLevel="0" collapsed="false">
      <c r="A2623" s="16" t="s">
        <v>47</v>
      </c>
      <c r="B2623" s="16" t="s">
        <v>162</v>
      </c>
      <c r="C2623" s="16" t="s">
        <v>217</v>
      </c>
      <c r="D2623" s="38"/>
      <c r="E2623" s="39"/>
      <c r="F2623" s="22" t="n">
        <f aca="false">IFERROR(D2623*E2623,0)</f>
        <v>0</v>
      </c>
      <c r="G2623" s="16" t="str">
        <f aca="false">INDEX(SETORES!$B:$B,MATCH(A2623,SETORES!$A:$A,0))</f>
        <v>Clientes</v>
      </c>
      <c r="H2623" s="16" t="s">
        <v>259</v>
      </c>
    </row>
    <row r="2624" customFormat="false" ht="14.25" hidden="false" customHeight="false" outlineLevel="0" collapsed="false">
      <c r="A2624" s="16" t="s">
        <v>47</v>
      </c>
      <c r="B2624" s="16" t="s">
        <v>155</v>
      </c>
      <c r="C2624" s="16" t="s">
        <v>167</v>
      </c>
      <c r="D2624" s="38"/>
      <c r="E2624" s="39"/>
      <c r="F2624" s="22" t="n">
        <f aca="false">IFERROR(D2624*E2624,0)</f>
        <v>0</v>
      </c>
      <c r="G2624" s="16" t="str">
        <f aca="false">INDEX(SETORES!$B:$B,MATCH(A2624,SETORES!$A:$A,0))</f>
        <v>Clientes</v>
      </c>
      <c r="H2624" s="16" t="s">
        <v>259</v>
      </c>
    </row>
    <row r="2625" customFormat="false" ht="14.25" hidden="false" customHeight="false" outlineLevel="0" collapsed="false">
      <c r="A2625" s="16" t="s">
        <v>47</v>
      </c>
      <c r="B2625" s="16" t="s">
        <v>155</v>
      </c>
      <c r="C2625" s="16" t="s">
        <v>168</v>
      </c>
      <c r="D2625" s="38" t="n">
        <v>15</v>
      </c>
      <c r="E2625" s="39" t="n">
        <v>1.87</v>
      </c>
      <c r="F2625" s="22" t="n">
        <f aca="false">IFERROR(D2625*E2625,0)</f>
        <v>28.05</v>
      </c>
      <c r="G2625" s="16" t="str">
        <f aca="false">INDEX(SETORES!$B:$B,MATCH(A2625,SETORES!$A:$A,0))</f>
        <v>Clientes</v>
      </c>
      <c r="H2625" s="16" t="s">
        <v>259</v>
      </c>
    </row>
    <row r="2626" customFormat="false" ht="14.25" hidden="false" customHeight="false" outlineLevel="0" collapsed="false">
      <c r="A2626" s="16" t="s">
        <v>31</v>
      </c>
      <c r="B2626" s="16" t="s">
        <v>155</v>
      </c>
      <c r="C2626" s="16" t="s">
        <v>156</v>
      </c>
      <c r="D2626" s="38" t="n">
        <v>1</v>
      </c>
      <c r="E2626" s="39" t="n">
        <v>37.24</v>
      </c>
      <c r="F2626" s="22" t="n">
        <f aca="false">IFERROR(D2626*E2626,0)</f>
        <v>37.24</v>
      </c>
      <c r="G2626" s="16" t="str">
        <f aca="false">INDEX(SETORES!$B:$B,MATCH(A2626,SETORES!$A:$A,0))</f>
        <v>Clientes</v>
      </c>
      <c r="H2626" s="16" t="s">
        <v>259</v>
      </c>
    </row>
    <row r="2627" customFormat="false" ht="14.25" hidden="false" customHeight="false" outlineLevel="0" collapsed="false">
      <c r="A2627" s="16" t="s">
        <v>31</v>
      </c>
      <c r="B2627" s="16" t="s">
        <v>155</v>
      </c>
      <c r="C2627" s="16" t="s">
        <v>157</v>
      </c>
      <c r="D2627" s="38" t="n">
        <v>1</v>
      </c>
      <c r="E2627" s="39" t="n">
        <v>288.15</v>
      </c>
      <c r="F2627" s="22" t="n">
        <f aca="false">IFERROR(D2627*E2627,0)</f>
        <v>288.15</v>
      </c>
      <c r="G2627" s="16" t="str">
        <f aca="false">INDEX(SETORES!$B:$B,MATCH(A2627,SETORES!$A:$A,0))</f>
        <v>Clientes</v>
      </c>
      <c r="H2627" s="16" t="s">
        <v>259</v>
      </c>
    </row>
    <row r="2628" customFormat="false" ht="14.25" hidden="false" customHeight="false" outlineLevel="0" collapsed="false">
      <c r="A2628" s="16" t="s">
        <v>31</v>
      </c>
      <c r="B2628" s="16" t="s">
        <v>155</v>
      </c>
      <c r="C2628" s="16" t="s">
        <v>158</v>
      </c>
      <c r="D2628" s="38"/>
      <c r="E2628" s="39"/>
      <c r="F2628" s="22" t="n">
        <f aca="false">IFERROR(D2628*E2628,0)</f>
        <v>0</v>
      </c>
      <c r="G2628" s="16" t="str">
        <f aca="false">INDEX(SETORES!$B:$B,MATCH(A2628,SETORES!$A:$A,0))</f>
        <v>Clientes</v>
      </c>
      <c r="H2628" s="16" t="s">
        <v>259</v>
      </c>
    </row>
    <row r="2629" customFormat="false" ht="14.25" hidden="false" customHeight="false" outlineLevel="0" collapsed="false">
      <c r="A2629" s="16" t="s">
        <v>31</v>
      </c>
      <c r="B2629" s="16" t="s">
        <v>155</v>
      </c>
      <c r="C2629" s="16" t="s">
        <v>159</v>
      </c>
      <c r="D2629" s="38"/>
      <c r="E2629" s="39"/>
      <c r="F2629" s="22" t="n">
        <f aca="false">IFERROR(D2629*E2629,0)</f>
        <v>0</v>
      </c>
      <c r="G2629" s="16" t="str">
        <f aca="false">INDEX(SETORES!$B:$B,MATCH(A2629,SETORES!$A:$A,0))</f>
        <v>Clientes</v>
      </c>
      <c r="H2629" s="16" t="s">
        <v>259</v>
      </c>
    </row>
    <row r="2630" customFormat="false" ht="14.25" hidden="false" customHeight="false" outlineLevel="0" collapsed="false">
      <c r="A2630" s="16" t="s">
        <v>31</v>
      </c>
      <c r="B2630" s="16" t="s">
        <v>155</v>
      </c>
      <c r="C2630" s="16" t="s">
        <v>160</v>
      </c>
      <c r="D2630" s="38"/>
      <c r="E2630" s="39"/>
      <c r="F2630" s="22" t="n">
        <f aca="false">IFERROR(D2630*E2630,0)</f>
        <v>0</v>
      </c>
      <c r="G2630" s="16" t="str">
        <f aca="false">INDEX(SETORES!$B:$B,MATCH(A2630,SETORES!$A:$A,0))</f>
        <v>Clientes</v>
      </c>
      <c r="H2630" s="16" t="s">
        <v>259</v>
      </c>
    </row>
    <row r="2631" customFormat="false" ht="14.25" hidden="false" customHeight="false" outlineLevel="0" collapsed="false">
      <c r="A2631" s="16" t="s">
        <v>31</v>
      </c>
      <c r="B2631" s="16" t="s">
        <v>155</v>
      </c>
      <c r="C2631" s="16" t="s">
        <v>161</v>
      </c>
      <c r="D2631" s="38" t="n">
        <v>1</v>
      </c>
      <c r="E2631" s="39" t="n">
        <v>42164.64</v>
      </c>
      <c r="F2631" s="22" t="n">
        <f aca="false">IFERROR(D2631*E2631,0)</f>
        <v>42164.64</v>
      </c>
      <c r="G2631" s="16" t="str">
        <f aca="false">INDEX(SETORES!$B:$B,MATCH(A2631,SETORES!$A:$A,0))</f>
        <v>Clientes</v>
      </c>
      <c r="H2631" s="16" t="s">
        <v>259</v>
      </c>
    </row>
    <row r="2632" customFormat="false" ht="14.25" hidden="false" customHeight="false" outlineLevel="0" collapsed="false">
      <c r="A2632" s="16" t="s">
        <v>31</v>
      </c>
      <c r="B2632" s="16" t="s">
        <v>155</v>
      </c>
      <c r="C2632" s="16" t="s">
        <v>166</v>
      </c>
      <c r="D2632" s="38" t="n">
        <v>3</v>
      </c>
      <c r="E2632" s="39" t="n">
        <v>50</v>
      </c>
      <c r="F2632" s="22" t="n">
        <f aca="false">IFERROR(D2632*E2632,0)</f>
        <v>150</v>
      </c>
      <c r="G2632" s="16" t="str">
        <f aca="false">INDEX(SETORES!$B:$B,MATCH(A2632,SETORES!$A:$A,0))</f>
        <v>Clientes</v>
      </c>
      <c r="H2632" s="16" t="s">
        <v>259</v>
      </c>
    </row>
    <row r="2633" customFormat="false" ht="14.25" hidden="false" customHeight="false" outlineLevel="0" collapsed="false">
      <c r="A2633" s="16" t="s">
        <v>31</v>
      </c>
      <c r="B2633" s="16" t="s">
        <v>162</v>
      </c>
      <c r="C2633" s="16" t="s">
        <v>217</v>
      </c>
      <c r="D2633" s="38"/>
      <c r="E2633" s="39"/>
      <c r="F2633" s="22" t="n">
        <f aca="false">IFERROR(D2633*E2633,0)</f>
        <v>0</v>
      </c>
      <c r="G2633" s="16" t="str">
        <f aca="false">INDEX(SETORES!$B:$B,MATCH(A2633,SETORES!$A:$A,0))</f>
        <v>Clientes</v>
      </c>
      <c r="H2633" s="16" t="s">
        <v>259</v>
      </c>
    </row>
    <row r="2634" customFormat="false" ht="14.25" hidden="false" customHeight="false" outlineLevel="0" collapsed="false">
      <c r="A2634" s="16" t="s">
        <v>31</v>
      </c>
      <c r="B2634" s="16" t="s">
        <v>155</v>
      </c>
      <c r="C2634" s="16" t="s">
        <v>167</v>
      </c>
      <c r="D2634" s="38"/>
      <c r="E2634" s="39"/>
      <c r="F2634" s="22" t="n">
        <f aca="false">IFERROR(D2634*E2634,0)</f>
        <v>0</v>
      </c>
      <c r="G2634" s="16" t="str">
        <f aca="false">INDEX(SETORES!$B:$B,MATCH(A2634,SETORES!$A:$A,0))</f>
        <v>Clientes</v>
      </c>
      <c r="H2634" s="16" t="s">
        <v>259</v>
      </c>
    </row>
    <row r="2635" customFormat="false" ht="14.25" hidden="false" customHeight="false" outlineLevel="0" collapsed="false">
      <c r="A2635" s="16" t="s">
        <v>31</v>
      </c>
      <c r="B2635" s="16" t="s">
        <v>155</v>
      </c>
      <c r="C2635" s="16" t="s">
        <v>168</v>
      </c>
      <c r="D2635" s="38" t="n">
        <v>3</v>
      </c>
      <c r="E2635" s="39" t="n">
        <v>1.87</v>
      </c>
      <c r="F2635" s="22" t="n">
        <f aca="false">IFERROR(D2635*E2635,0)</f>
        <v>5.61</v>
      </c>
      <c r="G2635" s="16" t="str">
        <f aca="false">INDEX(SETORES!$B:$B,MATCH(A2635,SETORES!$A:$A,0))</f>
        <v>Clientes</v>
      </c>
      <c r="H2635" s="16" t="s">
        <v>259</v>
      </c>
    </row>
    <row r="2636" customFormat="false" ht="14.25" hidden="false" customHeight="false" outlineLevel="0" collapsed="false">
      <c r="A2636" s="16" t="s">
        <v>37</v>
      </c>
      <c r="B2636" s="16" t="s">
        <v>155</v>
      </c>
      <c r="C2636" s="16" t="s">
        <v>156</v>
      </c>
      <c r="D2636" s="38" t="n">
        <v>1</v>
      </c>
      <c r="E2636" s="39" t="n">
        <v>12.09</v>
      </c>
      <c r="F2636" s="22" t="n">
        <f aca="false">IFERROR(D2636*E2636,0)</f>
        <v>12.09</v>
      </c>
      <c r="G2636" s="16" t="str">
        <f aca="false">INDEX(SETORES!$B:$B,MATCH(A2636,SETORES!$A:$A,0))</f>
        <v>Clientes</v>
      </c>
      <c r="H2636" s="16" t="s">
        <v>259</v>
      </c>
    </row>
    <row r="2637" customFormat="false" ht="14.25" hidden="false" customHeight="false" outlineLevel="0" collapsed="false">
      <c r="A2637" s="16" t="s">
        <v>37</v>
      </c>
      <c r="B2637" s="16" t="s">
        <v>155</v>
      </c>
      <c r="C2637" s="16" t="s">
        <v>157</v>
      </c>
      <c r="D2637" s="38" t="n">
        <v>1</v>
      </c>
      <c r="E2637" s="39" t="n">
        <v>2123.29</v>
      </c>
      <c r="F2637" s="22" t="n">
        <f aca="false">IFERROR(D2637*E2637,0)</f>
        <v>2123.29</v>
      </c>
      <c r="G2637" s="16" t="str">
        <f aca="false">INDEX(SETORES!$B:$B,MATCH(A2637,SETORES!$A:$A,0))</f>
        <v>Clientes</v>
      </c>
      <c r="H2637" s="16" t="s">
        <v>259</v>
      </c>
    </row>
    <row r="2638" customFormat="false" ht="14.25" hidden="false" customHeight="false" outlineLevel="0" collapsed="false">
      <c r="A2638" s="16" t="s">
        <v>37</v>
      </c>
      <c r="B2638" s="16" t="s">
        <v>155</v>
      </c>
      <c r="C2638" s="16" t="s">
        <v>158</v>
      </c>
      <c r="D2638" s="38"/>
      <c r="E2638" s="39"/>
      <c r="F2638" s="22" t="n">
        <f aca="false">IFERROR(D2638*E2638,0)</f>
        <v>0</v>
      </c>
      <c r="G2638" s="16" t="str">
        <f aca="false">INDEX(SETORES!$B:$B,MATCH(A2638,SETORES!$A:$A,0))</f>
        <v>Clientes</v>
      </c>
      <c r="H2638" s="16" t="s">
        <v>259</v>
      </c>
    </row>
    <row r="2639" customFormat="false" ht="14.25" hidden="false" customHeight="false" outlineLevel="0" collapsed="false">
      <c r="A2639" s="16" t="s">
        <v>37</v>
      </c>
      <c r="B2639" s="16" t="s">
        <v>155</v>
      </c>
      <c r="C2639" s="16" t="s">
        <v>159</v>
      </c>
      <c r="D2639" s="38"/>
      <c r="E2639" s="39"/>
      <c r="F2639" s="22" t="n">
        <f aca="false">IFERROR(D2639*E2639,0)</f>
        <v>0</v>
      </c>
      <c r="G2639" s="16" t="str">
        <f aca="false">INDEX(SETORES!$B:$B,MATCH(A2639,SETORES!$A:$A,0))</f>
        <v>Clientes</v>
      </c>
      <c r="H2639" s="16" t="s">
        <v>259</v>
      </c>
    </row>
    <row r="2640" customFormat="false" ht="14.25" hidden="false" customHeight="false" outlineLevel="0" collapsed="false">
      <c r="A2640" s="16" t="s">
        <v>37</v>
      </c>
      <c r="B2640" s="16" t="s">
        <v>155</v>
      </c>
      <c r="C2640" s="16" t="s">
        <v>160</v>
      </c>
      <c r="D2640" s="38"/>
      <c r="E2640" s="39"/>
      <c r="F2640" s="22" t="n">
        <f aca="false">IFERROR(D2640*E2640,0)</f>
        <v>0</v>
      </c>
      <c r="G2640" s="16" t="str">
        <f aca="false">INDEX(SETORES!$B:$B,MATCH(A2640,SETORES!$A:$A,0))</f>
        <v>Clientes</v>
      </c>
      <c r="H2640" s="16" t="s">
        <v>259</v>
      </c>
    </row>
    <row r="2641" customFormat="false" ht="14.25" hidden="false" customHeight="false" outlineLevel="0" collapsed="false">
      <c r="A2641" s="16" t="s">
        <v>37</v>
      </c>
      <c r="B2641" s="16" t="s">
        <v>155</v>
      </c>
      <c r="C2641" s="16" t="s">
        <v>161</v>
      </c>
      <c r="D2641" s="38" t="n">
        <v>1</v>
      </c>
      <c r="E2641" s="39" t="n">
        <v>145351.16</v>
      </c>
      <c r="F2641" s="22" t="n">
        <f aca="false">IFERROR(D2641*E2641,0)</f>
        <v>145351.16</v>
      </c>
      <c r="G2641" s="16" t="str">
        <f aca="false">INDEX(SETORES!$B:$B,MATCH(A2641,SETORES!$A:$A,0))</f>
        <v>Clientes</v>
      </c>
      <c r="H2641" s="16" t="s">
        <v>259</v>
      </c>
    </row>
    <row r="2642" customFormat="false" ht="14.25" hidden="false" customHeight="false" outlineLevel="0" collapsed="false">
      <c r="A2642" s="16" t="s">
        <v>37</v>
      </c>
      <c r="B2642" s="16" t="s">
        <v>155</v>
      </c>
      <c r="C2642" s="16" t="s">
        <v>223</v>
      </c>
      <c r="D2642" s="38"/>
      <c r="E2642" s="39"/>
      <c r="F2642" s="22" t="n">
        <f aca="false">IFERROR(D2642*E2642,0)</f>
        <v>0</v>
      </c>
      <c r="G2642" s="16" t="str">
        <f aca="false">INDEX(SETORES!$B:$B,MATCH(A2642,SETORES!$A:$A,0))</f>
        <v>Clientes</v>
      </c>
      <c r="H2642" s="16" t="s">
        <v>259</v>
      </c>
    </row>
    <row r="2643" customFormat="false" ht="14.25" hidden="false" customHeight="false" outlineLevel="0" collapsed="false">
      <c r="A2643" s="16" t="s">
        <v>37</v>
      </c>
      <c r="B2643" s="16" t="s">
        <v>162</v>
      </c>
      <c r="C2643" s="16" t="s">
        <v>163</v>
      </c>
      <c r="D2643" s="38"/>
      <c r="E2643" s="39"/>
      <c r="F2643" s="22" t="n">
        <f aca="false">IFERROR(D2643*E2643,0)</f>
        <v>0</v>
      </c>
      <c r="G2643" s="16" t="str">
        <f aca="false">INDEX(SETORES!$B:$B,MATCH(A2643,SETORES!$A:$A,0))</f>
        <v>Clientes</v>
      </c>
      <c r="H2643" s="16" t="s">
        <v>259</v>
      </c>
    </row>
    <row r="2644" customFormat="false" ht="14.25" hidden="false" customHeight="false" outlineLevel="0" collapsed="false">
      <c r="A2644" s="16" t="s">
        <v>37</v>
      </c>
      <c r="B2644" s="16" t="s">
        <v>162</v>
      </c>
      <c r="C2644" s="16" t="s">
        <v>164</v>
      </c>
      <c r="D2644" s="38"/>
      <c r="E2644" s="39"/>
      <c r="F2644" s="22" t="n">
        <f aca="false">IFERROR(D2644*E2644,0)</f>
        <v>0</v>
      </c>
      <c r="G2644" s="16" t="str">
        <f aca="false">INDEX(SETORES!$B:$B,MATCH(A2644,SETORES!$A:$A,0))</f>
        <v>Clientes</v>
      </c>
      <c r="H2644" s="16" t="s">
        <v>259</v>
      </c>
    </row>
    <row r="2645" customFormat="false" ht="14.25" hidden="false" customHeight="false" outlineLevel="0" collapsed="false">
      <c r="A2645" s="16" t="s">
        <v>37</v>
      </c>
      <c r="B2645" s="16" t="s">
        <v>162</v>
      </c>
      <c r="C2645" s="16" t="s">
        <v>222</v>
      </c>
      <c r="D2645" s="38"/>
      <c r="E2645" s="39"/>
      <c r="F2645" s="22" t="n">
        <f aca="false">IFERROR(D2645*E2645,0)</f>
        <v>0</v>
      </c>
      <c r="G2645" s="16" t="str">
        <f aca="false">INDEX(SETORES!$B:$B,MATCH(A2645,SETORES!$A:$A,0))</f>
        <v>Clientes</v>
      </c>
      <c r="H2645" s="16" t="s">
        <v>259</v>
      </c>
    </row>
    <row r="2646" customFormat="false" ht="14.25" hidden="false" customHeight="false" outlineLevel="0" collapsed="false">
      <c r="A2646" s="16" t="s">
        <v>37</v>
      </c>
      <c r="B2646" s="16" t="s">
        <v>155</v>
      </c>
      <c r="C2646" s="16" t="s">
        <v>166</v>
      </c>
      <c r="D2646" s="38" t="n">
        <v>42</v>
      </c>
      <c r="E2646" s="39" t="n">
        <v>50</v>
      </c>
      <c r="F2646" s="22" t="n">
        <f aca="false">IFERROR(D2646*E2646,0)</f>
        <v>2100</v>
      </c>
      <c r="G2646" s="16" t="str">
        <f aca="false">INDEX(SETORES!$B:$B,MATCH(A2646,SETORES!$A:$A,0))</f>
        <v>Clientes</v>
      </c>
      <c r="H2646" s="16" t="s">
        <v>259</v>
      </c>
    </row>
    <row r="2647" customFormat="false" ht="14.25" hidden="false" customHeight="false" outlineLevel="0" collapsed="false">
      <c r="A2647" s="16" t="s">
        <v>37</v>
      </c>
      <c r="B2647" s="16" t="s">
        <v>155</v>
      </c>
      <c r="C2647" s="16" t="s">
        <v>187</v>
      </c>
      <c r="D2647" s="38"/>
      <c r="E2647" s="39"/>
      <c r="F2647" s="22" t="n">
        <f aca="false">IFERROR(D2647*E2647,0)</f>
        <v>0</v>
      </c>
      <c r="G2647" s="16" t="str">
        <f aca="false">INDEX(SETORES!$B:$B,MATCH(A2647,SETORES!$A:$A,0))</f>
        <v>Clientes</v>
      </c>
      <c r="H2647" s="16" t="s">
        <v>259</v>
      </c>
    </row>
    <row r="2648" customFormat="false" ht="14.25" hidden="false" customHeight="false" outlineLevel="0" collapsed="false">
      <c r="A2648" s="16" t="s">
        <v>37</v>
      </c>
      <c r="B2648" s="16" t="s">
        <v>155</v>
      </c>
      <c r="C2648" s="16" t="s">
        <v>240</v>
      </c>
      <c r="D2648" s="38"/>
      <c r="E2648" s="39"/>
      <c r="F2648" s="22" t="n">
        <f aca="false">IFERROR(D2648*E2648,0)</f>
        <v>0</v>
      </c>
      <c r="G2648" s="16" t="str">
        <f aca="false">INDEX(SETORES!$B:$B,MATCH(A2648,SETORES!$A:$A,0))</f>
        <v>Clientes</v>
      </c>
      <c r="H2648" s="16" t="s">
        <v>259</v>
      </c>
    </row>
    <row r="2649" customFormat="false" ht="14.25" hidden="false" customHeight="false" outlineLevel="0" collapsed="false">
      <c r="A2649" s="16" t="s">
        <v>37</v>
      </c>
      <c r="B2649" s="16" t="s">
        <v>155</v>
      </c>
      <c r="C2649" s="16" t="s">
        <v>167</v>
      </c>
      <c r="D2649" s="38"/>
      <c r="E2649" s="39"/>
      <c r="F2649" s="22" t="n">
        <f aca="false">IFERROR(D2649*E2649,0)</f>
        <v>0</v>
      </c>
      <c r="G2649" s="16" t="str">
        <f aca="false">INDEX(SETORES!$B:$B,MATCH(A2649,SETORES!$A:$A,0))</f>
        <v>Clientes</v>
      </c>
      <c r="H2649" s="16" t="s">
        <v>259</v>
      </c>
    </row>
    <row r="2650" customFormat="false" ht="14.25" hidden="false" customHeight="false" outlineLevel="0" collapsed="false">
      <c r="A2650" s="16" t="s">
        <v>37</v>
      </c>
      <c r="B2650" s="16" t="s">
        <v>155</v>
      </c>
      <c r="C2650" s="16" t="s">
        <v>168</v>
      </c>
      <c r="D2650" s="38" t="n">
        <v>42</v>
      </c>
      <c r="E2650" s="39" t="n">
        <v>1.87</v>
      </c>
      <c r="F2650" s="22" t="n">
        <f aca="false">IFERROR(D2650*E2650,0)</f>
        <v>78.54</v>
      </c>
      <c r="G2650" s="16" t="str">
        <f aca="false">INDEX(SETORES!$B:$B,MATCH(A2650,SETORES!$A:$A,0))</f>
        <v>Clientes</v>
      </c>
      <c r="H2650" s="16" t="s">
        <v>259</v>
      </c>
    </row>
    <row r="2651" customFormat="false" ht="14.25" hidden="false" customHeight="false" outlineLevel="0" collapsed="false">
      <c r="A2651" s="16" t="s">
        <v>46</v>
      </c>
      <c r="B2651" s="16" t="s">
        <v>155</v>
      </c>
      <c r="C2651" s="16" t="s">
        <v>160</v>
      </c>
      <c r="D2651" s="38"/>
      <c r="E2651" s="39"/>
      <c r="F2651" s="22" t="n">
        <f aca="false">IFERROR(D2651*E2651,0)</f>
        <v>0</v>
      </c>
      <c r="G2651" s="16" t="str">
        <f aca="false">INDEX(SETORES!$B:$B,MATCH(A2651,SETORES!$A:$A,0))</f>
        <v>Clientes</v>
      </c>
      <c r="H2651" s="16" t="s">
        <v>259</v>
      </c>
    </row>
    <row r="2652" customFormat="false" ht="14.25" hidden="false" customHeight="false" outlineLevel="0" collapsed="false">
      <c r="A2652" s="16" t="s">
        <v>46</v>
      </c>
      <c r="B2652" s="16" t="s">
        <v>155</v>
      </c>
      <c r="C2652" s="16" t="s">
        <v>161</v>
      </c>
      <c r="D2652" s="38" t="n">
        <v>1</v>
      </c>
      <c r="E2652" s="39" t="n">
        <v>155833.72</v>
      </c>
      <c r="F2652" s="22" t="n">
        <f aca="false">IFERROR(D2652*E2652,0)</f>
        <v>155833.72</v>
      </c>
      <c r="G2652" s="16" t="str">
        <f aca="false">INDEX(SETORES!$B:$B,MATCH(A2652,SETORES!$A:$A,0))</f>
        <v>Clientes</v>
      </c>
      <c r="H2652" s="16" t="s">
        <v>259</v>
      </c>
    </row>
    <row r="2653" customFormat="false" ht="14.25" hidden="false" customHeight="false" outlineLevel="0" collapsed="false">
      <c r="A2653" s="16" t="s">
        <v>46</v>
      </c>
      <c r="B2653" s="16" t="s">
        <v>162</v>
      </c>
      <c r="C2653" s="16" t="s">
        <v>218</v>
      </c>
      <c r="D2653" s="38"/>
      <c r="E2653" s="39"/>
      <c r="F2653" s="22" t="n">
        <f aca="false">IFERROR(D2653*E2653,0)</f>
        <v>0</v>
      </c>
      <c r="G2653" s="16" t="str">
        <f aca="false">INDEX(SETORES!$B:$B,MATCH(A2653,SETORES!$A:$A,0))</f>
        <v>Clientes</v>
      </c>
      <c r="H2653" s="16" t="s">
        <v>259</v>
      </c>
    </row>
    <row r="2654" customFormat="false" ht="14.25" hidden="false" customHeight="false" outlineLevel="0" collapsed="false">
      <c r="A2654" s="16" t="s">
        <v>46</v>
      </c>
      <c r="B2654" s="16" t="s">
        <v>162</v>
      </c>
      <c r="C2654" s="16" t="s">
        <v>221</v>
      </c>
      <c r="D2654" s="38"/>
      <c r="E2654" s="39"/>
      <c r="F2654" s="22" t="n">
        <f aca="false">IFERROR(D2654*E2654,0)</f>
        <v>0</v>
      </c>
      <c r="G2654" s="16" t="str">
        <f aca="false">INDEX(SETORES!$B:$B,MATCH(A2654,SETORES!$A:$A,0))</f>
        <v>Clientes</v>
      </c>
      <c r="H2654" s="16" t="s">
        <v>259</v>
      </c>
    </row>
    <row r="2655" customFormat="false" ht="14.25" hidden="false" customHeight="false" outlineLevel="0" collapsed="false">
      <c r="A2655" s="16" t="s">
        <v>46</v>
      </c>
      <c r="B2655" s="16" t="s">
        <v>162</v>
      </c>
      <c r="C2655" s="16" t="s">
        <v>222</v>
      </c>
      <c r="D2655" s="38"/>
      <c r="E2655" s="39"/>
      <c r="F2655" s="22" t="n">
        <f aca="false">IFERROR(D2655*E2655,0)</f>
        <v>0</v>
      </c>
      <c r="G2655" s="16" t="str">
        <f aca="false">INDEX(SETORES!$B:$B,MATCH(A2655,SETORES!$A:$A,0))</f>
        <v>Clientes</v>
      </c>
      <c r="H2655" s="16" t="s">
        <v>259</v>
      </c>
    </row>
    <row r="2656" customFormat="false" ht="14.25" hidden="false" customHeight="false" outlineLevel="0" collapsed="false">
      <c r="A2656" s="16" t="s">
        <v>46</v>
      </c>
      <c r="B2656" s="16" t="s">
        <v>155</v>
      </c>
      <c r="C2656" s="16" t="s">
        <v>166</v>
      </c>
      <c r="D2656" s="38" t="n">
        <v>24</v>
      </c>
      <c r="E2656" s="39" t="n">
        <v>50</v>
      </c>
      <c r="F2656" s="22" t="n">
        <f aca="false">IFERROR(D2656*E2656,0)</f>
        <v>1200</v>
      </c>
      <c r="G2656" s="16" t="str">
        <f aca="false">INDEX(SETORES!$B:$B,MATCH(A2656,SETORES!$A:$A,0))</f>
        <v>Clientes</v>
      </c>
      <c r="H2656" s="16" t="s">
        <v>259</v>
      </c>
    </row>
    <row r="2657" customFormat="false" ht="14.25" hidden="false" customHeight="false" outlineLevel="0" collapsed="false">
      <c r="A2657" s="16" t="s">
        <v>46</v>
      </c>
      <c r="B2657" s="16" t="s">
        <v>162</v>
      </c>
      <c r="C2657" s="16" t="s">
        <v>217</v>
      </c>
      <c r="D2657" s="38"/>
      <c r="E2657" s="39"/>
      <c r="F2657" s="22" t="n">
        <f aca="false">IFERROR(D2657*E2657,0)</f>
        <v>0</v>
      </c>
      <c r="G2657" s="16" t="str">
        <f aca="false">INDEX(SETORES!$B:$B,MATCH(A2657,SETORES!$A:$A,0))</f>
        <v>Clientes</v>
      </c>
      <c r="H2657" s="16" t="s">
        <v>259</v>
      </c>
    </row>
    <row r="2658" customFormat="false" ht="14.25" hidden="false" customHeight="false" outlineLevel="0" collapsed="false">
      <c r="A2658" s="16" t="s">
        <v>46</v>
      </c>
      <c r="B2658" s="16" t="s">
        <v>155</v>
      </c>
      <c r="C2658" s="16" t="s">
        <v>167</v>
      </c>
      <c r="D2658" s="38"/>
      <c r="E2658" s="39"/>
      <c r="F2658" s="22" t="n">
        <f aca="false">IFERROR(D2658*E2658,0)</f>
        <v>0</v>
      </c>
      <c r="G2658" s="16" t="str">
        <f aca="false">INDEX(SETORES!$B:$B,MATCH(A2658,SETORES!$A:$A,0))</f>
        <v>Clientes</v>
      </c>
      <c r="H2658" s="16" t="s">
        <v>259</v>
      </c>
    </row>
    <row r="2659" customFormat="false" ht="14.25" hidden="false" customHeight="false" outlineLevel="0" collapsed="false">
      <c r="A2659" s="16" t="s">
        <v>46</v>
      </c>
      <c r="B2659" s="16" t="s">
        <v>155</v>
      </c>
      <c r="C2659" s="16" t="s">
        <v>168</v>
      </c>
      <c r="D2659" s="38" t="n">
        <v>24</v>
      </c>
      <c r="E2659" s="39" t="n">
        <v>1.87</v>
      </c>
      <c r="F2659" s="22" t="n">
        <f aca="false">IFERROR(D2659*E2659,0)</f>
        <v>44.88</v>
      </c>
      <c r="G2659" s="16" t="str">
        <f aca="false">INDEX(SETORES!$B:$B,MATCH(A2659,SETORES!$A:$A,0))</f>
        <v>Clientes</v>
      </c>
      <c r="H2659" s="16" t="s">
        <v>259</v>
      </c>
    </row>
    <row r="2660" customFormat="false" ht="14.25" hidden="false" customHeight="false" outlineLevel="0" collapsed="false">
      <c r="A2660" s="16" t="s">
        <v>49</v>
      </c>
      <c r="B2660" s="16" t="s">
        <v>155</v>
      </c>
      <c r="C2660" s="16" t="s">
        <v>156</v>
      </c>
      <c r="D2660" s="38"/>
      <c r="E2660" s="39"/>
      <c r="F2660" s="22" t="n">
        <f aca="false">IFERROR(D2660*E2660,0)</f>
        <v>0</v>
      </c>
      <c r="G2660" s="16" t="str">
        <f aca="false">INDEX(SETORES!$B:$B,MATCH(A2660,SETORES!$A:$A,0))</f>
        <v>Clientes</v>
      </c>
      <c r="H2660" s="16" t="s">
        <v>259</v>
      </c>
    </row>
    <row r="2661" customFormat="false" ht="14.25" hidden="false" customHeight="false" outlineLevel="0" collapsed="false">
      <c r="A2661" s="16" t="s">
        <v>49</v>
      </c>
      <c r="B2661" s="16" t="s">
        <v>155</v>
      </c>
      <c r="C2661" s="16" t="s">
        <v>157</v>
      </c>
      <c r="D2661" s="38"/>
      <c r="E2661" s="39"/>
      <c r="F2661" s="22" t="n">
        <f aca="false">IFERROR(D2661*E2661,0)</f>
        <v>0</v>
      </c>
      <c r="G2661" s="16" t="str">
        <f aca="false">INDEX(SETORES!$B:$B,MATCH(A2661,SETORES!$A:$A,0))</f>
        <v>Clientes</v>
      </c>
      <c r="H2661" s="16" t="s">
        <v>259</v>
      </c>
    </row>
    <row r="2662" customFormat="false" ht="14.25" hidden="false" customHeight="false" outlineLevel="0" collapsed="false">
      <c r="A2662" s="16" t="s">
        <v>49</v>
      </c>
      <c r="B2662" s="16" t="s">
        <v>155</v>
      </c>
      <c r="C2662" s="16" t="s">
        <v>224</v>
      </c>
      <c r="D2662" s="38" t="n">
        <v>1</v>
      </c>
      <c r="E2662" s="39" t="n">
        <v>1800</v>
      </c>
      <c r="F2662" s="22" t="n">
        <f aca="false">IFERROR(D2662*E2662,0)</f>
        <v>1800</v>
      </c>
      <c r="G2662" s="16" t="str">
        <f aca="false">INDEX(SETORES!$B:$B,MATCH(A2662,SETORES!$A:$A,0))</f>
        <v>Clientes</v>
      </c>
      <c r="H2662" s="16" t="s">
        <v>259</v>
      </c>
    </row>
    <row r="2663" customFormat="false" ht="14.25" hidden="false" customHeight="false" outlineLevel="0" collapsed="false">
      <c r="A2663" s="16" t="s">
        <v>49</v>
      </c>
      <c r="B2663" s="16" t="s">
        <v>155</v>
      </c>
      <c r="C2663" s="16" t="s">
        <v>158</v>
      </c>
      <c r="D2663" s="38"/>
      <c r="E2663" s="39"/>
      <c r="F2663" s="22" t="n">
        <f aca="false">IFERROR(D2663*E2663,0)</f>
        <v>0</v>
      </c>
      <c r="G2663" s="16" t="str">
        <f aca="false">INDEX(SETORES!$B:$B,MATCH(A2663,SETORES!$A:$A,0))</f>
        <v>Clientes</v>
      </c>
      <c r="H2663" s="16" t="s">
        <v>259</v>
      </c>
    </row>
    <row r="2664" customFormat="false" ht="14.25" hidden="false" customHeight="false" outlineLevel="0" collapsed="false">
      <c r="A2664" s="16" t="s">
        <v>49</v>
      </c>
      <c r="B2664" s="16" t="s">
        <v>155</v>
      </c>
      <c r="C2664" s="16" t="s">
        <v>159</v>
      </c>
      <c r="D2664" s="38"/>
      <c r="E2664" s="39"/>
      <c r="F2664" s="22" t="n">
        <f aca="false">IFERROR(D2664*E2664,0)</f>
        <v>0</v>
      </c>
      <c r="G2664" s="16" t="str">
        <f aca="false">INDEX(SETORES!$B:$B,MATCH(A2664,SETORES!$A:$A,0))</f>
        <v>Clientes</v>
      </c>
      <c r="H2664" s="16" t="s">
        <v>259</v>
      </c>
    </row>
    <row r="2665" customFormat="false" ht="14.25" hidden="false" customHeight="false" outlineLevel="0" collapsed="false">
      <c r="A2665" s="16" t="s">
        <v>49</v>
      </c>
      <c r="B2665" s="16" t="s">
        <v>155</v>
      </c>
      <c r="C2665" s="16" t="s">
        <v>160</v>
      </c>
      <c r="D2665" s="38"/>
      <c r="E2665" s="39"/>
      <c r="F2665" s="22" t="n">
        <f aca="false">IFERROR(D2665*E2665,0)</f>
        <v>0</v>
      </c>
      <c r="G2665" s="16" t="str">
        <f aca="false">INDEX(SETORES!$B:$B,MATCH(A2665,SETORES!$A:$A,0))</f>
        <v>Clientes</v>
      </c>
      <c r="H2665" s="16" t="s">
        <v>259</v>
      </c>
    </row>
    <row r="2666" customFormat="false" ht="14.25" hidden="false" customHeight="false" outlineLevel="0" collapsed="false">
      <c r="A2666" s="16" t="s">
        <v>49</v>
      </c>
      <c r="B2666" s="16" t="s">
        <v>155</v>
      </c>
      <c r="C2666" s="16" t="s">
        <v>161</v>
      </c>
      <c r="D2666" s="38" t="n">
        <v>1</v>
      </c>
      <c r="E2666" s="39" t="n">
        <v>25793.59</v>
      </c>
      <c r="F2666" s="22" t="n">
        <f aca="false">IFERROR(D2666*E2666,0)</f>
        <v>25793.59</v>
      </c>
      <c r="G2666" s="16" t="str">
        <f aca="false">INDEX(SETORES!$B:$B,MATCH(A2666,SETORES!$A:$A,0))</f>
        <v>Clientes</v>
      </c>
      <c r="H2666" s="16" t="s">
        <v>259</v>
      </c>
    </row>
    <row r="2667" customFormat="false" ht="14.25" hidden="false" customHeight="false" outlineLevel="0" collapsed="false">
      <c r="A2667" s="16" t="s">
        <v>49</v>
      </c>
      <c r="B2667" s="16" t="s">
        <v>162</v>
      </c>
      <c r="C2667" s="16" t="s">
        <v>217</v>
      </c>
      <c r="D2667" s="38"/>
      <c r="E2667" s="39"/>
      <c r="F2667" s="22" t="n">
        <f aca="false">IFERROR(D2667*E2667,0)</f>
        <v>0</v>
      </c>
      <c r="G2667" s="16" t="str">
        <f aca="false">INDEX(SETORES!$B:$B,MATCH(A2667,SETORES!$A:$A,0))</f>
        <v>Clientes</v>
      </c>
      <c r="H2667" s="16" t="s">
        <v>259</v>
      </c>
    </row>
    <row r="2668" customFormat="false" ht="14.25" hidden="false" customHeight="false" outlineLevel="0" collapsed="false">
      <c r="A2668" s="16" t="s">
        <v>49</v>
      </c>
      <c r="B2668" s="16" t="s">
        <v>162</v>
      </c>
      <c r="C2668" s="16" t="s">
        <v>220</v>
      </c>
      <c r="D2668" s="38"/>
      <c r="E2668" s="39"/>
      <c r="F2668" s="22" t="n">
        <f aca="false">IFERROR(D2668*E2668,0)</f>
        <v>0</v>
      </c>
      <c r="G2668" s="16" t="str">
        <f aca="false">INDEX(SETORES!$B:$B,MATCH(A2668,SETORES!$A:$A,0))</f>
        <v>Clientes</v>
      </c>
      <c r="H2668" s="16" t="s">
        <v>259</v>
      </c>
    </row>
    <row r="2669" customFormat="false" ht="14.25" hidden="false" customHeight="false" outlineLevel="0" collapsed="false">
      <c r="A2669" s="16" t="s">
        <v>49</v>
      </c>
      <c r="B2669" s="16" t="s">
        <v>162</v>
      </c>
      <c r="C2669" s="16" t="s">
        <v>209</v>
      </c>
      <c r="D2669" s="38"/>
      <c r="E2669" s="39"/>
      <c r="F2669" s="22" t="n">
        <f aca="false">IFERROR(D2669*E2669,0)</f>
        <v>0</v>
      </c>
      <c r="G2669" s="16" t="str">
        <f aca="false">INDEX(SETORES!$B:$B,MATCH(A2669,SETORES!$A:$A,0))</f>
        <v>Clientes</v>
      </c>
      <c r="H2669" s="16" t="s">
        <v>259</v>
      </c>
    </row>
    <row r="2670" customFormat="false" ht="14.25" hidden="false" customHeight="false" outlineLevel="0" collapsed="false">
      <c r="A2670" s="16" t="s">
        <v>49</v>
      </c>
      <c r="B2670" s="16" t="s">
        <v>155</v>
      </c>
      <c r="C2670" s="16" t="s">
        <v>167</v>
      </c>
      <c r="D2670" s="38"/>
      <c r="E2670" s="39"/>
      <c r="F2670" s="22" t="n">
        <f aca="false">IFERROR(D2670*E2670,0)</f>
        <v>0</v>
      </c>
      <c r="G2670" s="16" t="str">
        <f aca="false">INDEX(SETORES!$B:$B,MATCH(A2670,SETORES!$A:$A,0))</f>
        <v>Clientes</v>
      </c>
      <c r="H2670" s="16" t="s">
        <v>259</v>
      </c>
    </row>
    <row r="2671" customFormat="false" ht="14.25" hidden="false" customHeight="false" outlineLevel="0" collapsed="false">
      <c r="A2671" s="16" t="s">
        <v>49</v>
      </c>
      <c r="B2671" s="16" t="s">
        <v>155</v>
      </c>
      <c r="C2671" s="16" t="s">
        <v>168</v>
      </c>
      <c r="D2671" s="38" t="n">
        <v>4</v>
      </c>
      <c r="E2671" s="39" t="n">
        <v>1.87</v>
      </c>
      <c r="F2671" s="22" t="n">
        <f aca="false">IFERROR(D2671*E2671,0)</f>
        <v>7.48</v>
      </c>
      <c r="G2671" s="16" t="str">
        <f aca="false">INDEX(SETORES!$B:$B,MATCH(A2671,SETORES!$A:$A,0))</f>
        <v>Clientes</v>
      </c>
      <c r="H2671" s="16" t="s">
        <v>259</v>
      </c>
    </row>
    <row r="2672" customFormat="false" ht="14.25" hidden="false" customHeight="false" outlineLevel="0" collapsed="false">
      <c r="A2672" s="16" t="s">
        <v>32</v>
      </c>
      <c r="B2672" s="16" t="s">
        <v>155</v>
      </c>
      <c r="C2672" s="16" t="s">
        <v>156</v>
      </c>
      <c r="D2672" s="38" t="n">
        <v>1</v>
      </c>
      <c r="E2672" s="39" t="n">
        <v>9.85</v>
      </c>
      <c r="F2672" s="22" t="n">
        <f aca="false">IFERROR(D2672*E2672,0)</f>
        <v>9.85</v>
      </c>
      <c r="G2672" s="16" t="str">
        <f aca="false">INDEX(SETORES!$B:$B,MATCH(A2672,SETORES!$A:$A,0))</f>
        <v>Funcionários</v>
      </c>
      <c r="H2672" s="16" t="s">
        <v>259</v>
      </c>
    </row>
    <row r="2673" customFormat="false" ht="14.25" hidden="false" customHeight="false" outlineLevel="0" collapsed="false">
      <c r="A2673" s="16" t="s">
        <v>32</v>
      </c>
      <c r="B2673" s="16" t="s">
        <v>155</v>
      </c>
      <c r="C2673" s="16" t="s">
        <v>157</v>
      </c>
      <c r="D2673" s="38" t="n">
        <v>1</v>
      </c>
      <c r="E2673" s="39" t="n">
        <v>167.98</v>
      </c>
      <c r="F2673" s="22" t="n">
        <f aca="false">IFERROR(D2673*E2673,0)</f>
        <v>167.98</v>
      </c>
      <c r="G2673" s="16" t="str">
        <f aca="false">INDEX(SETORES!$B:$B,MATCH(A2673,SETORES!$A:$A,0))</f>
        <v>Funcionários</v>
      </c>
      <c r="H2673" s="16" t="s">
        <v>259</v>
      </c>
    </row>
    <row r="2674" customFormat="false" ht="14.25" hidden="false" customHeight="false" outlineLevel="0" collapsed="false">
      <c r="A2674" s="16" t="s">
        <v>32</v>
      </c>
      <c r="B2674" s="16" t="s">
        <v>155</v>
      </c>
      <c r="C2674" s="16" t="s">
        <v>158</v>
      </c>
      <c r="D2674" s="38"/>
      <c r="E2674" s="39"/>
      <c r="F2674" s="22" t="n">
        <f aca="false">IFERROR(D2674*E2674,0)</f>
        <v>0</v>
      </c>
      <c r="G2674" s="16" t="str">
        <f aca="false">INDEX(SETORES!$B:$B,MATCH(A2674,SETORES!$A:$A,0))</f>
        <v>Funcionários</v>
      </c>
      <c r="H2674" s="16" t="s">
        <v>259</v>
      </c>
    </row>
    <row r="2675" customFormat="false" ht="14.25" hidden="false" customHeight="false" outlineLevel="0" collapsed="false">
      <c r="A2675" s="16" t="s">
        <v>32</v>
      </c>
      <c r="B2675" s="16" t="s">
        <v>155</v>
      </c>
      <c r="C2675" s="16" t="s">
        <v>159</v>
      </c>
      <c r="D2675" s="38"/>
      <c r="E2675" s="39"/>
      <c r="F2675" s="22" t="n">
        <f aca="false">IFERROR(D2675*E2675,0)</f>
        <v>0</v>
      </c>
      <c r="G2675" s="16" t="str">
        <f aca="false">INDEX(SETORES!$B:$B,MATCH(A2675,SETORES!$A:$A,0))</f>
        <v>Funcionários</v>
      </c>
      <c r="H2675" s="16" t="s">
        <v>259</v>
      </c>
    </row>
    <row r="2676" customFormat="false" ht="14.25" hidden="false" customHeight="false" outlineLevel="0" collapsed="false">
      <c r="A2676" s="16" t="s">
        <v>32</v>
      </c>
      <c r="B2676" s="16" t="s">
        <v>155</v>
      </c>
      <c r="C2676" s="16" t="s">
        <v>160</v>
      </c>
      <c r="D2676" s="38"/>
      <c r="E2676" s="39"/>
      <c r="F2676" s="22" t="n">
        <f aca="false">IFERROR(D2676*E2676,0)</f>
        <v>0</v>
      </c>
      <c r="G2676" s="16" t="str">
        <f aca="false">INDEX(SETORES!$B:$B,MATCH(A2676,SETORES!$A:$A,0))</f>
        <v>Funcionários</v>
      </c>
      <c r="H2676" s="16" t="s">
        <v>259</v>
      </c>
    </row>
    <row r="2677" customFormat="false" ht="14.25" hidden="false" customHeight="false" outlineLevel="0" collapsed="false">
      <c r="A2677" s="16" t="s">
        <v>32</v>
      </c>
      <c r="B2677" s="16" t="s">
        <v>155</v>
      </c>
      <c r="C2677" s="16" t="s">
        <v>161</v>
      </c>
      <c r="D2677" s="38" t="n">
        <v>1</v>
      </c>
      <c r="E2677" s="39" t="n">
        <v>30326.87</v>
      </c>
      <c r="F2677" s="22" t="n">
        <f aca="false">IFERROR(D2677*E2677,0)</f>
        <v>30326.87</v>
      </c>
      <c r="G2677" s="16" t="str">
        <f aca="false">INDEX(SETORES!$B:$B,MATCH(A2677,SETORES!$A:$A,0))</f>
        <v>Funcionários</v>
      </c>
      <c r="H2677" s="16" t="s">
        <v>259</v>
      </c>
    </row>
    <row r="2678" customFormat="false" ht="14.25" hidden="false" customHeight="false" outlineLevel="0" collapsed="false">
      <c r="A2678" s="16" t="s">
        <v>32</v>
      </c>
      <c r="B2678" s="16" t="s">
        <v>162</v>
      </c>
      <c r="C2678" s="16" t="s">
        <v>225</v>
      </c>
      <c r="D2678" s="38"/>
      <c r="E2678" s="39"/>
      <c r="F2678" s="22" t="n">
        <f aca="false">IFERROR(D2678*E2678,0)</f>
        <v>0</v>
      </c>
      <c r="G2678" s="16" t="str">
        <f aca="false">INDEX(SETORES!$B:$B,MATCH(A2678,SETORES!$A:$A,0))</f>
        <v>Funcionários</v>
      </c>
      <c r="H2678" s="16" t="s">
        <v>259</v>
      </c>
    </row>
    <row r="2679" customFormat="false" ht="14.25" hidden="false" customHeight="false" outlineLevel="0" collapsed="false">
      <c r="A2679" s="16" t="s">
        <v>32</v>
      </c>
      <c r="B2679" s="16" t="s">
        <v>162</v>
      </c>
      <c r="C2679" s="16" t="s">
        <v>226</v>
      </c>
      <c r="D2679" s="38"/>
      <c r="E2679" s="39"/>
      <c r="F2679" s="22" t="n">
        <f aca="false">IFERROR(D2679*E2679,0)</f>
        <v>0</v>
      </c>
      <c r="G2679" s="16" t="str">
        <f aca="false">INDEX(SETORES!$B:$B,MATCH(A2679,SETORES!$A:$A,0))</f>
        <v>Funcionários</v>
      </c>
      <c r="H2679" s="16" t="s">
        <v>259</v>
      </c>
    </row>
    <row r="2680" customFormat="false" ht="14.25" hidden="false" customHeight="false" outlineLevel="0" collapsed="false">
      <c r="A2680" s="16" t="s">
        <v>32</v>
      </c>
      <c r="B2680" s="16" t="s">
        <v>155</v>
      </c>
      <c r="C2680" s="16" t="s">
        <v>227</v>
      </c>
      <c r="D2680" s="38"/>
      <c r="E2680" s="39"/>
      <c r="F2680" s="22" t="n">
        <f aca="false">IFERROR(D2680*E2680,0)</f>
        <v>0</v>
      </c>
      <c r="G2680" s="16" t="str">
        <f aca="false">INDEX(SETORES!$B:$B,MATCH(A2680,SETORES!$A:$A,0))</f>
        <v>Funcionários</v>
      </c>
      <c r="H2680" s="16" t="s">
        <v>259</v>
      </c>
    </row>
    <row r="2681" customFormat="false" ht="14.25" hidden="false" customHeight="false" outlineLevel="0" collapsed="false">
      <c r="A2681" s="16" t="s">
        <v>32</v>
      </c>
      <c r="B2681" s="16" t="s">
        <v>162</v>
      </c>
      <c r="C2681" s="16" t="s">
        <v>228</v>
      </c>
      <c r="D2681" s="38"/>
      <c r="E2681" s="39"/>
      <c r="F2681" s="22" t="n">
        <f aca="false">IFERROR(D2681*E2681,0)</f>
        <v>0</v>
      </c>
      <c r="G2681" s="16" t="str">
        <f aca="false">INDEX(SETORES!$B:$B,MATCH(A2681,SETORES!$A:$A,0))</f>
        <v>Funcionários</v>
      </c>
      <c r="H2681" s="16" t="s">
        <v>259</v>
      </c>
    </row>
    <row r="2682" customFormat="false" ht="14.25" hidden="false" customHeight="false" outlineLevel="0" collapsed="false">
      <c r="A2682" s="16" t="s">
        <v>32</v>
      </c>
      <c r="B2682" s="16" t="s">
        <v>155</v>
      </c>
      <c r="C2682" s="16" t="s">
        <v>229</v>
      </c>
      <c r="D2682" s="38"/>
      <c r="E2682" s="39"/>
      <c r="F2682" s="22" t="n">
        <f aca="false">IFERROR(D2682*E2682,0)</f>
        <v>0</v>
      </c>
      <c r="G2682" s="16" t="str">
        <f aca="false">INDEX(SETORES!$B:$B,MATCH(A2682,SETORES!$A:$A,0))</f>
        <v>Funcionários</v>
      </c>
      <c r="H2682" s="16" t="s">
        <v>259</v>
      </c>
    </row>
    <row r="2683" customFormat="false" ht="14.25" hidden="false" customHeight="false" outlineLevel="0" collapsed="false">
      <c r="A2683" s="16" t="s">
        <v>32</v>
      </c>
      <c r="B2683" s="16" t="s">
        <v>155</v>
      </c>
      <c r="C2683" s="16" t="s">
        <v>230</v>
      </c>
      <c r="D2683" s="38"/>
      <c r="E2683" s="39"/>
      <c r="F2683" s="22" t="n">
        <f aca="false">IFERROR(D2683*E2683,0)</f>
        <v>0</v>
      </c>
      <c r="G2683" s="16" t="str">
        <f aca="false">INDEX(SETORES!$B:$B,MATCH(A2683,SETORES!$A:$A,0))</f>
        <v>Funcionários</v>
      </c>
      <c r="H2683" s="16" t="s">
        <v>259</v>
      </c>
    </row>
    <row r="2684" customFormat="false" ht="14.25" hidden="false" customHeight="false" outlineLevel="0" collapsed="false">
      <c r="A2684" s="16" t="s">
        <v>32</v>
      </c>
      <c r="B2684" s="16" t="s">
        <v>155</v>
      </c>
      <c r="C2684" s="16" t="s">
        <v>166</v>
      </c>
      <c r="D2684" s="38" t="n">
        <v>6</v>
      </c>
      <c r="E2684" s="39" t="n">
        <v>50</v>
      </c>
      <c r="F2684" s="22" t="n">
        <f aca="false">IFERROR(D2684*E2684,0)</f>
        <v>300</v>
      </c>
      <c r="G2684" s="16" t="str">
        <f aca="false">INDEX(SETORES!$B:$B,MATCH(A2684,SETORES!$A:$A,0))</f>
        <v>Funcionários</v>
      </c>
      <c r="H2684" s="16" t="s">
        <v>259</v>
      </c>
    </row>
    <row r="2685" customFormat="false" ht="14.25" hidden="false" customHeight="false" outlineLevel="0" collapsed="false">
      <c r="A2685" s="16" t="s">
        <v>32</v>
      </c>
      <c r="B2685" s="16" t="s">
        <v>155</v>
      </c>
      <c r="C2685" s="16" t="s">
        <v>238</v>
      </c>
      <c r="D2685" s="38"/>
      <c r="E2685" s="39"/>
      <c r="F2685" s="22" t="n">
        <f aca="false">IFERROR(D2685*E2685,0)</f>
        <v>0</v>
      </c>
      <c r="G2685" s="16" t="str">
        <f aca="false">INDEX(SETORES!$B:$B,MATCH(A2685,SETORES!$A:$A,0))</f>
        <v>Funcionários</v>
      </c>
      <c r="H2685" s="16" t="s">
        <v>259</v>
      </c>
    </row>
    <row r="2686" customFormat="false" ht="14.25" hidden="false" customHeight="false" outlineLevel="0" collapsed="false">
      <c r="A2686" s="16" t="s">
        <v>32</v>
      </c>
      <c r="B2686" s="16" t="s">
        <v>155</v>
      </c>
      <c r="C2686" s="16" t="s">
        <v>167</v>
      </c>
      <c r="D2686" s="38"/>
      <c r="E2686" s="39"/>
      <c r="F2686" s="22" t="n">
        <f aca="false">IFERROR(D2686*E2686,0)</f>
        <v>0</v>
      </c>
      <c r="G2686" s="16" t="str">
        <f aca="false">INDEX(SETORES!$B:$B,MATCH(A2686,SETORES!$A:$A,0))</f>
        <v>Funcionários</v>
      </c>
      <c r="H2686" s="16" t="s">
        <v>259</v>
      </c>
    </row>
    <row r="2687" customFormat="false" ht="14.25" hidden="false" customHeight="false" outlineLevel="0" collapsed="false">
      <c r="A2687" s="16" t="s">
        <v>32</v>
      </c>
      <c r="B2687" s="16" t="s">
        <v>155</v>
      </c>
      <c r="C2687" s="16" t="s">
        <v>168</v>
      </c>
      <c r="D2687" s="38" t="n">
        <v>6</v>
      </c>
      <c r="E2687" s="39" t="n">
        <v>1.87</v>
      </c>
      <c r="F2687" s="22" t="n">
        <f aca="false">IFERROR(D2687*E2687,0)</f>
        <v>11.22</v>
      </c>
      <c r="G2687" s="16" t="str">
        <f aca="false">INDEX(SETORES!$B:$B,MATCH(A2687,SETORES!$A:$A,0))</f>
        <v>Funcionários</v>
      </c>
      <c r="H2687" s="16" t="s">
        <v>259</v>
      </c>
    </row>
    <row r="2688" customFormat="false" ht="14.25" hidden="false" customHeight="false" outlineLevel="0" collapsed="false">
      <c r="A2688" s="16" t="s">
        <v>39</v>
      </c>
      <c r="B2688" s="16" t="s">
        <v>155</v>
      </c>
      <c r="C2688" s="16" t="s">
        <v>156</v>
      </c>
      <c r="D2688" s="38" t="n">
        <v>1</v>
      </c>
      <c r="E2688" s="39" t="n">
        <v>3.45</v>
      </c>
      <c r="F2688" s="22" t="n">
        <f aca="false">IFERROR(D2688*E2688,0)</f>
        <v>3.45</v>
      </c>
      <c r="G2688" s="16" t="str">
        <f aca="false">INDEX(SETORES!$B:$B,MATCH(A2688,SETORES!$A:$A,0))</f>
        <v>Clientes</v>
      </c>
      <c r="H2688" s="16" t="s">
        <v>259</v>
      </c>
    </row>
    <row r="2689" customFormat="false" ht="14.25" hidden="false" customHeight="false" outlineLevel="0" collapsed="false">
      <c r="A2689" s="16" t="s">
        <v>39</v>
      </c>
      <c r="B2689" s="16" t="s">
        <v>155</v>
      </c>
      <c r="C2689" s="16" t="s">
        <v>157</v>
      </c>
      <c r="D2689" s="38" t="n">
        <v>1</v>
      </c>
      <c r="E2689" s="39" t="n">
        <v>606.65</v>
      </c>
      <c r="F2689" s="22" t="n">
        <f aca="false">IFERROR(D2689*E2689,0)</f>
        <v>606.65</v>
      </c>
      <c r="G2689" s="16" t="str">
        <f aca="false">INDEX(SETORES!$B:$B,MATCH(A2689,SETORES!$A:$A,0))</f>
        <v>Clientes</v>
      </c>
      <c r="H2689" s="16" t="s">
        <v>259</v>
      </c>
    </row>
    <row r="2690" customFormat="false" ht="14.25" hidden="false" customHeight="false" outlineLevel="0" collapsed="false">
      <c r="A2690" s="16" t="s">
        <v>39</v>
      </c>
      <c r="B2690" s="16" t="s">
        <v>155</v>
      </c>
      <c r="C2690" s="16" t="s">
        <v>158</v>
      </c>
      <c r="D2690" s="38"/>
      <c r="E2690" s="39"/>
      <c r="F2690" s="22" t="n">
        <f aca="false">IFERROR(D2690*E2690,0)</f>
        <v>0</v>
      </c>
      <c r="G2690" s="16" t="str">
        <f aca="false">INDEX(SETORES!$B:$B,MATCH(A2690,SETORES!$A:$A,0))</f>
        <v>Clientes</v>
      </c>
      <c r="H2690" s="16" t="s">
        <v>259</v>
      </c>
    </row>
    <row r="2691" customFormat="false" ht="14.25" hidden="false" customHeight="false" outlineLevel="0" collapsed="false">
      <c r="A2691" s="16" t="s">
        <v>39</v>
      </c>
      <c r="B2691" s="16" t="s">
        <v>155</v>
      </c>
      <c r="C2691" s="16" t="s">
        <v>159</v>
      </c>
      <c r="D2691" s="38"/>
      <c r="E2691" s="39"/>
      <c r="F2691" s="22" t="n">
        <f aca="false">IFERROR(D2691*E2691,0)</f>
        <v>0</v>
      </c>
      <c r="G2691" s="16" t="str">
        <f aca="false">INDEX(SETORES!$B:$B,MATCH(A2691,SETORES!$A:$A,0))</f>
        <v>Clientes</v>
      </c>
      <c r="H2691" s="16" t="s">
        <v>259</v>
      </c>
    </row>
    <row r="2692" customFormat="false" ht="14.25" hidden="false" customHeight="false" outlineLevel="0" collapsed="false">
      <c r="A2692" s="16" t="s">
        <v>39</v>
      </c>
      <c r="B2692" s="16" t="s">
        <v>155</v>
      </c>
      <c r="C2692" s="16" t="s">
        <v>160</v>
      </c>
      <c r="D2692" s="38"/>
      <c r="E2692" s="39"/>
      <c r="F2692" s="22" t="n">
        <f aca="false">IFERROR(D2692*E2692,0)</f>
        <v>0</v>
      </c>
      <c r="G2692" s="16" t="str">
        <f aca="false">INDEX(SETORES!$B:$B,MATCH(A2692,SETORES!$A:$A,0))</f>
        <v>Clientes</v>
      </c>
      <c r="H2692" s="16" t="s">
        <v>259</v>
      </c>
    </row>
    <row r="2693" customFormat="false" ht="14.25" hidden="false" customHeight="false" outlineLevel="0" collapsed="false">
      <c r="A2693" s="16" t="s">
        <v>39</v>
      </c>
      <c r="B2693" s="16" t="s">
        <v>155</v>
      </c>
      <c r="C2693" s="16" t="s">
        <v>161</v>
      </c>
      <c r="D2693" s="38" t="n">
        <v>1</v>
      </c>
      <c r="E2693" s="39" t="n">
        <v>41989.1</v>
      </c>
      <c r="F2693" s="22" t="n">
        <f aca="false">IFERROR(D2693*E2693,0)</f>
        <v>41989.1</v>
      </c>
      <c r="G2693" s="16" t="str">
        <f aca="false">INDEX(SETORES!$B:$B,MATCH(A2693,SETORES!$A:$A,0))</f>
        <v>Clientes</v>
      </c>
      <c r="H2693" s="16" t="s">
        <v>259</v>
      </c>
    </row>
    <row r="2694" customFormat="false" ht="14.25" hidden="false" customHeight="false" outlineLevel="0" collapsed="false">
      <c r="A2694" s="16" t="s">
        <v>39</v>
      </c>
      <c r="B2694" s="16" t="s">
        <v>162</v>
      </c>
      <c r="C2694" s="16" t="s">
        <v>163</v>
      </c>
      <c r="D2694" s="38"/>
      <c r="E2694" s="39"/>
      <c r="F2694" s="22" t="n">
        <f aca="false">IFERROR(D2694*E2694,0)</f>
        <v>0</v>
      </c>
      <c r="G2694" s="16" t="str">
        <f aca="false">INDEX(SETORES!$B:$B,MATCH(A2694,SETORES!$A:$A,0))</f>
        <v>Clientes</v>
      </c>
      <c r="H2694" s="16" t="s">
        <v>259</v>
      </c>
    </row>
    <row r="2695" customFormat="false" ht="14.25" hidden="false" customHeight="false" outlineLevel="0" collapsed="false">
      <c r="A2695" s="16" t="s">
        <v>39</v>
      </c>
      <c r="B2695" s="16" t="s">
        <v>162</v>
      </c>
      <c r="C2695" s="16" t="s">
        <v>164</v>
      </c>
      <c r="D2695" s="38"/>
      <c r="E2695" s="39"/>
      <c r="F2695" s="22" t="n">
        <f aca="false">IFERROR(D2695*E2695,0)</f>
        <v>0</v>
      </c>
      <c r="G2695" s="16" t="str">
        <f aca="false">INDEX(SETORES!$B:$B,MATCH(A2695,SETORES!$A:$A,0))</f>
        <v>Clientes</v>
      </c>
      <c r="H2695" s="16" t="s">
        <v>259</v>
      </c>
    </row>
    <row r="2696" customFormat="false" ht="14.25" hidden="false" customHeight="false" outlineLevel="0" collapsed="false">
      <c r="A2696" s="16" t="s">
        <v>39</v>
      </c>
      <c r="B2696" s="16" t="s">
        <v>162</v>
      </c>
      <c r="C2696" s="16" t="s">
        <v>222</v>
      </c>
      <c r="D2696" s="38"/>
      <c r="E2696" s="39"/>
      <c r="F2696" s="22" t="n">
        <f aca="false">IFERROR(D2696*E2696,0)</f>
        <v>0</v>
      </c>
      <c r="G2696" s="16" t="str">
        <f aca="false">INDEX(SETORES!$B:$B,MATCH(A2696,SETORES!$A:$A,0))</f>
        <v>Clientes</v>
      </c>
      <c r="H2696" s="16" t="s">
        <v>259</v>
      </c>
    </row>
    <row r="2697" customFormat="false" ht="14.25" hidden="false" customHeight="false" outlineLevel="0" collapsed="false">
      <c r="A2697" s="16" t="s">
        <v>39</v>
      </c>
      <c r="B2697" s="16" t="s">
        <v>155</v>
      </c>
      <c r="C2697" s="16" t="s">
        <v>166</v>
      </c>
      <c r="D2697" s="38" t="n">
        <v>12</v>
      </c>
      <c r="E2697" s="39" t="n">
        <v>50</v>
      </c>
      <c r="F2697" s="22" t="n">
        <f aca="false">IFERROR(D2697*E2697,0)</f>
        <v>600</v>
      </c>
      <c r="G2697" s="16" t="str">
        <f aca="false">INDEX(SETORES!$B:$B,MATCH(A2697,SETORES!$A:$A,0))</f>
        <v>Clientes</v>
      </c>
      <c r="H2697" s="16" t="s">
        <v>259</v>
      </c>
    </row>
    <row r="2698" customFormat="false" ht="14.25" hidden="false" customHeight="false" outlineLevel="0" collapsed="false">
      <c r="A2698" s="16" t="s">
        <v>39</v>
      </c>
      <c r="B2698" s="16" t="s">
        <v>155</v>
      </c>
      <c r="C2698" s="16" t="s">
        <v>187</v>
      </c>
      <c r="D2698" s="38"/>
      <c r="E2698" s="39"/>
      <c r="F2698" s="22" t="n">
        <f aca="false">IFERROR(D2698*E2698,0)</f>
        <v>0</v>
      </c>
      <c r="G2698" s="16" t="str">
        <f aca="false">INDEX(SETORES!$B:$B,MATCH(A2698,SETORES!$A:$A,0))</f>
        <v>Clientes</v>
      </c>
      <c r="H2698" s="16" t="s">
        <v>259</v>
      </c>
    </row>
    <row r="2699" customFormat="false" ht="14.25" hidden="false" customHeight="false" outlineLevel="0" collapsed="false">
      <c r="A2699" s="16" t="s">
        <v>39</v>
      </c>
      <c r="B2699" s="16" t="s">
        <v>155</v>
      </c>
      <c r="C2699" s="16" t="s">
        <v>240</v>
      </c>
      <c r="D2699" s="38"/>
      <c r="E2699" s="39"/>
      <c r="F2699" s="22" t="n">
        <f aca="false">IFERROR(D2699*E2699,0)</f>
        <v>0</v>
      </c>
      <c r="G2699" s="16" t="str">
        <f aca="false">INDEX(SETORES!$B:$B,MATCH(A2699,SETORES!$A:$A,0))</f>
        <v>Clientes</v>
      </c>
      <c r="H2699" s="16" t="s">
        <v>259</v>
      </c>
    </row>
    <row r="2700" customFormat="false" ht="14.25" hidden="false" customHeight="false" outlineLevel="0" collapsed="false">
      <c r="A2700" s="16" t="s">
        <v>39</v>
      </c>
      <c r="B2700" s="16" t="s">
        <v>155</v>
      </c>
      <c r="C2700" s="16" t="s">
        <v>167</v>
      </c>
      <c r="D2700" s="38"/>
      <c r="E2700" s="39"/>
      <c r="F2700" s="22" t="n">
        <f aca="false">IFERROR(D2700*E2700,0)</f>
        <v>0</v>
      </c>
      <c r="G2700" s="16" t="str">
        <f aca="false">INDEX(SETORES!$B:$B,MATCH(A2700,SETORES!$A:$A,0))</f>
        <v>Clientes</v>
      </c>
      <c r="H2700" s="16" t="s">
        <v>259</v>
      </c>
    </row>
    <row r="2701" customFormat="false" ht="14.25" hidden="false" customHeight="false" outlineLevel="0" collapsed="false">
      <c r="A2701" s="16" t="s">
        <v>39</v>
      </c>
      <c r="B2701" s="16" t="s">
        <v>155</v>
      </c>
      <c r="C2701" s="16" t="s">
        <v>168</v>
      </c>
      <c r="D2701" s="38" t="n">
        <v>12</v>
      </c>
      <c r="E2701" s="39" t="n">
        <v>1.87</v>
      </c>
      <c r="F2701" s="22" t="n">
        <f aca="false">IFERROR(D2701*E2701,0)</f>
        <v>22.44</v>
      </c>
      <c r="G2701" s="16" t="str">
        <f aca="false">INDEX(SETORES!$B:$B,MATCH(A2701,SETORES!$A:$A,0))</f>
        <v>Clientes</v>
      </c>
      <c r="H2701" s="16" t="s">
        <v>259</v>
      </c>
    </row>
    <row r="2702" customFormat="false" ht="14.25" hidden="false" customHeight="false" outlineLevel="0" collapsed="false">
      <c r="A2702" s="16" t="s">
        <v>44</v>
      </c>
      <c r="B2702" s="16" t="s">
        <v>155</v>
      </c>
      <c r="C2702" s="16" t="s">
        <v>156</v>
      </c>
      <c r="D2702" s="38" t="n">
        <v>1</v>
      </c>
      <c r="E2702" s="39" t="n">
        <v>56.96</v>
      </c>
      <c r="F2702" s="22" t="n">
        <f aca="false">IFERROR(D2702*E2702,0)</f>
        <v>56.96</v>
      </c>
      <c r="G2702" s="16" t="str">
        <f aca="false">INDEX(SETORES!$B:$B,MATCH(A2702,SETORES!$A:$A,0))</f>
        <v>Funcionários</v>
      </c>
      <c r="H2702" s="16" t="s">
        <v>259</v>
      </c>
    </row>
    <row r="2703" customFormat="false" ht="14.25" hidden="false" customHeight="false" outlineLevel="0" collapsed="false">
      <c r="A2703" s="16" t="s">
        <v>44</v>
      </c>
      <c r="B2703" s="16" t="s">
        <v>155</v>
      </c>
      <c r="C2703" s="16" t="s">
        <v>157</v>
      </c>
      <c r="D2703" s="38"/>
      <c r="E2703" s="39"/>
      <c r="F2703" s="22" t="n">
        <f aca="false">IFERROR(D2703*E2703,0)</f>
        <v>0</v>
      </c>
      <c r="G2703" s="16" t="str">
        <f aca="false">INDEX(SETORES!$B:$B,MATCH(A2703,SETORES!$A:$A,0))</f>
        <v>Funcionários</v>
      </c>
      <c r="H2703" s="16" t="s">
        <v>259</v>
      </c>
    </row>
    <row r="2704" customFormat="false" ht="14.25" hidden="false" customHeight="false" outlineLevel="0" collapsed="false">
      <c r="A2704" s="16" t="s">
        <v>44</v>
      </c>
      <c r="B2704" s="16" t="s">
        <v>155</v>
      </c>
      <c r="C2704" s="16" t="s">
        <v>158</v>
      </c>
      <c r="D2704" s="38"/>
      <c r="E2704" s="39"/>
      <c r="F2704" s="22" t="n">
        <f aca="false">IFERROR(D2704*E2704,0)</f>
        <v>0</v>
      </c>
      <c r="G2704" s="16" t="str">
        <f aca="false">INDEX(SETORES!$B:$B,MATCH(A2704,SETORES!$A:$A,0))</f>
        <v>Funcionários</v>
      </c>
      <c r="H2704" s="16" t="s">
        <v>259</v>
      </c>
    </row>
    <row r="2705" customFormat="false" ht="14.25" hidden="false" customHeight="false" outlineLevel="0" collapsed="false">
      <c r="A2705" s="16" t="s">
        <v>44</v>
      </c>
      <c r="B2705" s="16" t="s">
        <v>155</v>
      </c>
      <c r="C2705" s="16" t="s">
        <v>159</v>
      </c>
      <c r="D2705" s="38"/>
      <c r="E2705" s="39"/>
      <c r="F2705" s="22" t="n">
        <f aca="false">IFERROR(D2705*E2705,0)</f>
        <v>0</v>
      </c>
      <c r="G2705" s="16" t="str">
        <f aca="false">INDEX(SETORES!$B:$B,MATCH(A2705,SETORES!$A:$A,0))</f>
        <v>Funcionários</v>
      </c>
      <c r="H2705" s="16" t="s">
        <v>259</v>
      </c>
    </row>
    <row r="2706" customFormat="false" ht="14.25" hidden="false" customHeight="false" outlineLevel="0" collapsed="false">
      <c r="A2706" s="16" t="s">
        <v>44</v>
      </c>
      <c r="B2706" s="16" t="s">
        <v>155</v>
      </c>
      <c r="C2706" s="16" t="s">
        <v>160</v>
      </c>
      <c r="D2706" s="38"/>
      <c r="E2706" s="39"/>
      <c r="F2706" s="22" t="n">
        <f aca="false">IFERROR(D2706*E2706,0)</f>
        <v>0</v>
      </c>
      <c r="G2706" s="16" t="str">
        <f aca="false">INDEX(SETORES!$B:$B,MATCH(A2706,SETORES!$A:$A,0))</f>
        <v>Funcionários</v>
      </c>
      <c r="H2706" s="16" t="s">
        <v>259</v>
      </c>
    </row>
    <row r="2707" customFormat="false" ht="14.25" hidden="false" customHeight="false" outlineLevel="0" collapsed="false">
      <c r="A2707" s="16" t="s">
        <v>44</v>
      </c>
      <c r="B2707" s="16" t="s">
        <v>155</v>
      </c>
      <c r="C2707" s="16" t="s">
        <v>161</v>
      </c>
      <c r="D2707" s="38" t="n">
        <v>1</v>
      </c>
      <c r="E2707" s="39" t="n">
        <v>43760.48</v>
      </c>
      <c r="F2707" s="22" t="n">
        <f aca="false">IFERROR(D2707*E2707,0)</f>
        <v>43760.48</v>
      </c>
      <c r="G2707" s="16" t="str">
        <f aca="false">INDEX(SETORES!$B:$B,MATCH(A2707,SETORES!$A:$A,0))</f>
        <v>Funcionários</v>
      </c>
      <c r="H2707" s="16" t="s">
        <v>259</v>
      </c>
    </row>
    <row r="2708" customFormat="false" ht="14.25" hidden="false" customHeight="false" outlineLevel="0" collapsed="false">
      <c r="A2708" s="16" t="s">
        <v>44</v>
      </c>
      <c r="B2708" s="16" t="s">
        <v>162</v>
      </c>
      <c r="C2708" s="16" t="s">
        <v>221</v>
      </c>
      <c r="D2708" s="38"/>
      <c r="E2708" s="39"/>
      <c r="F2708" s="22" t="n">
        <f aca="false">IFERROR(D2708*E2708,0)</f>
        <v>0</v>
      </c>
      <c r="G2708" s="16" t="str">
        <f aca="false">INDEX(SETORES!$B:$B,MATCH(A2708,SETORES!$A:$A,0))</f>
        <v>Funcionários</v>
      </c>
      <c r="H2708" s="16" t="s">
        <v>259</v>
      </c>
    </row>
    <row r="2709" customFormat="false" ht="14.25" hidden="false" customHeight="false" outlineLevel="0" collapsed="false">
      <c r="A2709" s="16" t="s">
        <v>38</v>
      </c>
      <c r="B2709" s="16" t="s">
        <v>162</v>
      </c>
      <c r="C2709" s="16" t="s">
        <v>165</v>
      </c>
      <c r="D2709" s="38"/>
      <c r="E2709" s="39"/>
      <c r="F2709" s="22" t="n">
        <f aca="false">IFERROR(D2709*E2709,0)</f>
        <v>0</v>
      </c>
      <c r="G2709" s="16" t="str">
        <f aca="false">INDEX(SETORES!$B:$B,MATCH(A2709,SETORES!$A:$A,0))</f>
        <v>Clientes</v>
      </c>
      <c r="H2709" s="16" t="s">
        <v>259</v>
      </c>
    </row>
    <row r="2710" customFormat="false" ht="14.25" hidden="false" customHeight="false" outlineLevel="0" collapsed="false">
      <c r="A2710" s="16" t="s">
        <v>37</v>
      </c>
      <c r="B2710" s="16" t="s">
        <v>162</v>
      </c>
      <c r="C2710" s="16" t="s">
        <v>165</v>
      </c>
      <c r="D2710" s="38"/>
      <c r="E2710" s="39"/>
      <c r="F2710" s="22" t="n">
        <f aca="false">IFERROR(D2710*E2710,0)</f>
        <v>0</v>
      </c>
      <c r="G2710" s="16" t="str">
        <f aca="false">INDEX(SETORES!$B:$B,MATCH(A2710,SETORES!$A:$A,0))</f>
        <v>Clientes</v>
      </c>
      <c r="H2710" s="16" t="s">
        <v>259</v>
      </c>
    </row>
    <row r="2711" customFormat="false" ht="14.25" hidden="false" customHeight="false" outlineLevel="0" collapsed="false">
      <c r="A2711" s="16" t="s">
        <v>53</v>
      </c>
      <c r="B2711" s="16" t="s">
        <v>162</v>
      </c>
      <c r="C2711" s="16" t="s">
        <v>165</v>
      </c>
      <c r="D2711" s="38"/>
      <c r="E2711" s="39"/>
      <c r="F2711" s="22" t="n">
        <f aca="false">IFERROR(D2711*E2711,0)</f>
        <v>0</v>
      </c>
      <c r="G2711" s="16" t="str">
        <f aca="false">INDEX(SETORES!$B:$B,MATCH(A2711,SETORES!$A:$A,0))</f>
        <v>Clientes</v>
      </c>
      <c r="H2711" s="16" t="s">
        <v>259</v>
      </c>
    </row>
    <row r="2712" customFormat="false" ht="14.25" hidden="false" customHeight="false" outlineLevel="0" collapsed="false">
      <c r="A2712" s="16" t="s">
        <v>47</v>
      </c>
      <c r="B2712" s="16" t="s">
        <v>162</v>
      </c>
      <c r="C2712" s="16" t="s">
        <v>165</v>
      </c>
      <c r="D2712" s="38"/>
      <c r="E2712" s="39"/>
      <c r="F2712" s="22" t="n">
        <f aca="false">IFERROR(D2712*E2712,0)</f>
        <v>0</v>
      </c>
      <c r="G2712" s="16" t="str">
        <f aca="false">INDEX(SETORES!$B:$B,MATCH(A2712,SETORES!$A:$A,0))</f>
        <v>Clientes</v>
      </c>
      <c r="H2712" s="16" t="s">
        <v>259</v>
      </c>
    </row>
    <row r="2713" customFormat="false" ht="14.25" hidden="false" customHeight="false" outlineLevel="0" collapsed="false">
      <c r="A2713" s="16" t="s">
        <v>44</v>
      </c>
      <c r="B2713" s="16" t="s">
        <v>162</v>
      </c>
      <c r="C2713" s="16" t="s">
        <v>165</v>
      </c>
      <c r="D2713" s="38"/>
      <c r="E2713" s="39"/>
      <c r="F2713" s="22" t="n">
        <f aca="false">IFERROR(D2713*E2713,0)</f>
        <v>0</v>
      </c>
      <c r="G2713" s="16" t="str">
        <f aca="false">INDEX(SETORES!$B:$B,MATCH(A2713,SETORES!$A:$A,0))</f>
        <v>Funcionários</v>
      </c>
      <c r="H2713" s="16" t="s">
        <v>259</v>
      </c>
    </row>
    <row r="2714" customFormat="false" ht="14.25" hidden="false" customHeight="false" outlineLevel="0" collapsed="false">
      <c r="A2714" s="16" t="s">
        <v>44</v>
      </c>
      <c r="B2714" s="16" t="s">
        <v>162</v>
      </c>
      <c r="C2714" s="16" t="s">
        <v>163</v>
      </c>
      <c r="D2714" s="38"/>
      <c r="E2714" s="39"/>
      <c r="F2714" s="22" t="n">
        <f aca="false">IFERROR(D2714*E2714,0)</f>
        <v>0</v>
      </c>
      <c r="G2714" s="16" t="str">
        <f aca="false">INDEX(SETORES!$B:$B,MATCH(A2714,SETORES!$A:$A,0))</f>
        <v>Funcionários</v>
      </c>
      <c r="H2714" s="16" t="s">
        <v>259</v>
      </c>
    </row>
    <row r="2715" customFormat="false" ht="14.25" hidden="false" customHeight="false" outlineLevel="0" collapsed="false">
      <c r="A2715" s="16" t="s">
        <v>44</v>
      </c>
      <c r="B2715" s="16" t="s">
        <v>162</v>
      </c>
      <c r="C2715" s="16" t="s">
        <v>164</v>
      </c>
      <c r="D2715" s="38" t="n">
        <v>1</v>
      </c>
      <c r="E2715" s="39" t="n">
        <v>204</v>
      </c>
      <c r="F2715" s="22" t="n">
        <f aca="false">IFERROR(D2715*E2715,0)</f>
        <v>204</v>
      </c>
      <c r="G2715" s="16" t="str">
        <f aca="false">INDEX(SETORES!$B:$B,MATCH(A2715,SETORES!$A:$A,0))</f>
        <v>Funcionários</v>
      </c>
      <c r="H2715" s="16" t="s">
        <v>259</v>
      </c>
    </row>
    <row r="2716" customFormat="false" ht="14.25" hidden="false" customHeight="false" outlineLevel="0" collapsed="false">
      <c r="A2716" s="16" t="s">
        <v>44</v>
      </c>
      <c r="B2716" s="16" t="s">
        <v>162</v>
      </c>
      <c r="C2716" s="16" t="s">
        <v>209</v>
      </c>
      <c r="D2716" s="38"/>
      <c r="E2716" s="39"/>
      <c r="F2716" s="22" t="n">
        <f aca="false">IFERROR(D2716*E2716,0)</f>
        <v>0</v>
      </c>
      <c r="G2716" s="16" t="str">
        <f aca="false">INDEX(SETORES!$B:$B,MATCH(A2716,SETORES!$A:$A,0))</f>
        <v>Funcionários</v>
      </c>
      <c r="H2716" s="16" t="s">
        <v>259</v>
      </c>
    </row>
    <row r="2717" customFormat="false" ht="14.25" hidden="false" customHeight="false" outlineLevel="0" collapsed="false">
      <c r="A2717" s="16" t="s">
        <v>44</v>
      </c>
      <c r="B2717" s="16" t="s">
        <v>162</v>
      </c>
      <c r="C2717" s="16" t="s">
        <v>232</v>
      </c>
      <c r="D2717" s="38" t="n">
        <v>1</v>
      </c>
      <c r="E2717" s="39" t="n">
        <v>7689.5</v>
      </c>
      <c r="F2717" s="22" t="n">
        <f aca="false">IFERROR(D2717*E2717,0)</f>
        <v>7689.5</v>
      </c>
      <c r="G2717" s="16" t="str">
        <f aca="false">INDEX(SETORES!$B:$B,MATCH(A2717,SETORES!$A:$A,0))</f>
        <v>Funcionários</v>
      </c>
      <c r="H2717" s="16" t="s">
        <v>259</v>
      </c>
    </row>
    <row r="2718" customFormat="false" ht="14.25" hidden="false" customHeight="false" outlineLevel="0" collapsed="false">
      <c r="A2718" s="16" t="s">
        <v>44</v>
      </c>
      <c r="B2718" s="16" t="s">
        <v>155</v>
      </c>
      <c r="C2718" s="16" t="s">
        <v>166</v>
      </c>
      <c r="D2718" s="38" t="n">
        <v>8</v>
      </c>
      <c r="E2718" s="39" t="n">
        <v>50</v>
      </c>
      <c r="F2718" s="22" t="n">
        <f aca="false">IFERROR(D2718*E2718,0)</f>
        <v>400</v>
      </c>
      <c r="G2718" s="16" t="str">
        <f aca="false">INDEX(SETORES!$B:$B,MATCH(A2718,SETORES!$A:$A,0))</f>
        <v>Funcionários</v>
      </c>
      <c r="H2718" s="16" t="s">
        <v>259</v>
      </c>
    </row>
    <row r="2719" customFormat="false" ht="14.25" hidden="false" customHeight="false" outlineLevel="0" collapsed="false">
      <c r="A2719" s="16" t="s">
        <v>44</v>
      </c>
      <c r="B2719" s="16" t="s">
        <v>162</v>
      </c>
      <c r="C2719" s="16" t="s">
        <v>217</v>
      </c>
      <c r="D2719" s="38"/>
      <c r="E2719" s="39"/>
      <c r="F2719" s="22" t="n">
        <f aca="false">IFERROR(D2719*E2719,0)</f>
        <v>0</v>
      </c>
      <c r="G2719" s="16" t="str">
        <f aca="false">INDEX(SETORES!$B:$B,MATCH(A2719,SETORES!$A:$A,0))</f>
        <v>Funcionários</v>
      </c>
      <c r="H2719" s="16" t="s">
        <v>259</v>
      </c>
    </row>
    <row r="2720" customFormat="false" ht="14.25" hidden="false" customHeight="false" outlineLevel="0" collapsed="false">
      <c r="A2720" s="16" t="s">
        <v>44</v>
      </c>
      <c r="B2720" s="16" t="s">
        <v>155</v>
      </c>
      <c r="C2720" s="16" t="s">
        <v>238</v>
      </c>
      <c r="D2720" s="38"/>
      <c r="E2720" s="39"/>
      <c r="F2720" s="22" t="n">
        <f aca="false">IFERROR(D2720*E2720,0)</f>
        <v>0</v>
      </c>
      <c r="G2720" s="16" t="str">
        <f aca="false">INDEX(SETORES!$B:$B,MATCH(A2720,SETORES!$A:$A,0))</f>
        <v>Funcionários</v>
      </c>
      <c r="H2720" s="16" t="s">
        <v>259</v>
      </c>
    </row>
    <row r="2721" customFormat="false" ht="14.25" hidden="false" customHeight="false" outlineLevel="0" collapsed="false">
      <c r="A2721" s="16" t="s">
        <v>44</v>
      </c>
      <c r="B2721" s="16" t="s">
        <v>155</v>
      </c>
      <c r="C2721" s="16" t="s">
        <v>167</v>
      </c>
      <c r="D2721" s="38"/>
      <c r="E2721" s="39"/>
      <c r="F2721" s="22" t="n">
        <f aca="false">IFERROR(D2721*E2721,0)</f>
        <v>0</v>
      </c>
      <c r="G2721" s="16" t="str">
        <f aca="false">INDEX(SETORES!$B:$B,MATCH(A2721,SETORES!$A:$A,0))</f>
        <v>Funcionários</v>
      </c>
      <c r="H2721" s="16" t="s">
        <v>259</v>
      </c>
    </row>
    <row r="2722" customFormat="false" ht="14.25" hidden="false" customHeight="false" outlineLevel="0" collapsed="false">
      <c r="A2722" s="16" t="s">
        <v>44</v>
      </c>
      <c r="B2722" s="16" t="s">
        <v>155</v>
      </c>
      <c r="C2722" s="16" t="s">
        <v>168</v>
      </c>
      <c r="D2722" s="38" t="n">
        <v>8</v>
      </c>
      <c r="E2722" s="39" t="n">
        <v>1.87</v>
      </c>
      <c r="F2722" s="22" t="n">
        <f aca="false">IFERROR(D2722*E2722,0)</f>
        <v>14.96</v>
      </c>
      <c r="G2722" s="16" t="str">
        <f aca="false">INDEX(SETORES!$B:$B,MATCH(A2722,SETORES!$A:$A,0))</f>
        <v>Funcionários</v>
      </c>
      <c r="H2722" s="16" t="s">
        <v>259</v>
      </c>
    </row>
    <row r="2723" customFormat="false" ht="14.25" hidden="false" customHeight="false" outlineLevel="0" collapsed="false">
      <c r="A2723" s="16" t="s">
        <v>52</v>
      </c>
      <c r="B2723" s="16" t="s">
        <v>155</v>
      </c>
      <c r="C2723" s="16" t="s">
        <v>156</v>
      </c>
      <c r="D2723" s="38" t="n">
        <v>1</v>
      </c>
      <c r="E2723" s="39" t="n">
        <v>2.3</v>
      </c>
      <c r="F2723" s="22" t="n">
        <f aca="false">IFERROR(D2723*E2723,0)</f>
        <v>2.3</v>
      </c>
      <c r="G2723" s="16" t="str">
        <f aca="false">INDEX(SETORES!$B:$B,MATCH(A2723,SETORES!$A:$A,0))</f>
        <v>Clientes</v>
      </c>
      <c r="H2723" s="16" t="s">
        <v>259</v>
      </c>
    </row>
    <row r="2724" customFormat="false" ht="14.25" hidden="false" customHeight="false" outlineLevel="0" collapsed="false">
      <c r="A2724" s="16" t="s">
        <v>52</v>
      </c>
      <c r="B2724" s="16" t="s">
        <v>155</v>
      </c>
      <c r="C2724" s="16" t="s">
        <v>157</v>
      </c>
      <c r="D2724" s="38" t="n">
        <v>1</v>
      </c>
      <c r="E2724" s="39" t="n">
        <v>404.44</v>
      </c>
      <c r="F2724" s="22" t="n">
        <f aca="false">IFERROR(D2724*E2724,0)</f>
        <v>404.44</v>
      </c>
      <c r="G2724" s="16" t="str">
        <f aca="false">INDEX(SETORES!$B:$B,MATCH(A2724,SETORES!$A:$A,0))</f>
        <v>Clientes</v>
      </c>
      <c r="H2724" s="16" t="s">
        <v>259</v>
      </c>
    </row>
    <row r="2725" customFormat="false" ht="14.25" hidden="false" customHeight="false" outlineLevel="0" collapsed="false">
      <c r="A2725" s="16" t="s">
        <v>52</v>
      </c>
      <c r="B2725" s="16" t="s">
        <v>155</v>
      </c>
      <c r="C2725" s="16" t="s">
        <v>158</v>
      </c>
      <c r="D2725" s="38"/>
      <c r="E2725" s="39"/>
      <c r="F2725" s="22" t="n">
        <f aca="false">IFERROR(D2725*E2725,0)</f>
        <v>0</v>
      </c>
      <c r="G2725" s="16" t="str">
        <f aca="false">INDEX(SETORES!$B:$B,MATCH(A2725,SETORES!$A:$A,0))</f>
        <v>Clientes</v>
      </c>
      <c r="H2725" s="16" t="s">
        <v>259</v>
      </c>
    </row>
    <row r="2726" customFormat="false" ht="14.25" hidden="false" customHeight="false" outlineLevel="0" collapsed="false">
      <c r="A2726" s="16" t="s">
        <v>52</v>
      </c>
      <c r="B2726" s="16" t="s">
        <v>155</v>
      </c>
      <c r="C2726" s="16" t="s">
        <v>159</v>
      </c>
      <c r="D2726" s="38"/>
      <c r="E2726" s="39"/>
      <c r="F2726" s="22" t="n">
        <f aca="false">IFERROR(D2726*E2726,0)</f>
        <v>0</v>
      </c>
      <c r="G2726" s="16" t="str">
        <f aca="false">INDEX(SETORES!$B:$B,MATCH(A2726,SETORES!$A:$A,0))</f>
        <v>Clientes</v>
      </c>
      <c r="H2726" s="16" t="s">
        <v>259</v>
      </c>
    </row>
    <row r="2727" customFormat="false" ht="14.25" hidden="false" customHeight="false" outlineLevel="0" collapsed="false">
      <c r="A2727" s="16" t="s">
        <v>52</v>
      </c>
      <c r="B2727" s="16" t="s">
        <v>155</v>
      </c>
      <c r="C2727" s="16" t="s">
        <v>160</v>
      </c>
      <c r="D2727" s="38"/>
      <c r="E2727" s="39"/>
      <c r="F2727" s="22" t="n">
        <f aca="false">IFERROR(D2727*E2727,0)</f>
        <v>0</v>
      </c>
      <c r="G2727" s="16" t="str">
        <f aca="false">INDEX(SETORES!$B:$B,MATCH(A2727,SETORES!$A:$A,0))</f>
        <v>Clientes</v>
      </c>
      <c r="H2727" s="16" t="s">
        <v>259</v>
      </c>
    </row>
    <row r="2728" customFormat="false" ht="14.25" hidden="false" customHeight="false" outlineLevel="0" collapsed="false">
      <c r="A2728" s="16" t="s">
        <v>52</v>
      </c>
      <c r="B2728" s="16" t="s">
        <v>155</v>
      </c>
      <c r="C2728" s="16" t="s">
        <v>161</v>
      </c>
      <c r="D2728" s="38" t="n">
        <v>1</v>
      </c>
      <c r="E2728" s="39" t="n">
        <v>30736.23</v>
      </c>
      <c r="F2728" s="22" t="n">
        <f aca="false">IFERROR(D2728*E2728,0)</f>
        <v>30736.23</v>
      </c>
      <c r="G2728" s="16" t="str">
        <f aca="false">INDEX(SETORES!$B:$B,MATCH(A2728,SETORES!$A:$A,0))</f>
        <v>Clientes</v>
      </c>
      <c r="H2728" s="16" t="s">
        <v>259</v>
      </c>
    </row>
    <row r="2729" customFormat="false" ht="14.25" hidden="false" customHeight="false" outlineLevel="0" collapsed="false">
      <c r="A2729" s="16" t="s">
        <v>52</v>
      </c>
      <c r="B2729" s="16" t="s">
        <v>155</v>
      </c>
      <c r="C2729" s="16" t="s">
        <v>166</v>
      </c>
      <c r="D2729" s="38" t="n">
        <v>8</v>
      </c>
      <c r="E2729" s="39" t="n">
        <v>50</v>
      </c>
      <c r="F2729" s="22" t="n">
        <f aca="false">IFERROR(D2729*E2729,0)</f>
        <v>400</v>
      </c>
      <c r="G2729" s="16" t="str">
        <f aca="false">INDEX(SETORES!$B:$B,MATCH(A2729,SETORES!$A:$A,0))</f>
        <v>Clientes</v>
      </c>
      <c r="H2729" s="16" t="s">
        <v>259</v>
      </c>
    </row>
    <row r="2730" customFormat="false" ht="14.25" hidden="false" customHeight="false" outlineLevel="0" collapsed="false">
      <c r="A2730" s="16" t="s">
        <v>52</v>
      </c>
      <c r="B2730" s="16" t="s">
        <v>155</v>
      </c>
      <c r="C2730" s="16" t="s">
        <v>187</v>
      </c>
      <c r="D2730" s="38"/>
      <c r="E2730" s="39"/>
      <c r="F2730" s="22" t="n">
        <f aca="false">IFERROR(D2730*E2730,0)</f>
        <v>0</v>
      </c>
      <c r="G2730" s="16" t="str">
        <f aca="false">INDEX(SETORES!$B:$B,MATCH(A2730,SETORES!$A:$A,0))</f>
        <v>Clientes</v>
      </c>
      <c r="H2730" s="16" t="s">
        <v>259</v>
      </c>
    </row>
    <row r="2731" customFormat="false" ht="14.25" hidden="false" customHeight="false" outlineLevel="0" collapsed="false">
      <c r="A2731" s="16" t="s">
        <v>52</v>
      </c>
      <c r="B2731" s="16" t="s">
        <v>155</v>
      </c>
      <c r="C2731" s="16" t="s">
        <v>240</v>
      </c>
      <c r="D2731" s="38"/>
      <c r="E2731" s="39"/>
      <c r="F2731" s="22" t="n">
        <f aca="false">IFERROR(D2731*E2731,0)</f>
        <v>0</v>
      </c>
      <c r="G2731" s="16" t="str">
        <f aca="false">INDEX(SETORES!$B:$B,MATCH(A2731,SETORES!$A:$A,0))</f>
        <v>Clientes</v>
      </c>
      <c r="H2731" s="16" t="s">
        <v>259</v>
      </c>
    </row>
    <row r="2732" customFormat="false" ht="14.25" hidden="false" customHeight="false" outlineLevel="0" collapsed="false">
      <c r="A2732" s="16" t="s">
        <v>52</v>
      </c>
      <c r="B2732" s="16" t="s">
        <v>155</v>
      </c>
      <c r="C2732" s="16" t="s">
        <v>167</v>
      </c>
      <c r="D2732" s="38"/>
      <c r="E2732" s="39"/>
      <c r="F2732" s="22" t="n">
        <f aca="false">IFERROR(D2732*E2732,0)</f>
        <v>0</v>
      </c>
      <c r="G2732" s="16" t="str">
        <f aca="false">INDEX(SETORES!$B:$B,MATCH(A2732,SETORES!$A:$A,0))</f>
        <v>Clientes</v>
      </c>
      <c r="H2732" s="16" t="s">
        <v>259</v>
      </c>
    </row>
    <row r="2733" customFormat="false" ht="14.25" hidden="false" customHeight="false" outlineLevel="0" collapsed="false">
      <c r="A2733" s="16" t="s">
        <v>52</v>
      </c>
      <c r="B2733" s="16" t="s">
        <v>155</v>
      </c>
      <c r="C2733" s="16" t="s">
        <v>168</v>
      </c>
      <c r="D2733" s="38" t="n">
        <v>8</v>
      </c>
      <c r="E2733" s="39" t="n">
        <v>1.87</v>
      </c>
      <c r="F2733" s="22" t="n">
        <f aca="false">IFERROR(D2733*E2733,0)</f>
        <v>14.96</v>
      </c>
      <c r="G2733" s="16" t="str">
        <f aca="false">INDEX(SETORES!$B:$B,MATCH(A2733,SETORES!$A:$A,0))</f>
        <v>Clientes</v>
      </c>
      <c r="H2733" s="16" t="s">
        <v>259</v>
      </c>
    </row>
    <row r="2734" customFormat="false" ht="14.25" hidden="false" customHeight="false" outlineLevel="0" collapsed="false">
      <c r="A2734" s="16" t="s">
        <v>53</v>
      </c>
      <c r="B2734" s="16" t="s">
        <v>155</v>
      </c>
      <c r="C2734" s="16" t="s">
        <v>156</v>
      </c>
      <c r="D2734" s="38" t="n">
        <v>1</v>
      </c>
      <c r="E2734" s="39" t="n">
        <v>9.5</v>
      </c>
      <c r="F2734" s="22" t="n">
        <f aca="false">IFERROR(D2734*E2734,0)</f>
        <v>9.5</v>
      </c>
      <c r="G2734" s="16" t="str">
        <f aca="false">INDEX(SETORES!$B:$B,MATCH(A2734,SETORES!$A:$A,0))</f>
        <v>Clientes</v>
      </c>
      <c r="H2734" s="16" t="s">
        <v>259</v>
      </c>
    </row>
    <row r="2735" customFormat="false" ht="14.25" hidden="false" customHeight="false" outlineLevel="0" collapsed="false">
      <c r="A2735" s="16" t="s">
        <v>53</v>
      </c>
      <c r="B2735" s="16" t="s">
        <v>155</v>
      </c>
      <c r="C2735" s="16" t="s">
        <v>157</v>
      </c>
      <c r="D2735" s="38" t="n">
        <v>1</v>
      </c>
      <c r="E2735" s="39" t="n">
        <v>1668.3</v>
      </c>
      <c r="F2735" s="22" t="n">
        <f aca="false">IFERROR(D2735*E2735,0)</f>
        <v>1668.3</v>
      </c>
      <c r="G2735" s="16" t="str">
        <f aca="false">INDEX(SETORES!$B:$B,MATCH(A2735,SETORES!$A:$A,0))</f>
        <v>Clientes</v>
      </c>
      <c r="H2735" s="16" t="s">
        <v>259</v>
      </c>
    </row>
    <row r="2736" customFormat="false" ht="14.25" hidden="false" customHeight="false" outlineLevel="0" collapsed="false">
      <c r="A2736" s="16" t="s">
        <v>53</v>
      </c>
      <c r="B2736" s="16" t="s">
        <v>155</v>
      </c>
      <c r="C2736" s="16" t="s">
        <v>158</v>
      </c>
      <c r="D2736" s="38"/>
      <c r="E2736" s="39"/>
      <c r="F2736" s="22" t="n">
        <f aca="false">IFERROR(D2736*E2736,0)</f>
        <v>0</v>
      </c>
      <c r="G2736" s="16" t="str">
        <f aca="false">INDEX(SETORES!$B:$B,MATCH(A2736,SETORES!$A:$A,0))</f>
        <v>Clientes</v>
      </c>
      <c r="H2736" s="16" t="s">
        <v>259</v>
      </c>
    </row>
    <row r="2737" customFormat="false" ht="14.25" hidden="false" customHeight="false" outlineLevel="0" collapsed="false">
      <c r="A2737" s="16" t="s">
        <v>53</v>
      </c>
      <c r="B2737" s="16" t="s">
        <v>155</v>
      </c>
      <c r="C2737" s="16" t="s">
        <v>159</v>
      </c>
      <c r="D2737" s="38"/>
      <c r="E2737" s="39"/>
      <c r="F2737" s="22" t="n">
        <f aca="false">IFERROR(D2737*E2737,0)</f>
        <v>0</v>
      </c>
      <c r="G2737" s="16" t="str">
        <f aca="false">INDEX(SETORES!$B:$B,MATCH(A2737,SETORES!$A:$A,0))</f>
        <v>Clientes</v>
      </c>
      <c r="H2737" s="16" t="s">
        <v>259</v>
      </c>
    </row>
    <row r="2738" customFormat="false" ht="14.25" hidden="false" customHeight="false" outlineLevel="0" collapsed="false">
      <c r="A2738" s="16" t="s">
        <v>53</v>
      </c>
      <c r="B2738" s="16" t="s">
        <v>155</v>
      </c>
      <c r="C2738" s="16" t="s">
        <v>160</v>
      </c>
      <c r="D2738" s="38"/>
      <c r="E2738" s="39"/>
      <c r="F2738" s="22" t="n">
        <f aca="false">IFERROR(D2738*E2738,0)</f>
        <v>0</v>
      </c>
      <c r="G2738" s="16" t="str">
        <f aca="false">INDEX(SETORES!$B:$B,MATCH(A2738,SETORES!$A:$A,0))</f>
        <v>Clientes</v>
      </c>
      <c r="H2738" s="16" t="s">
        <v>259</v>
      </c>
    </row>
    <row r="2739" customFormat="false" ht="14.25" hidden="false" customHeight="false" outlineLevel="0" collapsed="false">
      <c r="A2739" s="16" t="s">
        <v>53</v>
      </c>
      <c r="B2739" s="16" t="s">
        <v>155</v>
      </c>
      <c r="C2739" s="16" t="s">
        <v>161</v>
      </c>
      <c r="D2739" s="38" t="n">
        <v>1</v>
      </c>
      <c r="E2739" s="39" t="n">
        <v>106886.23</v>
      </c>
      <c r="F2739" s="22" t="n">
        <f aca="false">IFERROR(D2739*E2739,0)</f>
        <v>106886.23</v>
      </c>
      <c r="G2739" s="16" t="str">
        <f aca="false">INDEX(SETORES!$B:$B,MATCH(A2739,SETORES!$A:$A,0))</f>
        <v>Clientes</v>
      </c>
      <c r="H2739" s="16" t="s">
        <v>259</v>
      </c>
    </row>
    <row r="2740" customFormat="false" ht="14.25" hidden="false" customHeight="false" outlineLevel="0" collapsed="false">
      <c r="A2740" s="16" t="s">
        <v>53</v>
      </c>
      <c r="B2740" s="16" t="s">
        <v>155</v>
      </c>
      <c r="C2740" s="16" t="s">
        <v>166</v>
      </c>
      <c r="D2740" s="38" t="n">
        <v>33</v>
      </c>
      <c r="E2740" s="39" t="n">
        <v>50</v>
      </c>
      <c r="F2740" s="22" t="n">
        <f aca="false">IFERROR(D2740*E2740,0)</f>
        <v>1650</v>
      </c>
      <c r="G2740" s="16" t="str">
        <f aca="false">INDEX(SETORES!$B:$B,MATCH(A2740,SETORES!$A:$A,0))</f>
        <v>Clientes</v>
      </c>
      <c r="H2740" s="16" t="s">
        <v>259</v>
      </c>
    </row>
    <row r="2741" customFormat="false" ht="14.25" hidden="false" customHeight="false" outlineLevel="0" collapsed="false">
      <c r="A2741" s="16" t="s">
        <v>53</v>
      </c>
      <c r="B2741" s="16" t="s">
        <v>155</v>
      </c>
      <c r="C2741" s="16" t="s">
        <v>187</v>
      </c>
      <c r="D2741" s="38"/>
      <c r="E2741" s="39"/>
      <c r="F2741" s="22" t="n">
        <f aca="false">IFERROR(D2741*E2741,0)</f>
        <v>0</v>
      </c>
      <c r="G2741" s="16" t="str">
        <f aca="false">INDEX(SETORES!$B:$B,MATCH(A2741,SETORES!$A:$A,0))</f>
        <v>Clientes</v>
      </c>
      <c r="H2741" s="16" t="s">
        <v>259</v>
      </c>
    </row>
    <row r="2742" customFormat="false" ht="14.25" hidden="false" customHeight="false" outlineLevel="0" collapsed="false">
      <c r="A2742" s="16" t="s">
        <v>53</v>
      </c>
      <c r="B2742" s="16" t="s">
        <v>155</v>
      </c>
      <c r="C2742" s="16" t="s">
        <v>240</v>
      </c>
      <c r="D2742" s="38"/>
      <c r="E2742" s="39"/>
      <c r="F2742" s="22" t="n">
        <f aca="false">IFERROR(D2742*E2742,0)</f>
        <v>0</v>
      </c>
      <c r="G2742" s="16" t="str">
        <f aca="false">INDEX(SETORES!$B:$B,MATCH(A2742,SETORES!$A:$A,0))</f>
        <v>Clientes</v>
      </c>
      <c r="H2742" s="16" t="s">
        <v>259</v>
      </c>
    </row>
    <row r="2743" customFormat="false" ht="14.25" hidden="false" customHeight="false" outlineLevel="0" collapsed="false">
      <c r="A2743" s="16" t="s">
        <v>53</v>
      </c>
      <c r="B2743" s="16" t="s">
        <v>155</v>
      </c>
      <c r="C2743" s="16" t="s">
        <v>167</v>
      </c>
      <c r="D2743" s="38"/>
      <c r="E2743" s="39"/>
      <c r="F2743" s="22" t="n">
        <f aca="false">IFERROR(D2743*E2743,0)</f>
        <v>0</v>
      </c>
      <c r="G2743" s="16" t="str">
        <f aca="false">INDEX(SETORES!$B:$B,MATCH(A2743,SETORES!$A:$A,0))</f>
        <v>Clientes</v>
      </c>
      <c r="H2743" s="16" t="s">
        <v>259</v>
      </c>
    </row>
    <row r="2744" customFormat="false" ht="14.25" hidden="false" customHeight="false" outlineLevel="0" collapsed="false">
      <c r="A2744" s="16" t="s">
        <v>53</v>
      </c>
      <c r="B2744" s="16" t="s">
        <v>155</v>
      </c>
      <c r="C2744" s="16" t="s">
        <v>168</v>
      </c>
      <c r="D2744" s="38" t="n">
        <v>33</v>
      </c>
      <c r="E2744" s="39" t="n">
        <v>1.87</v>
      </c>
      <c r="F2744" s="22" t="n">
        <f aca="false">IFERROR(D2744*E2744,0)</f>
        <v>61.71</v>
      </c>
      <c r="G2744" s="16" t="str">
        <f aca="false">INDEX(SETORES!$B:$B,MATCH(A2744,SETORES!$A:$A,0))</f>
        <v>Clientes</v>
      </c>
      <c r="H2744" s="16" t="s">
        <v>259</v>
      </c>
    </row>
    <row r="2745" customFormat="false" ht="14.25" hidden="false" customHeight="false" outlineLevel="0" collapsed="false">
      <c r="A2745" s="16" t="s">
        <v>51</v>
      </c>
      <c r="B2745" s="16" t="s">
        <v>155</v>
      </c>
      <c r="C2745" s="16" t="s">
        <v>156</v>
      </c>
      <c r="D2745" s="38" t="n">
        <v>1</v>
      </c>
      <c r="E2745" s="39" t="n">
        <v>3.17</v>
      </c>
      <c r="F2745" s="22" t="n">
        <f aca="false">IFERROR(D2745*E2745,0)</f>
        <v>3.17</v>
      </c>
      <c r="G2745" s="16" t="str">
        <f aca="false">INDEX(SETORES!$B:$B,MATCH(A2745,SETORES!$A:$A,0))</f>
        <v>Clientes</v>
      </c>
      <c r="H2745" s="16" t="s">
        <v>259</v>
      </c>
    </row>
    <row r="2746" customFormat="false" ht="14.25" hidden="false" customHeight="false" outlineLevel="0" collapsed="false">
      <c r="A2746" s="16" t="s">
        <v>51</v>
      </c>
      <c r="B2746" s="16" t="s">
        <v>155</v>
      </c>
      <c r="C2746" s="16" t="s">
        <v>157</v>
      </c>
      <c r="D2746" s="38" t="n">
        <v>1</v>
      </c>
      <c r="E2746" s="39" t="n">
        <v>556.1</v>
      </c>
      <c r="F2746" s="22" t="n">
        <f aca="false">IFERROR(D2746*E2746,0)</f>
        <v>556.1</v>
      </c>
      <c r="G2746" s="16" t="str">
        <f aca="false">INDEX(SETORES!$B:$B,MATCH(A2746,SETORES!$A:$A,0))</f>
        <v>Clientes</v>
      </c>
      <c r="H2746" s="16" t="s">
        <v>259</v>
      </c>
    </row>
    <row r="2747" customFormat="false" ht="14.25" hidden="false" customHeight="false" outlineLevel="0" collapsed="false">
      <c r="A2747" s="16" t="s">
        <v>51</v>
      </c>
      <c r="B2747" s="16" t="s">
        <v>155</v>
      </c>
      <c r="C2747" s="16" t="s">
        <v>158</v>
      </c>
      <c r="D2747" s="38"/>
      <c r="E2747" s="39"/>
      <c r="F2747" s="22" t="n">
        <f aca="false">IFERROR(D2747*E2747,0)</f>
        <v>0</v>
      </c>
      <c r="G2747" s="16" t="str">
        <f aca="false">INDEX(SETORES!$B:$B,MATCH(A2747,SETORES!$A:$A,0))</f>
        <v>Clientes</v>
      </c>
      <c r="H2747" s="16" t="s">
        <v>259</v>
      </c>
    </row>
    <row r="2748" customFormat="false" ht="14.25" hidden="false" customHeight="false" outlineLevel="0" collapsed="false">
      <c r="A2748" s="16" t="s">
        <v>51</v>
      </c>
      <c r="B2748" s="16" t="s">
        <v>155</v>
      </c>
      <c r="C2748" s="16" t="s">
        <v>159</v>
      </c>
      <c r="D2748" s="38"/>
      <c r="E2748" s="39"/>
      <c r="F2748" s="22" t="n">
        <f aca="false">IFERROR(D2748*E2748,0)</f>
        <v>0</v>
      </c>
      <c r="G2748" s="16" t="str">
        <f aca="false">INDEX(SETORES!$B:$B,MATCH(A2748,SETORES!$A:$A,0))</f>
        <v>Clientes</v>
      </c>
      <c r="H2748" s="16" t="s">
        <v>259</v>
      </c>
    </row>
    <row r="2749" customFormat="false" ht="14.25" hidden="false" customHeight="false" outlineLevel="0" collapsed="false">
      <c r="A2749" s="16" t="s">
        <v>51</v>
      </c>
      <c r="B2749" s="16" t="s">
        <v>155</v>
      </c>
      <c r="C2749" s="16" t="s">
        <v>160</v>
      </c>
      <c r="D2749" s="38"/>
      <c r="E2749" s="39"/>
      <c r="F2749" s="22" t="n">
        <f aca="false">IFERROR(D2749*E2749,0)</f>
        <v>0</v>
      </c>
      <c r="G2749" s="16" t="str">
        <f aca="false">INDEX(SETORES!$B:$B,MATCH(A2749,SETORES!$A:$A,0))</f>
        <v>Clientes</v>
      </c>
      <c r="H2749" s="16" t="s">
        <v>259</v>
      </c>
    </row>
    <row r="2750" customFormat="false" ht="14.25" hidden="false" customHeight="false" outlineLevel="0" collapsed="false">
      <c r="A2750" s="16" t="s">
        <v>51</v>
      </c>
      <c r="B2750" s="16" t="s">
        <v>155</v>
      </c>
      <c r="C2750" s="16" t="s">
        <v>161</v>
      </c>
      <c r="D2750" s="38" t="n">
        <v>1</v>
      </c>
      <c r="E2750" s="39" t="n">
        <v>128483.01</v>
      </c>
      <c r="F2750" s="22" t="n">
        <f aca="false">IFERROR(D2750*E2750,0)</f>
        <v>128483.01</v>
      </c>
      <c r="G2750" s="16" t="str">
        <f aca="false">INDEX(SETORES!$B:$B,MATCH(A2750,SETORES!$A:$A,0))</f>
        <v>Clientes</v>
      </c>
      <c r="H2750" s="16" t="s">
        <v>259</v>
      </c>
    </row>
    <row r="2751" customFormat="false" ht="14.25" hidden="false" customHeight="false" outlineLevel="0" collapsed="false">
      <c r="A2751" s="16" t="s">
        <v>51</v>
      </c>
      <c r="B2751" s="16" t="s">
        <v>155</v>
      </c>
      <c r="C2751" s="16" t="s">
        <v>166</v>
      </c>
      <c r="D2751" s="38" t="n">
        <v>11</v>
      </c>
      <c r="E2751" s="39" t="n">
        <v>50</v>
      </c>
      <c r="F2751" s="22" t="n">
        <f aca="false">IFERROR(D2751*E2751,0)</f>
        <v>550</v>
      </c>
      <c r="G2751" s="16" t="str">
        <f aca="false">INDEX(SETORES!$B:$B,MATCH(A2751,SETORES!$A:$A,0))</f>
        <v>Clientes</v>
      </c>
      <c r="H2751" s="16" t="s">
        <v>259</v>
      </c>
    </row>
    <row r="2752" customFormat="false" ht="14.25" hidden="false" customHeight="false" outlineLevel="0" collapsed="false">
      <c r="A2752" s="16" t="s">
        <v>51</v>
      </c>
      <c r="B2752" s="16" t="s">
        <v>155</v>
      </c>
      <c r="C2752" s="16" t="s">
        <v>167</v>
      </c>
      <c r="D2752" s="38"/>
      <c r="E2752" s="39"/>
      <c r="F2752" s="22" t="n">
        <f aca="false">IFERROR(D2752*E2752,0)</f>
        <v>0</v>
      </c>
      <c r="G2752" s="16" t="str">
        <f aca="false">INDEX(SETORES!$B:$B,MATCH(A2752,SETORES!$A:$A,0))</f>
        <v>Clientes</v>
      </c>
      <c r="H2752" s="16" t="s">
        <v>259</v>
      </c>
    </row>
    <row r="2753" customFormat="false" ht="14.25" hidden="false" customHeight="false" outlineLevel="0" collapsed="false">
      <c r="A2753" s="16" t="s">
        <v>51</v>
      </c>
      <c r="B2753" s="16" t="s">
        <v>155</v>
      </c>
      <c r="C2753" s="16" t="s">
        <v>168</v>
      </c>
      <c r="D2753" s="38" t="n">
        <v>11</v>
      </c>
      <c r="E2753" s="39" t="n">
        <v>1.87</v>
      </c>
      <c r="F2753" s="22" t="n">
        <f aca="false">IFERROR(D2753*E2753,0)</f>
        <v>20.57</v>
      </c>
      <c r="G2753" s="16" t="str">
        <f aca="false">INDEX(SETORES!$B:$B,MATCH(A2753,SETORES!$A:$A,0))</f>
        <v>Clientes</v>
      </c>
      <c r="H2753" s="16" t="s">
        <v>259</v>
      </c>
    </row>
    <row r="2754" customFormat="false" ht="14.25" hidden="false" customHeight="false" outlineLevel="0" collapsed="false">
      <c r="A2754" s="16" t="s">
        <v>55</v>
      </c>
      <c r="B2754" s="16" t="s">
        <v>155</v>
      </c>
      <c r="C2754" s="16" t="s">
        <v>236</v>
      </c>
      <c r="D2754" s="38" t="n">
        <v>1</v>
      </c>
      <c r="E2754" s="39" t="n">
        <v>21454</v>
      </c>
      <c r="F2754" s="22" t="n">
        <f aca="false">IFERROR(D2754*E2754,0)</f>
        <v>21454</v>
      </c>
      <c r="G2754" s="16" t="str">
        <f aca="false">INDEX(SETORES!$B:$B,MATCH(A2754,SETORES!$A:$A,0))</f>
        <v>Funcionários</v>
      </c>
      <c r="H2754" s="16" t="s">
        <v>259</v>
      </c>
    </row>
    <row r="2755" customFormat="false" ht="14.25" hidden="false" customHeight="false" outlineLevel="0" collapsed="false">
      <c r="A2755" s="16" t="s">
        <v>34</v>
      </c>
      <c r="B2755" s="16" t="s">
        <v>155</v>
      </c>
      <c r="C2755" s="16" t="s">
        <v>170</v>
      </c>
      <c r="D2755" s="38"/>
      <c r="E2755" s="39"/>
      <c r="F2755" s="22" t="n">
        <f aca="false">IFERROR(D2755*E2755,0)</f>
        <v>0</v>
      </c>
      <c r="G2755" s="16" t="str">
        <f aca="false">INDEX(SETORES!$B:$B,MATCH(A2755,SETORES!$A:$A,0))</f>
        <v>Clientes</v>
      </c>
      <c r="H2755" s="16" t="s">
        <v>259</v>
      </c>
    </row>
    <row r="2756" customFormat="false" ht="14.25" hidden="false" customHeight="false" outlineLevel="0" collapsed="false">
      <c r="A2756" s="16" t="s">
        <v>34</v>
      </c>
      <c r="B2756" s="16" t="s">
        <v>155</v>
      </c>
      <c r="C2756" s="16" t="s">
        <v>171</v>
      </c>
      <c r="D2756" s="38"/>
      <c r="E2756" s="39"/>
      <c r="F2756" s="22" t="n">
        <f aca="false">IFERROR(D2756*E2756,0)</f>
        <v>0</v>
      </c>
      <c r="G2756" s="16" t="str">
        <f aca="false">INDEX(SETORES!$B:$B,MATCH(A2756,SETORES!$A:$A,0))</f>
        <v>Clientes</v>
      </c>
      <c r="H2756" s="16" t="s">
        <v>259</v>
      </c>
    </row>
    <row r="2757" customFormat="false" ht="14.25" hidden="false" customHeight="false" outlineLevel="0" collapsed="false">
      <c r="A2757" s="16" t="s">
        <v>34</v>
      </c>
      <c r="B2757" s="16" t="s">
        <v>155</v>
      </c>
      <c r="C2757" s="16" t="s">
        <v>169</v>
      </c>
      <c r="D2757" s="38"/>
      <c r="E2757" s="39"/>
      <c r="F2757" s="22" t="n">
        <f aca="false">IFERROR(D2757*E2757,0)</f>
        <v>0</v>
      </c>
      <c r="G2757" s="16" t="str">
        <f aca="false">INDEX(SETORES!$B:$B,MATCH(A2757,SETORES!$A:$A,0))</f>
        <v>Clientes</v>
      </c>
      <c r="H2757" s="16" t="s">
        <v>259</v>
      </c>
    </row>
    <row r="2758" customFormat="false" ht="14.25" hidden="false" customHeight="false" outlineLevel="0" collapsed="false">
      <c r="A2758" s="16" t="s">
        <v>35</v>
      </c>
      <c r="B2758" s="16" t="s">
        <v>155</v>
      </c>
      <c r="C2758" s="16" t="s">
        <v>170</v>
      </c>
      <c r="D2758" s="38"/>
      <c r="E2758" s="39"/>
      <c r="F2758" s="22" t="n">
        <f aca="false">IFERROR(D2758*E2758,0)</f>
        <v>0</v>
      </c>
      <c r="G2758" s="16" t="str">
        <f aca="false">INDEX(SETORES!$B:$B,MATCH(A2758,SETORES!$A:$A,0))</f>
        <v>Clientes</v>
      </c>
      <c r="H2758" s="16" t="s">
        <v>259</v>
      </c>
    </row>
    <row r="2759" customFormat="false" ht="14.25" hidden="false" customHeight="false" outlineLevel="0" collapsed="false">
      <c r="A2759" s="16" t="s">
        <v>35</v>
      </c>
      <c r="B2759" s="16" t="s">
        <v>155</v>
      </c>
      <c r="C2759" s="16" t="s">
        <v>171</v>
      </c>
      <c r="D2759" s="38"/>
      <c r="E2759" s="39"/>
      <c r="F2759" s="22" t="n">
        <f aca="false">IFERROR(D2759*E2759,0)</f>
        <v>0</v>
      </c>
      <c r="G2759" s="16" t="str">
        <f aca="false">INDEX(SETORES!$B:$B,MATCH(A2759,SETORES!$A:$A,0))</f>
        <v>Clientes</v>
      </c>
      <c r="H2759" s="16" t="s">
        <v>259</v>
      </c>
    </row>
    <row r="2760" customFormat="false" ht="14.25" hidden="false" customHeight="false" outlineLevel="0" collapsed="false">
      <c r="A2760" s="16" t="s">
        <v>35</v>
      </c>
      <c r="B2760" s="16" t="s">
        <v>155</v>
      </c>
      <c r="C2760" s="16" t="s">
        <v>169</v>
      </c>
      <c r="D2760" s="38"/>
      <c r="E2760" s="39"/>
      <c r="F2760" s="22" t="n">
        <f aca="false">IFERROR(D2760*E2760,0)</f>
        <v>0</v>
      </c>
      <c r="G2760" s="16" t="str">
        <f aca="false">INDEX(SETORES!$B:$B,MATCH(A2760,SETORES!$A:$A,0))</f>
        <v>Clientes</v>
      </c>
      <c r="H2760" s="16" t="s">
        <v>259</v>
      </c>
    </row>
    <row r="2761" customFormat="false" ht="14.25" hidden="false" customHeight="false" outlineLevel="0" collapsed="false">
      <c r="A2761" s="16" t="s">
        <v>38</v>
      </c>
      <c r="B2761" s="16" t="s">
        <v>155</v>
      </c>
      <c r="C2761" s="16" t="s">
        <v>170</v>
      </c>
      <c r="D2761" s="38"/>
      <c r="E2761" s="39"/>
      <c r="F2761" s="22" t="n">
        <f aca="false">IFERROR(D2761*E2761,0)</f>
        <v>0</v>
      </c>
      <c r="G2761" s="16" t="str">
        <f aca="false">INDEX(SETORES!$B:$B,MATCH(A2761,SETORES!$A:$A,0))</f>
        <v>Clientes</v>
      </c>
      <c r="H2761" s="16" t="s">
        <v>259</v>
      </c>
    </row>
    <row r="2762" customFormat="false" ht="14.25" hidden="false" customHeight="false" outlineLevel="0" collapsed="false">
      <c r="A2762" s="16" t="s">
        <v>38</v>
      </c>
      <c r="B2762" s="16" t="s">
        <v>155</v>
      </c>
      <c r="C2762" s="16" t="s">
        <v>171</v>
      </c>
      <c r="D2762" s="38"/>
      <c r="E2762" s="39"/>
      <c r="F2762" s="22" t="n">
        <f aca="false">IFERROR(D2762*E2762,0)</f>
        <v>0</v>
      </c>
      <c r="G2762" s="16" t="str">
        <f aca="false">INDEX(SETORES!$B:$B,MATCH(A2762,SETORES!$A:$A,0))</f>
        <v>Clientes</v>
      </c>
      <c r="H2762" s="16" t="s">
        <v>259</v>
      </c>
    </row>
    <row r="2763" customFormat="false" ht="14.25" hidden="false" customHeight="false" outlineLevel="0" collapsed="false">
      <c r="A2763" s="16" t="s">
        <v>38</v>
      </c>
      <c r="B2763" s="16" t="s">
        <v>155</v>
      </c>
      <c r="C2763" s="16" t="s">
        <v>169</v>
      </c>
      <c r="D2763" s="38"/>
      <c r="E2763" s="39"/>
      <c r="F2763" s="22" t="n">
        <f aca="false">IFERROR(D2763*E2763,0)</f>
        <v>0</v>
      </c>
      <c r="G2763" s="16" t="str">
        <f aca="false">INDEX(SETORES!$B:$B,MATCH(A2763,SETORES!$A:$A,0))</f>
        <v>Clientes</v>
      </c>
      <c r="H2763" s="16" t="s">
        <v>259</v>
      </c>
    </row>
    <row r="2764" customFormat="false" ht="14.25" hidden="false" customHeight="false" outlineLevel="0" collapsed="false">
      <c r="A2764" s="16" t="s">
        <v>43</v>
      </c>
      <c r="B2764" s="16" t="s">
        <v>155</v>
      </c>
      <c r="C2764" s="16" t="s">
        <v>170</v>
      </c>
      <c r="D2764" s="38"/>
      <c r="E2764" s="39"/>
      <c r="F2764" s="22" t="n">
        <f aca="false">IFERROR(D2764*E2764,0)</f>
        <v>0</v>
      </c>
      <c r="G2764" s="16" t="str">
        <f aca="false">INDEX(SETORES!$B:$B,MATCH(A2764,SETORES!$A:$A,0))</f>
        <v>Clientes</v>
      </c>
      <c r="H2764" s="16" t="s">
        <v>259</v>
      </c>
    </row>
    <row r="2765" customFormat="false" ht="14.25" hidden="false" customHeight="false" outlineLevel="0" collapsed="false">
      <c r="A2765" s="16" t="s">
        <v>43</v>
      </c>
      <c r="B2765" s="16" t="s">
        <v>155</v>
      </c>
      <c r="C2765" s="16" t="s">
        <v>171</v>
      </c>
      <c r="D2765" s="38"/>
      <c r="E2765" s="39"/>
      <c r="F2765" s="22" t="n">
        <f aca="false">IFERROR(D2765*E2765,0)</f>
        <v>0</v>
      </c>
      <c r="G2765" s="16" t="str">
        <f aca="false">INDEX(SETORES!$B:$B,MATCH(A2765,SETORES!$A:$A,0))</f>
        <v>Clientes</v>
      </c>
      <c r="H2765" s="16" t="s">
        <v>259</v>
      </c>
    </row>
    <row r="2766" customFormat="false" ht="14.25" hidden="false" customHeight="false" outlineLevel="0" collapsed="false">
      <c r="A2766" s="16" t="s">
        <v>43</v>
      </c>
      <c r="B2766" s="16" t="s">
        <v>155</v>
      </c>
      <c r="C2766" s="16" t="s">
        <v>169</v>
      </c>
      <c r="D2766" s="38"/>
      <c r="E2766" s="39"/>
      <c r="F2766" s="22" t="n">
        <f aca="false">IFERROR(D2766*E2766,0)</f>
        <v>0</v>
      </c>
      <c r="G2766" s="16" t="str">
        <f aca="false">INDEX(SETORES!$B:$B,MATCH(A2766,SETORES!$A:$A,0))</f>
        <v>Clientes</v>
      </c>
      <c r="H2766" s="16" t="s">
        <v>259</v>
      </c>
    </row>
    <row r="2767" customFormat="false" ht="14.25" hidden="false" customHeight="false" outlineLevel="0" collapsed="false">
      <c r="A2767" s="16" t="s">
        <v>40</v>
      </c>
      <c r="B2767" s="16" t="s">
        <v>155</v>
      </c>
      <c r="C2767" s="16" t="s">
        <v>170</v>
      </c>
      <c r="D2767" s="38"/>
      <c r="E2767" s="39"/>
      <c r="F2767" s="22" t="n">
        <f aca="false">IFERROR(D2767*E2767,0)</f>
        <v>0</v>
      </c>
      <c r="G2767" s="16" t="str">
        <f aca="false">INDEX(SETORES!$B:$B,MATCH(A2767,SETORES!$A:$A,0))</f>
        <v>Clientes</v>
      </c>
      <c r="H2767" s="16" t="s">
        <v>259</v>
      </c>
    </row>
    <row r="2768" customFormat="false" ht="14.25" hidden="false" customHeight="false" outlineLevel="0" collapsed="false">
      <c r="A2768" s="16" t="s">
        <v>40</v>
      </c>
      <c r="B2768" s="16" t="s">
        <v>155</v>
      </c>
      <c r="C2768" s="16" t="s">
        <v>171</v>
      </c>
      <c r="D2768" s="38"/>
      <c r="E2768" s="39"/>
      <c r="F2768" s="22" t="n">
        <f aca="false">IFERROR(D2768*E2768,0)</f>
        <v>0</v>
      </c>
      <c r="G2768" s="16" t="str">
        <f aca="false">INDEX(SETORES!$B:$B,MATCH(A2768,SETORES!$A:$A,0))</f>
        <v>Clientes</v>
      </c>
      <c r="H2768" s="16" t="s">
        <v>259</v>
      </c>
    </row>
    <row r="2769" customFormat="false" ht="14.25" hidden="false" customHeight="false" outlineLevel="0" collapsed="false">
      <c r="A2769" s="16" t="s">
        <v>40</v>
      </c>
      <c r="B2769" s="16" t="s">
        <v>155</v>
      </c>
      <c r="C2769" s="16" t="s">
        <v>169</v>
      </c>
      <c r="D2769" s="38"/>
      <c r="E2769" s="39"/>
      <c r="F2769" s="22" t="n">
        <f aca="false">IFERROR(D2769*E2769,0)</f>
        <v>0</v>
      </c>
      <c r="G2769" s="16" t="str">
        <f aca="false">INDEX(SETORES!$B:$B,MATCH(A2769,SETORES!$A:$A,0))</f>
        <v>Clientes</v>
      </c>
      <c r="H2769" s="16" t="s">
        <v>259</v>
      </c>
    </row>
    <row r="2770" customFormat="false" ht="14.25" hidden="false" customHeight="false" outlineLevel="0" collapsed="false">
      <c r="A2770" s="16" t="s">
        <v>41</v>
      </c>
      <c r="B2770" s="16" t="s">
        <v>155</v>
      </c>
      <c r="C2770" s="16" t="s">
        <v>170</v>
      </c>
      <c r="D2770" s="38"/>
      <c r="E2770" s="39"/>
      <c r="F2770" s="22" t="n">
        <f aca="false">IFERROR(D2770*E2770,0)</f>
        <v>0</v>
      </c>
      <c r="G2770" s="16" t="str">
        <f aca="false">INDEX(SETORES!$B:$B,MATCH(A2770,SETORES!$A:$A,0))</f>
        <v>Clientes</v>
      </c>
      <c r="H2770" s="16" t="s">
        <v>259</v>
      </c>
    </row>
    <row r="2771" customFormat="false" ht="14.25" hidden="false" customHeight="false" outlineLevel="0" collapsed="false">
      <c r="A2771" s="16" t="s">
        <v>41</v>
      </c>
      <c r="B2771" s="16" t="s">
        <v>155</v>
      </c>
      <c r="C2771" s="16" t="s">
        <v>171</v>
      </c>
      <c r="D2771" s="38"/>
      <c r="E2771" s="39"/>
      <c r="F2771" s="22" t="n">
        <f aca="false">IFERROR(D2771*E2771,0)</f>
        <v>0</v>
      </c>
      <c r="G2771" s="16" t="str">
        <f aca="false">INDEX(SETORES!$B:$B,MATCH(A2771,SETORES!$A:$A,0))</f>
        <v>Clientes</v>
      </c>
      <c r="H2771" s="16" t="s">
        <v>259</v>
      </c>
    </row>
    <row r="2772" customFormat="false" ht="14.25" hidden="false" customHeight="false" outlineLevel="0" collapsed="false">
      <c r="A2772" s="16" t="s">
        <v>41</v>
      </c>
      <c r="B2772" s="16" t="s">
        <v>155</v>
      </c>
      <c r="C2772" s="16" t="s">
        <v>169</v>
      </c>
      <c r="D2772" s="38"/>
      <c r="E2772" s="39"/>
      <c r="F2772" s="22" t="n">
        <f aca="false">IFERROR(D2772*E2772,0)</f>
        <v>0</v>
      </c>
      <c r="G2772" s="16" t="str">
        <f aca="false">INDEX(SETORES!$B:$B,MATCH(A2772,SETORES!$A:$A,0))</f>
        <v>Clientes</v>
      </c>
      <c r="H2772" s="16" t="s">
        <v>259</v>
      </c>
    </row>
    <row r="2773" customFormat="false" ht="14.25" hidden="false" customHeight="false" outlineLevel="0" collapsed="false">
      <c r="A2773" s="16" t="s">
        <v>33</v>
      </c>
      <c r="B2773" s="16" t="s">
        <v>155</v>
      </c>
      <c r="C2773" s="16" t="s">
        <v>170</v>
      </c>
      <c r="D2773" s="38"/>
      <c r="E2773" s="39"/>
      <c r="F2773" s="22" t="n">
        <f aca="false">IFERROR(D2773*E2773,0)</f>
        <v>0</v>
      </c>
      <c r="G2773" s="16" t="str">
        <f aca="false">INDEX(SETORES!$B:$B,MATCH(A2773,SETORES!$A:$A,0))</f>
        <v>Funcionários</v>
      </c>
      <c r="H2773" s="16" t="s">
        <v>259</v>
      </c>
    </row>
    <row r="2774" customFormat="false" ht="14.25" hidden="false" customHeight="false" outlineLevel="0" collapsed="false">
      <c r="A2774" s="16" t="s">
        <v>33</v>
      </c>
      <c r="B2774" s="16" t="s">
        <v>155</v>
      </c>
      <c r="C2774" s="16" t="s">
        <v>171</v>
      </c>
      <c r="D2774" s="38"/>
      <c r="E2774" s="39"/>
      <c r="F2774" s="22" t="n">
        <f aca="false">IFERROR(D2774*E2774,0)</f>
        <v>0</v>
      </c>
      <c r="G2774" s="16" t="str">
        <f aca="false">INDEX(SETORES!$B:$B,MATCH(A2774,SETORES!$A:$A,0))</f>
        <v>Funcionários</v>
      </c>
      <c r="H2774" s="16" t="s">
        <v>259</v>
      </c>
    </row>
    <row r="2775" customFormat="false" ht="14.25" hidden="false" customHeight="false" outlineLevel="0" collapsed="false">
      <c r="A2775" s="16" t="s">
        <v>33</v>
      </c>
      <c r="B2775" s="16" t="s">
        <v>155</v>
      </c>
      <c r="C2775" s="16" t="s">
        <v>169</v>
      </c>
      <c r="D2775" s="38"/>
      <c r="E2775" s="39"/>
      <c r="F2775" s="22" t="n">
        <f aca="false">IFERROR(D2775*E2775,0)</f>
        <v>0</v>
      </c>
      <c r="G2775" s="16" t="str">
        <f aca="false">INDEX(SETORES!$B:$B,MATCH(A2775,SETORES!$A:$A,0))</f>
        <v>Funcionários</v>
      </c>
      <c r="H2775" s="16" t="s">
        <v>259</v>
      </c>
    </row>
    <row r="2776" customFormat="false" ht="14.25" hidden="false" customHeight="false" outlineLevel="0" collapsed="false">
      <c r="A2776" s="16" t="s">
        <v>42</v>
      </c>
      <c r="B2776" s="16" t="s">
        <v>155</v>
      </c>
      <c r="C2776" s="16" t="s">
        <v>170</v>
      </c>
      <c r="D2776" s="38"/>
      <c r="E2776" s="39"/>
      <c r="F2776" s="22" t="n">
        <f aca="false">IFERROR(D2776*E2776,0)</f>
        <v>0</v>
      </c>
      <c r="G2776" s="16" t="str">
        <f aca="false">INDEX(SETORES!$B:$B,MATCH(A2776,SETORES!$A:$A,0))</f>
        <v>Clientes</v>
      </c>
      <c r="H2776" s="16" t="s">
        <v>259</v>
      </c>
    </row>
    <row r="2777" customFormat="false" ht="14.25" hidden="false" customHeight="false" outlineLevel="0" collapsed="false">
      <c r="A2777" s="16" t="s">
        <v>42</v>
      </c>
      <c r="B2777" s="16" t="s">
        <v>155</v>
      </c>
      <c r="C2777" s="16" t="s">
        <v>171</v>
      </c>
      <c r="D2777" s="38"/>
      <c r="E2777" s="39"/>
      <c r="F2777" s="22" t="n">
        <f aca="false">IFERROR(D2777*E2777,0)</f>
        <v>0</v>
      </c>
      <c r="G2777" s="16" t="str">
        <f aca="false">INDEX(SETORES!$B:$B,MATCH(A2777,SETORES!$A:$A,0))</f>
        <v>Clientes</v>
      </c>
      <c r="H2777" s="16" t="s">
        <v>259</v>
      </c>
    </row>
    <row r="2778" customFormat="false" ht="14.25" hidden="false" customHeight="false" outlineLevel="0" collapsed="false">
      <c r="A2778" s="16" t="s">
        <v>42</v>
      </c>
      <c r="B2778" s="16" t="s">
        <v>155</v>
      </c>
      <c r="C2778" s="16" t="s">
        <v>169</v>
      </c>
      <c r="D2778" s="38"/>
      <c r="E2778" s="39"/>
      <c r="F2778" s="22" t="n">
        <f aca="false">IFERROR(D2778*E2778,0)</f>
        <v>0</v>
      </c>
      <c r="G2778" s="16" t="str">
        <f aca="false">INDEX(SETORES!$B:$B,MATCH(A2778,SETORES!$A:$A,0))</f>
        <v>Clientes</v>
      </c>
      <c r="H2778" s="16" t="s">
        <v>259</v>
      </c>
    </row>
    <row r="2779" customFormat="false" ht="14.25" hidden="false" customHeight="false" outlineLevel="0" collapsed="false">
      <c r="A2779" s="16" t="s">
        <v>45</v>
      </c>
      <c r="B2779" s="16" t="s">
        <v>155</v>
      </c>
      <c r="C2779" s="16" t="s">
        <v>170</v>
      </c>
      <c r="D2779" s="38"/>
      <c r="E2779" s="39"/>
      <c r="F2779" s="22" t="n">
        <f aca="false">IFERROR(D2779*E2779,0)</f>
        <v>0</v>
      </c>
      <c r="G2779" s="16" t="str">
        <f aca="false">INDEX(SETORES!$B:$B,MATCH(A2779,SETORES!$A:$A,0))</f>
        <v>Clientes</v>
      </c>
      <c r="H2779" s="16" t="s">
        <v>259</v>
      </c>
    </row>
    <row r="2780" customFormat="false" ht="14.25" hidden="false" customHeight="false" outlineLevel="0" collapsed="false">
      <c r="A2780" s="16" t="s">
        <v>45</v>
      </c>
      <c r="B2780" s="16" t="s">
        <v>155</v>
      </c>
      <c r="C2780" s="16" t="s">
        <v>171</v>
      </c>
      <c r="D2780" s="38"/>
      <c r="E2780" s="39"/>
      <c r="F2780" s="22" t="n">
        <f aca="false">IFERROR(D2780*E2780,0)</f>
        <v>0</v>
      </c>
      <c r="G2780" s="16" t="str">
        <f aca="false">INDEX(SETORES!$B:$B,MATCH(A2780,SETORES!$A:$A,0))</f>
        <v>Clientes</v>
      </c>
      <c r="H2780" s="16" t="s">
        <v>259</v>
      </c>
    </row>
    <row r="2781" customFormat="false" ht="14.25" hidden="false" customHeight="false" outlineLevel="0" collapsed="false">
      <c r="A2781" s="16" t="s">
        <v>45</v>
      </c>
      <c r="B2781" s="16" t="s">
        <v>155</v>
      </c>
      <c r="C2781" s="16" t="s">
        <v>169</v>
      </c>
      <c r="D2781" s="38"/>
      <c r="E2781" s="39"/>
      <c r="F2781" s="22" t="n">
        <f aca="false">IFERROR(D2781*E2781,0)</f>
        <v>0</v>
      </c>
      <c r="G2781" s="16" t="str">
        <f aca="false">INDEX(SETORES!$B:$B,MATCH(A2781,SETORES!$A:$A,0))</f>
        <v>Clientes</v>
      </c>
      <c r="H2781" s="16" t="s">
        <v>259</v>
      </c>
    </row>
    <row r="2782" customFormat="false" ht="14.25" hidden="false" customHeight="false" outlineLevel="0" collapsed="false">
      <c r="A2782" s="16" t="s">
        <v>50</v>
      </c>
      <c r="B2782" s="16" t="s">
        <v>155</v>
      </c>
      <c r="C2782" s="16" t="s">
        <v>170</v>
      </c>
      <c r="D2782" s="38"/>
      <c r="E2782" s="39"/>
      <c r="F2782" s="22" t="n">
        <f aca="false">IFERROR(D2782*E2782,0)</f>
        <v>0</v>
      </c>
      <c r="G2782" s="16" t="str">
        <f aca="false">INDEX(SETORES!$B:$B,MATCH(A2782,SETORES!$A:$A,0))</f>
        <v>Clientes</v>
      </c>
      <c r="H2782" s="16" t="s">
        <v>259</v>
      </c>
    </row>
    <row r="2783" customFormat="false" ht="14.25" hidden="false" customHeight="false" outlineLevel="0" collapsed="false">
      <c r="A2783" s="16" t="s">
        <v>50</v>
      </c>
      <c r="B2783" s="16" t="s">
        <v>155</v>
      </c>
      <c r="C2783" s="16" t="s">
        <v>171</v>
      </c>
      <c r="D2783" s="38"/>
      <c r="E2783" s="39"/>
      <c r="F2783" s="22" t="n">
        <f aca="false">IFERROR(D2783*E2783,0)</f>
        <v>0</v>
      </c>
      <c r="G2783" s="16" t="str">
        <f aca="false">INDEX(SETORES!$B:$B,MATCH(A2783,SETORES!$A:$A,0))</f>
        <v>Clientes</v>
      </c>
      <c r="H2783" s="16" t="s">
        <v>259</v>
      </c>
    </row>
    <row r="2784" customFormat="false" ht="14.25" hidden="false" customHeight="false" outlineLevel="0" collapsed="false">
      <c r="A2784" s="16" t="s">
        <v>50</v>
      </c>
      <c r="B2784" s="16" t="s">
        <v>155</v>
      </c>
      <c r="C2784" s="16" t="s">
        <v>169</v>
      </c>
      <c r="D2784" s="38"/>
      <c r="E2784" s="39"/>
      <c r="F2784" s="22" t="n">
        <f aca="false">IFERROR(D2784*E2784,0)</f>
        <v>0</v>
      </c>
      <c r="G2784" s="16" t="str">
        <f aca="false">INDEX(SETORES!$B:$B,MATCH(A2784,SETORES!$A:$A,0))</f>
        <v>Clientes</v>
      </c>
      <c r="H2784" s="16" t="s">
        <v>259</v>
      </c>
    </row>
    <row r="2785" customFormat="false" ht="14.25" hidden="false" customHeight="false" outlineLevel="0" collapsed="false">
      <c r="A2785" s="16" t="s">
        <v>36</v>
      </c>
      <c r="B2785" s="16" t="s">
        <v>155</v>
      </c>
      <c r="C2785" s="16" t="s">
        <v>170</v>
      </c>
      <c r="D2785" s="38"/>
      <c r="E2785" s="39"/>
      <c r="F2785" s="22" t="n">
        <f aca="false">IFERROR(D2785*E2785,0)</f>
        <v>0</v>
      </c>
      <c r="G2785" s="16" t="str">
        <f aca="false">INDEX(SETORES!$B:$B,MATCH(A2785,SETORES!$A:$A,0))</f>
        <v>Clientes</v>
      </c>
      <c r="H2785" s="16" t="s">
        <v>259</v>
      </c>
    </row>
    <row r="2786" customFormat="false" ht="14.25" hidden="false" customHeight="false" outlineLevel="0" collapsed="false">
      <c r="A2786" s="16" t="s">
        <v>36</v>
      </c>
      <c r="B2786" s="16" t="s">
        <v>155</v>
      </c>
      <c r="C2786" s="16" t="s">
        <v>171</v>
      </c>
      <c r="D2786" s="38"/>
      <c r="E2786" s="39"/>
      <c r="F2786" s="22" t="n">
        <f aca="false">IFERROR(D2786*E2786,0)</f>
        <v>0</v>
      </c>
      <c r="G2786" s="16" t="str">
        <f aca="false">INDEX(SETORES!$B:$B,MATCH(A2786,SETORES!$A:$A,0))</f>
        <v>Clientes</v>
      </c>
      <c r="H2786" s="16" t="s">
        <v>259</v>
      </c>
    </row>
    <row r="2787" customFormat="false" ht="14.25" hidden="false" customHeight="false" outlineLevel="0" collapsed="false">
      <c r="A2787" s="16" t="s">
        <v>36</v>
      </c>
      <c r="B2787" s="16" t="s">
        <v>155</v>
      </c>
      <c r="C2787" s="16" t="s">
        <v>169</v>
      </c>
      <c r="D2787" s="38"/>
      <c r="E2787" s="39"/>
      <c r="F2787" s="22" t="n">
        <f aca="false">IFERROR(D2787*E2787,0)</f>
        <v>0</v>
      </c>
      <c r="G2787" s="16" t="str">
        <f aca="false">INDEX(SETORES!$B:$B,MATCH(A2787,SETORES!$A:$A,0))</f>
        <v>Clientes</v>
      </c>
      <c r="H2787" s="16" t="s">
        <v>259</v>
      </c>
    </row>
    <row r="2788" customFormat="false" ht="14.25" hidden="false" customHeight="false" outlineLevel="0" collapsed="false">
      <c r="A2788" s="16" t="s">
        <v>48</v>
      </c>
      <c r="B2788" s="16" t="s">
        <v>155</v>
      </c>
      <c r="C2788" s="16" t="s">
        <v>170</v>
      </c>
      <c r="D2788" s="38"/>
      <c r="E2788" s="39"/>
      <c r="F2788" s="22" t="n">
        <f aca="false">IFERROR(D2788*E2788,0)</f>
        <v>0</v>
      </c>
      <c r="G2788" s="16" t="str">
        <f aca="false">INDEX(SETORES!$B:$B,MATCH(A2788,SETORES!$A:$A,0))</f>
        <v>Clientes</v>
      </c>
      <c r="H2788" s="16" t="s">
        <v>259</v>
      </c>
    </row>
    <row r="2789" customFormat="false" ht="14.25" hidden="false" customHeight="false" outlineLevel="0" collapsed="false">
      <c r="A2789" s="16" t="s">
        <v>48</v>
      </c>
      <c r="B2789" s="16" t="s">
        <v>155</v>
      </c>
      <c r="C2789" s="16" t="s">
        <v>171</v>
      </c>
      <c r="D2789" s="38"/>
      <c r="E2789" s="39"/>
      <c r="F2789" s="22" t="n">
        <f aca="false">IFERROR(D2789*E2789,0)</f>
        <v>0</v>
      </c>
      <c r="G2789" s="16" t="str">
        <f aca="false">INDEX(SETORES!$B:$B,MATCH(A2789,SETORES!$A:$A,0))</f>
        <v>Clientes</v>
      </c>
      <c r="H2789" s="16" t="s">
        <v>259</v>
      </c>
    </row>
    <row r="2790" customFormat="false" ht="14.25" hidden="false" customHeight="false" outlineLevel="0" collapsed="false">
      <c r="A2790" s="16" t="s">
        <v>48</v>
      </c>
      <c r="B2790" s="16" t="s">
        <v>155</v>
      </c>
      <c r="C2790" s="16" t="s">
        <v>169</v>
      </c>
      <c r="D2790" s="38"/>
      <c r="E2790" s="39"/>
      <c r="F2790" s="22" t="n">
        <f aca="false">IFERROR(D2790*E2790,0)</f>
        <v>0</v>
      </c>
      <c r="G2790" s="16" t="str">
        <f aca="false">INDEX(SETORES!$B:$B,MATCH(A2790,SETORES!$A:$A,0))</f>
        <v>Clientes</v>
      </c>
      <c r="H2790" s="16" t="s">
        <v>259</v>
      </c>
    </row>
    <row r="2791" customFormat="false" ht="14.25" hidden="false" customHeight="false" outlineLevel="0" collapsed="false">
      <c r="A2791" s="16" t="s">
        <v>47</v>
      </c>
      <c r="B2791" s="16" t="s">
        <v>155</v>
      </c>
      <c r="C2791" s="16" t="s">
        <v>170</v>
      </c>
      <c r="D2791" s="38"/>
      <c r="E2791" s="39"/>
      <c r="F2791" s="22" t="n">
        <f aca="false">IFERROR(D2791*E2791,0)</f>
        <v>0</v>
      </c>
      <c r="G2791" s="16" t="str">
        <f aca="false">INDEX(SETORES!$B:$B,MATCH(A2791,SETORES!$A:$A,0))</f>
        <v>Clientes</v>
      </c>
      <c r="H2791" s="16" t="s">
        <v>259</v>
      </c>
    </row>
    <row r="2792" customFormat="false" ht="14.25" hidden="false" customHeight="false" outlineLevel="0" collapsed="false">
      <c r="A2792" s="16" t="s">
        <v>47</v>
      </c>
      <c r="B2792" s="16" t="s">
        <v>155</v>
      </c>
      <c r="C2792" s="16" t="s">
        <v>171</v>
      </c>
      <c r="D2792" s="38"/>
      <c r="E2792" s="39"/>
      <c r="F2792" s="22" t="n">
        <f aca="false">IFERROR(D2792*E2792,0)</f>
        <v>0</v>
      </c>
      <c r="G2792" s="16" t="str">
        <f aca="false">INDEX(SETORES!$B:$B,MATCH(A2792,SETORES!$A:$A,0))</f>
        <v>Clientes</v>
      </c>
      <c r="H2792" s="16" t="s">
        <v>259</v>
      </c>
    </row>
    <row r="2793" customFormat="false" ht="14.25" hidden="false" customHeight="false" outlineLevel="0" collapsed="false">
      <c r="A2793" s="16" t="s">
        <v>47</v>
      </c>
      <c r="B2793" s="16" t="s">
        <v>155</v>
      </c>
      <c r="C2793" s="16" t="s">
        <v>169</v>
      </c>
      <c r="D2793" s="38"/>
      <c r="E2793" s="39"/>
      <c r="F2793" s="22" t="n">
        <f aca="false">IFERROR(D2793*E2793,0)</f>
        <v>0</v>
      </c>
      <c r="G2793" s="16" t="str">
        <f aca="false">INDEX(SETORES!$B:$B,MATCH(A2793,SETORES!$A:$A,0))</f>
        <v>Clientes</v>
      </c>
      <c r="H2793" s="16" t="s">
        <v>259</v>
      </c>
    </row>
    <row r="2794" customFormat="false" ht="14.25" hidden="false" customHeight="false" outlineLevel="0" collapsed="false">
      <c r="A2794" s="16" t="s">
        <v>31</v>
      </c>
      <c r="B2794" s="16" t="s">
        <v>155</v>
      </c>
      <c r="C2794" s="16" t="s">
        <v>170</v>
      </c>
      <c r="D2794" s="38"/>
      <c r="E2794" s="39"/>
      <c r="F2794" s="22" t="n">
        <f aca="false">IFERROR(D2794*E2794,0)</f>
        <v>0</v>
      </c>
      <c r="G2794" s="16" t="str">
        <f aca="false">INDEX(SETORES!$B:$B,MATCH(A2794,SETORES!$A:$A,0))</f>
        <v>Clientes</v>
      </c>
      <c r="H2794" s="16" t="s">
        <v>259</v>
      </c>
    </row>
    <row r="2795" customFormat="false" ht="14.25" hidden="false" customHeight="false" outlineLevel="0" collapsed="false">
      <c r="A2795" s="16" t="s">
        <v>31</v>
      </c>
      <c r="B2795" s="16" t="s">
        <v>155</v>
      </c>
      <c r="C2795" s="16" t="s">
        <v>171</v>
      </c>
      <c r="D2795" s="38"/>
      <c r="E2795" s="39"/>
      <c r="F2795" s="22" t="n">
        <f aca="false">IFERROR(D2795*E2795,0)</f>
        <v>0</v>
      </c>
      <c r="G2795" s="16" t="str">
        <f aca="false">INDEX(SETORES!$B:$B,MATCH(A2795,SETORES!$A:$A,0))</f>
        <v>Clientes</v>
      </c>
      <c r="H2795" s="16" t="s">
        <v>259</v>
      </c>
    </row>
    <row r="2796" customFormat="false" ht="14.25" hidden="false" customHeight="false" outlineLevel="0" collapsed="false">
      <c r="A2796" s="16" t="s">
        <v>31</v>
      </c>
      <c r="B2796" s="16" t="s">
        <v>155</v>
      </c>
      <c r="C2796" s="16" t="s">
        <v>169</v>
      </c>
      <c r="D2796" s="38"/>
      <c r="E2796" s="39"/>
      <c r="F2796" s="22" t="n">
        <f aca="false">IFERROR(D2796*E2796,0)</f>
        <v>0</v>
      </c>
      <c r="G2796" s="16" t="str">
        <f aca="false">INDEX(SETORES!$B:$B,MATCH(A2796,SETORES!$A:$A,0))</f>
        <v>Clientes</v>
      </c>
      <c r="H2796" s="16" t="s">
        <v>259</v>
      </c>
    </row>
    <row r="2797" customFormat="false" ht="14.25" hidden="false" customHeight="false" outlineLevel="0" collapsed="false">
      <c r="A2797" s="16" t="s">
        <v>37</v>
      </c>
      <c r="B2797" s="16" t="s">
        <v>155</v>
      </c>
      <c r="C2797" s="16" t="s">
        <v>170</v>
      </c>
      <c r="D2797" s="38"/>
      <c r="E2797" s="39"/>
      <c r="F2797" s="22" t="n">
        <f aca="false">IFERROR(D2797*E2797,0)</f>
        <v>0</v>
      </c>
      <c r="G2797" s="16" t="str">
        <f aca="false">INDEX(SETORES!$B:$B,MATCH(A2797,SETORES!$A:$A,0))</f>
        <v>Clientes</v>
      </c>
      <c r="H2797" s="16" t="s">
        <v>259</v>
      </c>
    </row>
    <row r="2798" customFormat="false" ht="14.25" hidden="false" customHeight="false" outlineLevel="0" collapsed="false">
      <c r="A2798" s="16" t="s">
        <v>37</v>
      </c>
      <c r="B2798" s="16" t="s">
        <v>155</v>
      </c>
      <c r="C2798" s="16" t="s">
        <v>171</v>
      </c>
      <c r="D2798" s="38"/>
      <c r="E2798" s="39"/>
      <c r="F2798" s="22" t="n">
        <f aca="false">IFERROR(D2798*E2798,0)</f>
        <v>0</v>
      </c>
      <c r="G2798" s="16" t="str">
        <f aca="false">INDEX(SETORES!$B:$B,MATCH(A2798,SETORES!$A:$A,0))</f>
        <v>Clientes</v>
      </c>
      <c r="H2798" s="16" t="s">
        <v>259</v>
      </c>
    </row>
    <row r="2799" customFormat="false" ht="14.25" hidden="false" customHeight="false" outlineLevel="0" collapsed="false">
      <c r="A2799" s="16" t="s">
        <v>37</v>
      </c>
      <c r="B2799" s="16" t="s">
        <v>155</v>
      </c>
      <c r="C2799" s="16" t="s">
        <v>169</v>
      </c>
      <c r="D2799" s="38"/>
      <c r="E2799" s="39"/>
      <c r="F2799" s="22" t="n">
        <f aca="false">IFERROR(D2799*E2799,0)</f>
        <v>0</v>
      </c>
      <c r="G2799" s="16" t="str">
        <f aca="false">INDEX(SETORES!$B:$B,MATCH(A2799,SETORES!$A:$A,0))</f>
        <v>Clientes</v>
      </c>
      <c r="H2799" s="16" t="s">
        <v>259</v>
      </c>
    </row>
    <row r="2800" customFormat="false" ht="14.25" hidden="false" customHeight="false" outlineLevel="0" collapsed="false">
      <c r="A2800" s="16" t="s">
        <v>46</v>
      </c>
      <c r="B2800" s="16" t="s">
        <v>155</v>
      </c>
      <c r="C2800" s="16" t="s">
        <v>170</v>
      </c>
      <c r="D2800" s="38"/>
      <c r="E2800" s="39"/>
      <c r="F2800" s="22" t="n">
        <f aca="false">IFERROR(D2800*E2800,0)</f>
        <v>0</v>
      </c>
      <c r="G2800" s="16" t="str">
        <f aca="false">INDEX(SETORES!$B:$B,MATCH(A2800,SETORES!$A:$A,0))</f>
        <v>Clientes</v>
      </c>
      <c r="H2800" s="16" t="s">
        <v>259</v>
      </c>
    </row>
    <row r="2801" customFormat="false" ht="14.25" hidden="false" customHeight="false" outlineLevel="0" collapsed="false">
      <c r="A2801" s="16" t="s">
        <v>46</v>
      </c>
      <c r="B2801" s="16" t="s">
        <v>155</v>
      </c>
      <c r="C2801" s="16" t="s">
        <v>171</v>
      </c>
      <c r="D2801" s="38"/>
      <c r="E2801" s="39"/>
      <c r="F2801" s="22" t="n">
        <f aca="false">IFERROR(D2801*E2801,0)</f>
        <v>0</v>
      </c>
      <c r="G2801" s="16" t="str">
        <f aca="false">INDEX(SETORES!$B:$B,MATCH(A2801,SETORES!$A:$A,0))</f>
        <v>Clientes</v>
      </c>
      <c r="H2801" s="16" t="s">
        <v>259</v>
      </c>
    </row>
    <row r="2802" customFormat="false" ht="14.25" hidden="false" customHeight="false" outlineLevel="0" collapsed="false">
      <c r="A2802" s="16" t="s">
        <v>46</v>
      </c>
      <c r="B2802" s="16" t="s">
        <v>155</v>
      </c>
      <c r="C2802" s="16" t="s">
        <v>169</v>
      </c>
      <c r="D2802" s="38"/>
      <c r="E2802" s="39"/>
      <c r="F2802" s="22" t="n">
        <f aca="false">IFERROR(D2802*E2802,0)</f>
        <v>0</v>
      </c>
      <c r="G2802" s="16" t="str">
        <f aca="false">INDEX(SETORES!$B:$B,MATCH(A2802,SETORES!$A:$A,0))</f>
        <v>Clientes</v>
      </c>
      <c r="H2802" s="16" t="s">
        <v>259</v>
      </c>
    </row>
    <row r="2803" customFormat="false" ht="14.25" hidden="false" customHeight="false" outlineLevel="0" collapsed="false">
      <c r="A2803" s="16" t="s">
        <v>49</v>
      </c>
      <c r="B2803" s="16" t="s">
        <v>155</v>
      </c>
      <c r="C2803" s="16" t="s">
        <v>170</v>
      </c>
      <c r="D2803" s="38"/>
      <c r="E2803" s="39"/>
      <c r="F2803" s="22" t="n">
        <f aca="false">IFERROR(D2803*E2803,0)</f>
        <v>0</v>
      </c>
      <c r="G2803" s="16" t="str">
        <f aca="false">INDEX(SETORES!$B:$B,MATCH(A2803,SETORES!$A:$A,0))</f>
        <v>Clientes</v>
      </c>
      <c r="H2803" s="16" t="s">
        <v>259</v>
      </c>
    </row>
    <row r="2804" customFormat="false" ht="14.25" hidden="false" customHeight="false" outlineLevel="0" collapsed="false">
      <c r="A2804" s="16" t="s">
        <v>49</v>
      </c>
      <c r="B2804" s="16" t="s">
        <v>155</v>
      </c>
      <c r="C2804" s="16" t="s">
        <v>171</v>
      </c>
      <c r="D2804" s="38"/>
      <c r="E2804" s="39"/>
      <c r="F2804" s="22" t="n">
        <f aca="false">IFERROR(D2804*E2804,0)</f>
        <v>0</v>
      </c>
      <c r="G2804" s="16" t="str">
        <f aca="false">INDEX(SETORES!$B:$B,MATCH(A2804,SETORES!$A:$A,0))</f>
        <v>Clientes</v>
      </c>
      <c r="H2804" s="16" t="s">
        <v>259</v>
      </c>
    </row>
    <row r="2805" customFormat="false" ht="14.25" hidden="false" customHeight="false" outlineLevel="0" collapsed="false">
      <c r="A2805" s="16" t="s">
        <v>49</v>
      </c>
      <c r="B2805" s="16" t="s">
        <v>155</v>
      </c>
      <c r="C2805" s="16" t="s">
        <v>169</v>
      </c>
      <c r="D2805" s="38"/>
      <c r="E2805" s="39"/>
      <c r="F2805" s="22" t="n">
        <f aca="false">IFERROR(D2805*E2805,0)</f>
        <v>0</v>
      </c>
      <c r="G2805" s="16" t="str">
        <f aca="false">INDEX(SETORES!$B:$B,MATCH(A2805,SETORES!$A:$A,0))</f>
        <v>Clientes</v>
      </c>
      <c r="H2805" s="16" t="s">
        <v>259</v>
      </c>
    </row>
    <row r="2806" customFormat="false" ht="14.25" hidden="false" customHeight="false" outlineLevel="0" collapsed="false">
      <c r="A2806" s="16" t="s">
        <v>32</v>
      </c>
      <c r="B2806" s="16" t="s">
        <v>155</v>
      </c>
      <c r="C2806" s="16" t="s">
        <v>170</v>
      </c>
      <c r="D2806" s="38"/>
      <c r="E2806" s="39"/>
      <c r="F2806" s="22" t="n">
        <f aca="false">IFERROR(D2806*E2806,0)</f>
        <v>0</v>
      </c>
      <c r="G2806" s="16" t="str">
        <f aca="false">INDEX(SETORES!$B:$B,MATCH(A2806,SETORES!$A:$A,0))</f>
        <v>Funcionários</v>
      </c>
      <c r="H2806" s="16" t="s">
        <v>259</v>
      </c>
    </row>
    <row r="2807" customFormat="false" ht="14.25" hidden="false" customHeight="false" outlineLevel="0" collapsed="false">
      <c r="A2807" s="16" t="s">
        <v>32</v>
      </c>
      <c r="B2807" s="16" t="s">
        <v>155</v>
      </c>
      <c r="C2807" s="16" t="s">
        <v>171</v>
      </c>
      <c r="D2807" s="38"/>
      <c r="E2807" s="39"/>
      <c r="F2807" s="22" t="n">
        <f aca="false">IFERROR(D2807*E2807,0)</f>
        <v>0</v>
      </c>
      <c r="G2807" s="16" t="str">
        <f aca="false">INDEX(SETORES!$B:$B,MATCH(A2807,SETORES!$A:$A,0))</f>
        <v>Funcionários</v>
      </c>
      <c r="H2807" s="16" t="s">
        <v>259</v>
      </c>
    </row>
    <row r="2808" customFormat="false" ht="14.25" hidden="false" customHeight="false" outlineLevel="0" collapsed="false">
      <c r="A2808" s="16" t="s">
        <v>32</v>
      </c>
      <c r="B2808" s="16" t="s">
        <v>155</v>
      </c>
      <c r="C2808" s="16" t="s">
        <v>169</v>
      </c>
      <c r="D2808" s="38"/>
      <c r="E2808" s="39"/>
      <c r="F2808" s="22" t="n">
        <f aca="false">IFERROR(D2808*E2808,0)</f>
        <v>0</v>
      </c>
      <c r="G2808" s="16" t="str">
        <f aca="false">INDEX(SETORES!$B:$B,MATCH(A2808,SETORES!$A:$A,0))</f>
        <v>Funcionários</v>
      </c>
      <c r="H2808" s="16" t="s">
        <v>259</v>
      </c>
    </row>
    <row r="2809" customFormat="false" ht="14.25" hidden="false" customHeight="false" outlineLevel="0" collapsed="false">
      <c r="A2809" s="16" t="s">
        <v>39</v>
      </c>
      <c r="B2809" s="16" t="s">
        <v>155</v>
      </c>
      <c r="C2809" s="16" t="s">
        <v>170</v>
      </c>
      <c r="D2809" s="38"/>
      <c r="E2809" s="39"/>
      <c r="F2809" s="22" t="n">
        <f aca="false">IFERROR(D2809*E2809,0)</f>
        <v>0</v>
      </c>
      <c r="G2809" s="16" t="str">
        <f aca="false">INDEX(SETORES!$B:$B,MATCH(A2809,SETORES!$A:$A,0))</f>
        <v>Clientes</v>
      </c>
      <c r="H2809" s="16" t="s">
        <v>259</v>
      </c>
    </row>
    <row r="2810" customFormat="false" ht="14.25" hidden="false" customHeight="false" outlineLevel="0" collapsed="false">
      <c r="A2810" s="16" t="s">
        <v>39</v>
      </c>
      <c r="B2810" s="16" t="s">
        <v>155</v>
      </c>
      <c r="C2810" s="16" t="s">
        <v>171</v>
      </c>
      <c r="D2810" s="38"/>
      <c r="E2810" s="39"/>
      <c r="F2810" s="22" t="n">
        <f aca="false">IFERROR(D2810*E2810,0)</f>
        <v>0</v>
      </c>
      <c r="G2810" s="16" t="str">
        <f aca="false">INDEX(SETORES!$B:$B,MATCH(A2810,SETORES!$A:$A,0))</f>
        <v>Clientes</v>
      </c>
      <c r="H2810" s="16" t="s">
        <v>259</v>
      </c>
    </row>
    <row r="2811" customFormat="false" ht="14.25" hidden="false" customHeight="false" outlineLevel="0" collapsed="false">
      <c r="A2811" s="16" t="s">
        <v>39</v>
      </c>
      <c r="B2811" s="16" t="s">
        <v>155</v>
      </c>
      <c r="C2811" s="16" t="s">
        <v>169</v>
      </c>
      <c r="D2811" s="38"/>
      <c r="E2811" s="39"/>
      <c r="F2811" s="22" t="n">
        <f aca="false">IFERROR(D2811*E2811,0)</f>
        <v>0</v>
      </c>
      <c r="G2811" s="16" t="str">
        <f aca="false">INDEX(SETORES!$B:$B,MATCH(A2811,SETORES!$A:$A,0))</f>
        <v>Clientes</v>
      </c>
      <c r="H2811" s="16" t="s">
        <v>259</v>
      </c>
    </row>
    <row r="2812" customFormat="false" ht="14.25" hidden="false" customHeight="false" outlineLevel="0" collapsed="false">
      <c r="A2812" s="16" t="s">
        <v>44</v>
      </c>
      <c r="B2812" s="16" t="s">
        <v>155</v>
      </c>
      <c r="C2812" s="16" t="s">
        <v>170</v>
      </c>
      <c r="D2812" s="38"/>
      <c r="E2812" s="39"/>
      <c r="F2812" s="22" t="n">
        <f aca="false">IFERROR(D2812*E2812,0)</f>
        <v>0</v>
      </c>
      <c r="G2812" s="16" t="str">
        <f aca="false">INDEX(SETORES!$B:$B,MATCH(A2812,SETORES!$A:$A,0))</f>
        <v>Funcionários</v>
      </c>
      <c r="H2812" s="16" t="s">
        <v>259</v>
      </c>
    </row>
    <row r="2813" customFormat="false" ht="14.25" hidden="false" customHeight="false" outlineLevel="0" collapsed="false">
      <c r="A2813" s="16" t="s">
        <v>44</v>
      </c>
      <c r="B2813" s="16" t="s">
        <v>155</v>
      </c>
      <c r="C2813" s="16" t="s">
        <v>171</v>
      </c>
      <c r="D2813" s="38"/>
      <c r="E2813" s="39"/>
      <c r="F2813" s="22" t="n">
        <f aca="false">IFERROR(D2813*E2813,0)</f>
        <v>0</v>
      </c>
      <c r="G2813" s="16" t="str">
        <f aca="false">INDEX(SETORES!$B:$B,MATCH(A2813,SETORES!$A:$A,0))</f>
        <v>Funcionários</v>
      </c>
      <c r="H2813" s="16" t="s">
        <v>259</v>
      </c>
    </row>
    <row r="2814" customFormat="false" ht="14.25" hidden="false" customHeight="false" outlineLevel="0" collapsed="false">
      <c r="A2814" s="16" t="s">
        <v>44</v>
      </c>
      <c r="B2814" s="16" t="s">
        <v>155</v>
      </c>
      <c r="C2814" s="16" t="s">
        <v>169</v>
      </c>
      <c r="D2814" s="38"/>
      <c r="E2814" s="39"/>
      <c r="F2814" s="22" t="n">
        <f aca="false">IFERROR(D2814*E2814,0)</f>
        <v>0</v>
      </c>
      <c r="G2814" s="16" t="str">
        <f aca="false">INDEX(SETORES!$B:$B,MATCH(A2814,SETORES!$A:$A,0))</f>
        <v>Funcionários</v>
      </c>
      <c r="H2814" s="16" t="s">
        <v>259</v>
      </c>
    </row>
    <row r="2815" customFormat="false" ht="14.25" hidden="false" customHeight="false" outlineLevel="0" collapsed="false">
      <c r="A2815" s="16" t="s">
        <v>52</v>
      </c>
      <c r="B2815" s="16" t="s">
        <v>155</v>
      </c>
      <c r="C2815" s="16" t="s">
        <v>170</v>
      </c>
      <c r="D2815" s="38"/>
      <c r="E2815" s="39"/>
      <c r="F2815" s="22" t="n">
        <f aca="false">IFERROR(D2815*E2815,0)</f>
        <v>0</v>
      </c>
      <c r="G2815" s="16" t="str">
        <f aca="false">INDEX(SETORES!$B:$B,MATCH(A2815,SETORES!$A:$A,0))</f>
        <v>Clientes</v>
      </c>
      <c r="H2815" s="16" t="s">
        <v>259</v>
      </c>
    </row>
    <row r="2816" customFormat="false" ht="14.25" hidden="false" customHeight="false" outlineLevel="0" collapsed="false">
      <c r="A2816" s="16" t="s">
        <v>52</v>
      </c>
      <c r="B2816" s="16" t="s">
        <v>155</v>
      </c>
      <c r="C2816" s="16" t="s">
        <v>171</v>
      </c>
      <c r="D2816" s="38"/>
      <c r="E2816" s="39"/>
      <c r="F2816" s="22" t="n">
        <f aca="false">IFERROR(D2816*E2816,0)</f>
        <v>0</v>
      </c>
      <c r="G2816" s="16" t="str">
        <f aca="false">INDEX(SETORES!$B:$B,MATCH(A2816,SETORES!$A:$A,0))</f>
        <v>Clientes</v>
      </c>
      <c r="H2816" s="16" t="s">
        <v>259</v>
      </c>
    </row>
    <row r="2817" customFormat="false" ht="14.25" hidden="false" customHeight="false" outlineLevel="0" collapsed="false">
      <c r="A2817" s="16" t="s">
        <v>52</v>
      </c>
      <c r="B2817" s="16" t="s">
        <v>155</v>
      </c>
      <c r="C2817" s="16" t="s">
        <v>169</v>
      </c>
      <c r="D2817" s="38"/>
      <c r="E2817" s="39"/>
      <c r="F2817" s="22" t="n">
        <f aca="false">IFERROR(D2817*E2817,0)</f>
        <v>0</v>
      </c>
      <c r="G2817" s="16" t="str">
        <f aca="false">INDEX(SETORES!$B:$B,MATCH(A2817,SETORES!$A:$A,0))</f>
        <v>Clientes</v>
      </c>
      <c r="H2817" s="16" t="s">
        <v>259</v>
      </c>
    </row>
    <row r="2818" customFormat="false" ht="14.25" hidden="false" customHeight="false" outlineLevel="0" collapsed="false">
      <c r="A2818" s="16" t="s">
        <v>53</v>
      </c>
      <c r="B2818" s="16" t="s">
        <v>155</v>
      </c>
      <c r="C2818" s="16" t="s">
        <v>170</v>
      </c>
      <c r="D2818" s="38"/>
      <c r="E2818" s="39"/>
      <c r="F2818" s="22" t="n">
        <f aca="false">IFERROR(D2818*E2818,0)</f>
        <v>0</v>
      </c>
      <c r="G2818" s="16" t="str">
        <f aca="false">INDEX(SETORES!$B:$B,MATCH(A2818,SETORES!$A:$A,0))</f>
        <v>Clientes</v>
      </c>
      <c r="H2818" s="16" t="s">
        <v>259</v>
      </c>
    </row>
    <row r="2819" customFormat="false" ht="14.25" hidden="false" customHeight="false" outlineLevel="0" collapsed="false">
      <c r="A2819" s="16" t="s">
        <v>53</v>
      </c>
      <c r="B2819" s="16" t="s">
        <v>155</v>
      </c>
      <c r="C2819" s="16" t="s">
        <v>171</v>
      </c>
      <c r="D2819" s="38"/>
      <c r="E2819" s="39"/>
      <c r="F2819" s="22" t="n">
        <f aca="false">IFERROR(D2819*E2819,0)</f>
        <v>0</v>
      </c>
      <c r="G2819" s="16" t="str">
        <f aca="false">INDEX(SETORES!$B:$B,MATCH(A2819,SETORES!$A:$A,0))</f>
        <v>Clientes</v>
      </c>
      <c r="H2819" s="16" t="s">
        <v>259</v>
      </c>
    </row>
    <row r="2820" customFormat="false" ht="14.25" hidden="false" customHeight="false" outlineLevel="0" collapsed="false">
      <c r="A2820" s="16" t="s">
        <v>53</v>
      </c>
      <c r="B2820" s="16" t="s">
        <v>155</v>
      </c>
      <c r="C2820" s="16" t="s">
        <v>169</v>
      </c>
      <c r="D2820" s="38"/>
      <c r="E2820" s="39"/>
      <c r="F2820" s="22" t="n">
        <f aca="false">IFERROR(D2820*E2820,0)</f>
        <v>0</v>
      </c>
      <c r="G2820" s="16" t="str">
        <f aca="false">INDEX(SETORES!$B:$B,MATCH(A2820,SETORES!$A:$A,0))</f>
        <v>Clientes</v>
      </c>
      <c r="H2820" s="16" t="s">
        <v>259</v>
      </c>
    </row>
    <row r="2821" customFormat="false" ht="14.25" hidden="false" customHeight="false" outlineLevel="0" collapsed="false">
      <c r="A2821" s="16" t="s">
        <v>51</v>
      </c>
      <c r="B2821" s="16" t="s">
        <v>155</v>
      </c>
      <c r="C2821" s="16" t="s">
        <v>170</v>
      </c>
      <c r="D2821" s="38"/>
      <c r="E2821" s="39"/>
      <c r="F2821" s="22" t="n">
        <f aca="false">IFERROR(D2821*E2821,0)</f>
        <v>0</v>
      </c>
      <c r="G2821" s="16" t="str">
        <f aca="false">INDEX(SETORES!$B:$B,MATCH(A2821,SETORES!$A:$A,0))</f>
        <v>Clientes</v>
      </c>
      <c r="H2821" s="16" t="s">
        <v>259</v>
      </c>
    </row>
    <row r="2822" customFormat="false" ht="14.25" hidden="false" customHeight="false" outlineLevel="0" collapsed="false">
      <c r="A2822" s="16" t="s">
        <v>51</v>
      </c>
      <c r="B2822" s="16" t="s">
        <v>155</v>
      </c>
      <c r="C2822" s="16" t="s">
        <v>171</v>
      </c>
      <c r="D2822" s="38"/>
      <c r="E2822" s="39"/>
      <c r="F2822" s="22" t="n">
        <f aca="false">IFERROR(D2822*E2822,0)</f>
        <v>0</v>
      </c>
      <c r="G2822" s="16" t="str">
        <f aca="false">INDEX(SETORES!$B:$B,MATCH(A2822,SETORES!$A:$A,0))</f>
        <v>Clientes</v>
      </c>
      <c r="H2822" s="16" t="s">
        <v>259</v>
      </c>
    </row>
    <row r="2823" customFormat="false" ht="14.25" hidden="false" customHeight="false" outlineLevel="0" collapsed="false">
      <c r="A2823" s="16" t="s">
        <v>51</v>
      </c>
      <c r="B2823" s="16" t="s">
        <v>155</v>
      </c>
      <c r="C2823" s="16" t="s">
        <v>169</v>
      </c>
      <c r="D2823" s="38"/>
      <c r="E2823" s="39"/>
      <c r="F2823" s="22" t="n">
        <f aca="false">IFERROR(D2823*E2823,0)</f>
        <v>0</v>
      </c>
      <c r="G2823" s="16" t="str">
        <f aca="false">INDEX(SETORES!$B:$B,MATCH(A2823,SETORES!$A:$A,0))</f>
        <v>Clientes</v>
      </c>
      <c r="H2823" s="16" t="s">
        <v>259</v>
      </c>
    </row>
    <row r="2824" customFormat="false" ht="14.25" hidden="false" customHeight="false" outlineLevel="0" collapsed="false">
      <c r="A2824" s="16" t="s">
        <v>54</v>
      </c>
      <c r="B2824" s="16" t="s">
        <v>155</v>
      </c>
      <c r="C2824" s="16" t="s">
        <v>246</v>
      </c>
      <c r="D2824" s="38"/>
      <c r="E2824" s="39"/>
      <c r="F2824" s="22" t="n">
        <f aca="false">IFERROR(D2824*E2824,0)</f>
        <v>0</v>
      </c>
      <c r="G2824" s="16" t="str">
        <f aca="false">INDEX(SETORES!$B:$B,MATCH(A2824,SETORES!$A:$A,0))</f>
        <v>Clientes</v>
      </c>
      <c r="H2824" s="16" t="s">
        <v>259</v>
      </c>
    </row>
    <row r="2825" customFormat="false" ht="14.25" hidden="false" customHeight="false" outlineLevel="0" collapsed="false">
      <c r="A2825" s="16" t="s">
        <v>51</v>
      </c>
      <c r="B2825" s="16" t="s">
        <v>155</v>
      </c>
      <c r="C2825" s="16" t="s">
        <v>240</v>
      </c>
      <c r="D2825" s="38"/>
      <c r="E2825" s="39"/>
      <c r="F2825" s="22" t="n">
        <f aca="false">IFERROR(D2825*E2825,0)</f>
        <v>0</v>
      </c>
      <c r="G2825" s="16" t="str">
        <f aca="false">INDEX(SETORES!$B:$B,MATCH(A2825,SETORES!$A:$A,0))</f>
        <v>Clientes</v>
      </c>
      <c r="H2825" s="16" t="s">
        <v>259</v>
      </c>
    </row>
    <row r="2826" customFormat="false" ht="14.25" hidden="false" customHeight="false" outlineLevel="0" collapsed="false">
      <c r="A2826" s="16" t="s">
        <v>43</v>
      </c>
      <c r="B2826" s="16" t="s">
        <v>162</v>
      </c>
      <c r="C2826" s="16" t="s">
        <v>217</v>
      </c>
      <c r="D2826" s="38"/>
      <c r="E2826" s="39"/>
      <c r="F2826" s="22" t="n">
        <f aca="false">IFERROR(D2826*E2826,0)</f>
        <v>0</v>
      </c>
      <c r="G2826" s="16" t="str">
        <f aca="false">INDEX(SETORES!$B:$B,MATCH(A2826,SETORES!$A:$A,0))</f>
        <v>Clientes</v>
      </c>
      <c r="H2826" s="16" t="s">
        <v>259</v>
      </c>
    </row>
    <row r="2827" customFormat="false" ht="14.25" hidden="false" customHeight="false" outlineLevel="0" collapsed="false">
      <c r="A2827" s="16" t="s">
        <v>40</v>
      </c>
      <c r="B2827" s="16" t="s">
        <v>162</v>
      </c>
      <c r="C2827" s="16" t="s">
        <v>165</v>
      </c>
      <c r="D2827" s="38"/>
      <c r="E2827" s="39"/>
      <c r="F2827" s="22" t="n">
        <f aca="false">IFERROR(D2827*E2827,0)</f>
        <v>0</v>
      </c>
      <c r="G2827" s="16" t="str">
        <f aca="false">INDEX(SETORES!$B:$B,MATCH(A2827,SETORES!$A:$A,0))</f>
        <v>Clientes</v>
      </c>
      <c r="H2827" s="16" t="s">
        <v>259</v>
      </c>
    </row>
    <row r="2828" customFormat="false" ht="14.25" hidden="false" customHeight="false" outlineLevel="0" collapsed="false">
      <c r="A2828" s="16" t="s">
        <v>53</v>
      </c>
      <c r="B2828" s="16" t="s">
        <v>162</v>
      </c>
      <c r="C2828" s="16" t="s">
        <v>222</v>
      </c>
      <c r="D2828" s="38"/>
      <c r="E2828" s="39"/>
      <c r="F2828" s="22" t="n">
        <f aca="false">IFERROR(D2828*E2828,0)</f>
        <v>0</v>
      </c>
      <c r="G2828" s="16" t="str">
        <f aca="false">INDEX(SETORES!$B:$B,MATCH(A2828,SETORES!$A:$A,0))</f>
        <v>Clientes</v>
      </c>
      <c r="H2828" s="16" t="s">
        <v>259</v>
      </c>
    </row>
    <row r="2829" customFormat="false" ht="14.25" hidden="false" customHeight="false" outlineLevel="0" collapsed="false">
      <c r="A2829" s="16" t="s">
        <v>51</v>
      </c>
      <c r="B2829" s="16" t="s">
        <v>162</v>
      </c>
      <c r="C2829" s="16" t="s">
        <v>222</v>
      </c>
      <c r="D2829" s="38"/>
      <c r="E2829" s="39"/>
      <c r="F2829" s="22" t="n">
        <f aca="false">IFERROR(D2829*E2829,0)</f>
        <v>0</v>
      </c>
      <c r="G2829" s="16" t="str">
        <f aca="false">INDEX(SETORES!$B:$B,MATCH(A2829,SETORES!$A:$A,0))</f>
        <v>Clientes</v>
      </c>
      <c r="H2829" s="16" t="s">
        <v>259</v>
      </c>
    </row>
    <row r="2830" customFormat="false" ht="14.25" hidden="false" customHeight="false" outlineLevel="0" collapsed="false">
      <c r="A2830" s="16" t="s">
        <v>35</v>
      </c>
      <c r="B2830" s="16" t="s">
        <v>162</v>
      </c>
      <c r="C2830" s="16" t="s">
        <v>222</v>
      </c>
      <c r="D2830" s="38"/>
      <c r="E2830" s="39"/>
      <c r="F2830" s="22" t="n">
        <f aca="false">IFERROR(D2830*E2830,0)</f>
        <v>0</v>
      </c>
      <c r="G2830" s="16" t="str">
        <f aca="false">INDEX(SETORES!$B:$B,MATCH(A2830,SETORES!$A:$A,0))</f>
        <v>Clientes</v>
      </c>
      <c r="H2830" s="16" t="s">
        <v>259</v>
      </c>
    </row>
    <row r="2831" customFormat="false" ht="14.25" hidden="false" customHeight="false" outlineLevel="0" collapsed="false">
      <c r="A2831" s="16" t="s">
        <v>31</v>
      </c>
      <c r="B2831" s="16" t="s">
        <v>162</v>
      </c>
      <c r="C2831" s="16" t="s">
        <v>222</v>
      </c>
      <c r="D2831" s="38"/>
      <c r="E2831" s="39"/>
      <c r="F2831" s="22" t="n">
        <f aca="false">IFERROR(D2831*E2831,0)</f>
        <v>0</v>
      </c>
      <c r="G2831" s="16" t="str">
        <f aca="false">INDEX(SETORES!$B:$B,MATCH(A2831,SETORES!$A:$A,0))</f>
        <v>Clientes</v>
      </c>
      <c r="H2831" s="16" t="s">
        <v>259</v>
      </c>
    </row>
    <row r="2832" customFormat="false" ht="14.25" hidden="false" customHeight="false" outlineLevel="0" collapsed="false">
      <c r="A2832" s="16" t="s">
        <v>44</v>
      </c>
      <c r="B2832" s="16" t="s">
        <v>162</v>
      </c>
      <c r="C2832" s="16" t="s">
        <v>222</v>
      </c>
      <c r="D2832" s="38"/>
      <c r="E2832" s="39"/>
      <c r="F2832" s="22" t="n">
        <f aca="false">IFERROR(D2832*E2832,0)</f>
        <v>0</v>
      </c>
      <c r="G2832" s="16" t="str">
        <f aca="false">INDEX(SETORES!$B:$B,MATCH(A2832,SETORES!$A:$A,0))</f>
        <v>Funcionários</v>
      </c>
      <c r="H2832" s="16" t="s">
        <v>259</v>
      </c>
    </row>
    <row r="2833" customFormat="false" ht="14.25" hidden="false" customHeight="false" outlineLevel="0" collapsed="false">
      <c r="A2833" s="16" t="s">
        <v>55</v>
      </c>
      <c r="B2833" s="16" t="s">
        <v>162</v>
      </c>
      <c r="C2833" s="16" t="s">
        <v>222</v>
      </c>
      <c r="D2833" s="38"/>
      <c r="E2833" s="39"/>
      <c r="F2833" s="22" t="n">
        <f aca="false">IFERROR(D2833*E2833,0)</f>
        <v>0</v>
      </c>
      <c r="G2833" s="16" t="str">
        <f aca="false">INDEX(SETORES!$B:$B,MATCH(A2833,SETORES!$A:$A,0))</f>
        <v>Funcionários</v>
      </c>
      <c r="H2833" s="16" t="s">
        <v>259</v>
      </c>
    </row>
    <row r="2834" customFormat="false" ht="14.25" hidden="false" customHeight="false" outlineLevel="0" collapsed="false">
      <c r="A2834" s="16" t="s">
        <v>52</v>
      </c>
      <c r="B2834" s="16" t="s">
        <v>162</v>
      </c>
      <c r="C2834" s="16" t="s">
        <v>222</v>
      </c>
      <c r="D2834" s="38"/>
      <c r="E2834" s="39"/>
      <c r="F2834" s="22" t="n">
        <f aca="false">IFERROR(D2834*E2834,0)</f>
        <v>0</v>
      </c>
      <c r="G2834" s="16" t="str">
        <f aca="false">INDEX(SETORES!$B:$B,MATCH(A2834,SETORES!$A:$A,0))</f>
        <v>Clientes</v>
      </c>
      <c r="H2834" s="16" t="s">
        <v>259</v>
      </c>
    </row>
    <row r="2835" customFormat="false" ht="14.25" hidden="false" customHeight="false" outlineLevel="0" collapsed="false">
      <c r="A2835" s="16" t="s">
        <v>41</v>
      </c>
      <c r="B2835" s="16" t="s">
        <v>162</v>
      </c>
      <c r="C2835" s="16" t="s">
        <v>217</v>
      </c>
      <c r="D2835" s="38"/>
      <c r="E2835" s="39"/>
      <c r="F2835" s="22" t="n">
        <f aca="false">IFERROR(D2835*E2835,0)</f>
        <v>0</v>
      </c>
      <c r="G2835" s="16" t="str">
        <f aca="false">INDEX(SETORES!$B:$B,MATCH(A2835,SETORES!$A:$A,0))</f>
        <v>Clientes</v>
      </c>
      <c r="H2835" s="16" t="s">
        <v>259</v>
      </c>
    </row>
    <row r="2836" customFormat="false" ht="14.25" hidden="false" customHeight="false" outlineLevel="0" collapsed="false">
      <c r="A2836" s="16" t="s">
        <v>48</v>
      </c>
      <c r="B2836" s="16" t="s">
        <v>162</v>
      </c>
      <c r="C2836" s="16" t="s">
        <v>247</v>
      </c>
      <c r="D2836" s="38"/>
      <c r="E2836" s="39"/>
      <c r="F2836" s="22" t="n">
        <f aca="false">IFERROR(D2836*E2836,0)</f>
        <v>0</v>
      </c>
      <c r="G2836" s="16" t="str">
        <f aca="false">INDEX(SETORES!$B:$B,MATCH(A2836,SETORES!$A:$A,0))</f>
        <v>Clientes</v>
      </c>
      <c r="H2836" s="16" t="s">
        <v>259</v>
      </c>
    </row>
    <row r="2837" customFormat="false" ht="14.25" hidden="false" customHeight="false" outlineLevel="0" collapsed="false">
      <c r="A2837" s="16" t="s">
        <v>86</v>
      </c>
      <c r="B2837" s="16" t="s">
        <v>155</v>
      </c>
      <c r="C2837" s="16" t="s">
        <v>161</v>
      </c>
      <c r="D2837" s="38" t="n">
        <v>1</v>
      </c>
      <c r="E2837" s="39" t="n">
        <v>42206.73</v>
      </c>
      <c r="F2837" s="22" t="n">
        <f aca="false">IFERROR(D2837*E2837,0)</f>
        <v>42206.73</v>
      </c>
      <c r="G2837" s="16" t="str">
        <f aca="false">INDEX(SETORES!$B:$B,MATCH(A2837,SETORES!$A:$A,0))</f>
        <v>Clientes</v>
      </c>
      <c r="H2837" s="16" t="s">
        <v>259</v>
      </c>
    </row>
    <row r="2838" customFormat="false" ht="14.25" hidden="false" customHeight="false" outlineLevel="0" collapsed="false">
      <c r="A2838" s="16" t="s">
        <v>86</v>
      </c>
      <c r="B2838" s="16" t="s">
        <v>155</v>
      </c>
      <c r="C2838" s="16" t="s">
        <v>157</v>
      </c>
      <c r="D2838" s="38" t="n">
        <v>1</v>
      </c>
      <c r="E2838" s="39" t="n">
        <v>350.54</v>
      </c>
      <c r="F2838" s="22" t="n">
        <f aca="false">IFERROR(D2838*E2838,0)</f>
        <v>350.54</v>
      </c>
      <c r="G2838" s="16" t="str">
        <f aca="false">INDEX(SETORES!$B:$B,MATCH(A2838,SETORES!$A:$A,0))</f>
        <v>Clientes</v>
      </c>
      <c r="H2838" s="16" t="s">
        <v>259</v>
      </c>
    </row>
    <row r="2839" customFormat="false" ht="14.25" hidden="false" customHeight="false" outlineLevel="0" collapsed="false">
      <c r="A2839" s="16" t="s">
        <v>86</v>
      </c>
      <c r="B2839" s="16" t="s">
        <v>162</v>
      </c>
      <c r="C2839" s="16" t="s">
        <v>165</v>
      </c>
      <c r="D2839" s="38"/>
      <c r="E2839" s="39"/>
      <c r="F2839" s="22" t="n">
        <f aca="false">IFERROR(D2839*E2839,0)</f>
        <v>0</v>
      </c>
      <c r="G2839" s="16" t="str">
        <f aca="false">INDEX(SETORES!$B:$B,MATCH(A2839,SETORES!$A:$A,0))</f>
        <v>Clientes</v>
      </c>
      <c r="H2839" s="16" t="s">
        <v>259</v>
      </c>
    </row>
    <row r="2840" customFormat="false" ht="14.25" hidden="false" customHeight="false" outlineLevel="0" collapsed="false">
      <c r="A2840" s="16" t="s">
        <v>83</v>
      </c>
      <c r="B2840" s="16" t="s">
        <v>155</v>
      </c>
      <c r="C2840" s="16" t="s">
        <v>161</v>
      </c>
      <c r="D2840" s="38" t="n">
        <v>1</v>
      </c>
      <c r="E2840" s="39" t="n">
        <v>7846.31</v>
      </c>
      <c r="F2840" s="22" t="n">
        <f aca="false">IFERROR(D2840*E2840,0)</f>
        <v>7846.31</v>
      </c>
      <c r="G2840" s="16" t="str">
        <f aca="false">INDEX(SETORES!$B:$B,MATCH(A2840,SETORES!$A:$A,0))</f>
        <v>Clientes</v>
      </c>
      <c r="H2840" s="16" t="s">
        <v>259</v>
      </c>
    </row>
    <row r="2841" customFormat="false" ht="14.25" hidden="false" customHeight="false" outlineLevel="0" collapsed="false">
      <c r="A2841" s="16" t="s">
        <v>83</v>
      </c>
      <c r="B2841" s="16" t="s">
        <v>155</v>
      </c>
      <c r="C2841" s="16" t="s">
        <v>157</v>
      </c>
      <c r="D2841" s="38" t="n">
        <v>1</v>
      </c>
      <c r="E2841" s="39" t="n">
        <v>150.42</v>
      </c>
      <c r="F2841" s="22" t="n">
        <f aca="false">IFERROR(D2841*E2841,0)</f>
        <v>150.42</v>
      </c>
      <c r="G2841" s="16" t="str">
        <f aca="false">INDEX(SETORES!$B:$B,MATCH(A2841,SETORES!$A:$A,0))</f>
        <v>Clientes</v>
      </c>
      <c r="H2841" s="16" t="s">
        <v>259</v>
      </c>
    </row>
    <row r="2842" customFormat="false" ht="14.25" hidden="false" customHeight="false" outlineLevel="0" collapsed="false">
      <c r="A2842" s="16" t="s">
        <v>83</v>
      </c>
      <c r="B2842" s="16" t="s">
        <v>162</v>
      </c>
      <c r="C2842" s="16" t="s">
        <v>217</v>
      </c>
      <c r="D2842" s="38"/>
      <c r="E2842" s="39"/>
      <c r="F2842" s="22" t="n">
        <f aca="false">IFERROR(D2842*E2842,0)</f>
        <v>0</v>
      </c>
      <c r="G2842" s="16" t="str">
        <f aca="false">INDEX(SETORES!$B:$B,MATCH(A2842,SETORES!$A:$A,0))</f>
        <v>Clientes</v>
      </c>
      <c r="H2842" s="16" t="s">
        <v>259</v>
      </c>
    </row>
    <row r="2843" customFormat="false" ht="14.25" hidden="false" customHeight="false" outlineLevel="0" collapsed="false">
      <c r="A2843" s="16" t="s">
        <v>85</v>
      </c>
      <c r="B2843" s="16" t="s">
        <v>155</v>
      </c>
      <c r="C2843" s="16" t="s">
        <v>161</v>
      </c>
      <c r="D2843" s="38" t="n">
        <v>1</v>
      </c>
      <c r="E2843" s="39" t="n">
        <v>62265.7</v>
      </c>
      <c r="F2843" s="22" t="n">
        <f aca="false">IFERROR(D2843*E2843,0)</f>
        <v>62265.7</v>
      </c>
      <c r="G2843" s="16" t="str">
        <f aca="false">INDEX(SETORES!$B:$B,MATCH(A2843,SETORES!$A:$A,0))</f>
        <v>Clientes</v>
      </c>
      <c r="H2843" s="16" t="s">
        <v>259</v>
      </c>
    </row>
    <row r="2844" customFormat="false" ht="14.25" hidden="false" customHeight="false" outlineLevel="0" collapsed="false">
      <c r="A2844" s="16" t="s">
        <v>85</v>
      </c>
      <c r="B2844" s="16" t="s">
        <v>155</v>
      </c>
      <c r="C2844" s="16" t="s">
        <v>157</v>
      </c>
      <c r="D2844" s="38" t="n">
        <v>1</v>
      </c>
      <c r="E2844" s="39" t="n">
        <v>507.51</v>
      </c>
      <c r="F2844" s="22" t="n">
        <f aca="false">IFERROR(D2844*E2844,0)</f>
        <v>507.51</v>
      </c>
      <c r="G2844" s="16" t="str">
        <f aca="false">INDEX(SETORES!$B:$B,MATCH(A2844,SETORES!$A:$A,0))</f>
        <v>Clientes</v>
      </c>
      <c r="H2844" s="16" t="s">
        <v>259</v>
      </c>
    </row>
    <row r="2845" customFormat="false" ht="14.25" hidden="false" customHeight="false" outlineLevel="0" collapsed="false">
      <c r="A2845" s="16" t="s">
        <v>85</v>
      </c>
      <c r="B2845" s="16" t="s">
        <v>162</v>
      </c>
      <c r="C2845" s="16" t="s">
        <v>217</v>
      </c>
      <c r="D2845" s="38"/>
      <c r="E2845" s="39"/>
      <c r="F2845" s="22" t="n">
        <f aca="false">IFERROR(D2845*E2845,0)</f>
        <v>0</v>
      </c>
      <c r="G2845" s="16" t="str">
        <f aca="false">INDEX(SETORES!$B:$B,MATCH(A2845,SETORES!$A:$A,0))</f>
        <v>Clientes</v>
      </c>
      <c r="H2845" s="16" t="s">
        <v>259</v>
      </c>
    </row>
    <row r="2846" customFormat="false" ht="14.25" hidden="false" customHeight="false" outlineLevel="0" collapsed="false">
      <c r="A2846" s="16" t="s">
        <v>85</v>
      </c>
      <c r="B2846" s="16" t="s">
        <v>162</v>
      </c>
      <c r="C2846" s="16" t="s">
        <v>165</v>
      </c>
      <c r="D2846" s="38"/>
      <c r="E2846" s="39"/>
      <c r="F2846" s="22" t="n">
        <f aca="false">IFERROR(D2846*E2846,0)</f>
        <v>0</v>
      </c>
      <c r="G2846" s="16" t="str">
        <f aca="false">INDEX(SETORES!$B:$B,MATCH(A2846,SETORES!$A:$A,0))</f>
        <v>Clientes</v>
      </c>
      <c r="H2846" s="16" t="s">
        <v>259</v>
      </c>
    </row>
    <row r="2847" customFormat="false" ht="14.25" hidden="false" customHeight="false" outlineLevel="0" collapsed="false">
      <c r="A2847" s="16" t="s">
        <v>87</v>
      </c>
      <c r="B2847" s="16" t="s">
        <v>155</v>
      </c>
      <c r="C2847" s="16" t="s">
        <v>161</v>
      </c>
      <c r="D2847" s="38" t="n">
        <v>1</v>
      </c>
      <c r="E2847" s="39" t="n">
        <v>35073.9</v>
      </c>
      <c r="F2847" s="22" t="n">
        <f aca="false">IFERROR(D2847*E2847,0)</f>
        <v>35073.9</v>
      </c>
      <c r="G2847" s="16" t="str">
        <f aca="false">INDEX(SETORES!$B:$B,MATCH(A2847,SETORES!$A:$A,0))</f>
        <v>Clientes</v>
      </c>
      <c r="H2847" s="16" t="s">
        <v>259</v>
      </c>
    </row>
    <row r="2848" customFormat="false" ht="14.25" hidden="false" customHeight="false" outlineLevel="0" collapsed="false">
      <c r="A2848" s="16" t="s">
        <v>87</v>
      </c>
      <c r="B2848" s="16" t="s">
        <v>155</v>
      </c>
      <c r="C2848" s="16" t="s">
        <v>157</v>
      </c>
      <c r="D2848" s="38" t="n">
        <v>1</v>
      </c>
      <c r="E2848" s="39" t="n">
        <v>107.14</v>
      </c>
      <c r="F2848" s="22" t="n">
        <f aca="false">IFERROR(D2848*E2848,0)</f>
        <v>107.14</v>
      </c>
      <c r="G2848" s="16" t="str">
        <f aca="false">INDEX(SETORES!$B:$B,MATCH(A2848,SETORES!$A:$A,0))</f>
        <v>Clientes</v>
      </c>
      <c r="H2848" s="16" t="s">
        <v>259</v>
      </c>
    </row>
    <row r="2849" customFormat="false" ht="14.25" hidden="false" customHeight="false" outlineLevel="0" collapsed="false">
      <c r="A2849" s="16" t="s">
        <v>78</v>
      </c>
      <c r="B2849" s="16" t="s">
        <v>155</v>
      </c>
      <c r="C2849" s="16" t="s">
        <v>161</v>
      </c>
      <c r="D2849" s="38" t="n">
        <v>1</v>
      </c>
      <c r="E2849" s="39" t="n">
        <v>71692.57</v>
      </c>
      <c r="F2849" s="22" t="n">
        <f aca="false">IFERROR(D2849*E2849,0)</f>
        <v>71692.57</v>
      </c>
      <c r="G2849" s="16" t="str">
        <f aca="false">INDEX(SETORES!$B:$B,MATCH(A2849,SETORES!$A:$A,0))</f>
        <v>Clientes</v>
      </c>
      <c r="H2849" s="16" t="s">
        <v>259</v>
      </c>
    </row>
    <row r="2850" customFormat="false" ht="14.25" hidden="false" customHeight="false" outlineLevel="0" collapsed="false">
      <c r="A2850" s="16" t="s">
        <v>81</v>
      </c>
      <c r="B2850" s="16" t="s">
        <v>155</v>
      </c>
      <c r="C2850" s="16" t="s">
        <v>161</v>
      </c>
      <c r="D2850" s="38" t="n">
        <v>1</v>
      </c>
      <c r="E2850" s="39" t="n">
        <v>13644.85</v>
      </c>
      <c r="F2850" s="22" t="n">
        <f aca="false">IFERROR(D2850*E2850,0)</f>
        <v>13644.85</v>
      </c>
      <c r="G2850" s="16" t="str">
        <f aca="false">INDEX(SETORES!$B:$B,MATCH(A2850,SETORES!$A:$A,0))</f>
        <v>Clientes</v>
      </c>
      <c r="H2850" s="16" t="s">
        <v>259</v>
      </c>
    </row>
    <row r="2851" customFormat="false" ht="14.25" hidden="false" customHeight="false" outlineLevel="0" collapsed="false">
      <c r="A2851" s="16" t="s">
        <v>84</v>
      </c>
      <c r="B2851" s="16" t="s">
        <v>155</v>
      </c>
      <c r="C2851" s="16" t="s">
        <v>161</v>
      </c>
      <c r="D2851" s="38" t="n">
        <v>1</v>
      </c>
      <c r="E2851" s="39" t="n">
        <v>184970.83</v>
      </c>
      <c r="F2851" s="22" t="n">
        <f aca="false">IFERROR(D2851*E2851,0)</f>
        <v>184970.83</v>
      </c>
      <c r="G2851" s="16" t="str">
        <f aca="false">INDEX(SETORES!$B:$B,MATCH(A2851,SETORES!$A:$A,0))</f>
        <v>Clientes</v>
      </c>
      <c r="H2851" s="16" t="s">
        <v>259</v>
      </c>
    </row>
    <row r="2852" customFormat="false" ht="14.25" hidden="false" customHeight="false" outlineLevel="0" collapsed="false">
      <c r="A2852" s="16" t="s">
        <v>84</v>
      </c>
      <c r="B2852" s="16" t="s">
        <v>162</v>
      </c>
      <c r="C2852" s="16" t="s">
        <v>217</v>
      </c>
      <c r="D2852" s="38"/>
      <c r="E2852" s="39"/>
      <c r="F2852" s="22" t="n">
        <f aca="false">IFERROR(D2852*E2852,0)</f>
        <v>0</v>
      </c>
      <c r="G2852" s="16" t="str">
        <f aca="false">INDEX(SETORES!$B:$B,MATCH(A2852,SETORES!$A:$A,0))</f>
        <v>Clientes</v>
      </c>
      <c r="H2852" s="16" t="s">
        <v>259</v>
      </c>
    </row>
    <row r="2853" customFormat="false" ht="14.25" hidden="false" customHeight="false" outlineLevel="0" collapsed="false">
      <c r="A2853" s="16" t="s">
        <v>84</v>
      </c>
      <c r="B2853" s="16" t="s">
        <v>162</v>
      </c>
      <c r="C2853" s="16" t="s">
        <v>221</v>
      </c>
      <c r="D2853" s="38"/>
      <c r="E2853" s="39"/>
      <c r="F2853" s="22" t="n">
        <f aca="false">IFERROR(D2853*E2853,0)</f>
        <v>0</v>
      </c>
      <c r="G2853" s="16" t="str">
        <f aca="false">INDEX(SETORES!$B:$B,MATCH(A2853,SETORES!$A:$A,0))</f>
        <v>Clientes</v>
      </c>
      <c r="H2853" s="16" t="s">
        <v>259</v>
      </c>
    </row>
    <row r="2854" customFormat="false" ht="14.25" hidden="false" customHeight="false" outlineLevel="0" collapsed="false">
      <c r="A2854" s="16" t="s">
        <v>82</v>
      </c>
      <c r="B2854" s="16" t="s">
        <v>155</v>
      </c>
      <c r="C2854" s="16" t="s">
        <v>161</v>
      </c>
      <c r="D2854" s="38" t="n">
        <v>1</v>
      </c>
      <c r="E2854" s="39" t="n">
        <v>108616.1</v>
      </c>
      <c r="F2854" s="22" t="n">
        <f aca="false">IFERROR(D2854*E2854,0)</f>
        <v>108616.1</v>
      </c>
      <c r="G2854" s="16" t="str">
        <f aca="false">INDEX(SETORES!$B:$B,MATCH(A2854,SETORES!$A:$A,0))</f>
        <v>Clientes</v>
      </c>
      <c r="H2854" s="16" t="s">
        <v>259</v>
      </c>
    </row>
    <row r="2855" customFormat="false" ht="14.25" hidden="false" customHeight="false" outlineLevel="0" collapsed="false">
      <c r="A2855" s="16" t="s">
        <v>82</v>
      </c>
      <c r="B2855" s="16" t="s">
        <v>162</v>
      </c>
      <c r="C2855" s="16" t="s">
        <v>217</v>
      </c>
      <c r="D2855" s="38"/>
      <c r="E2855" s="39"/>
      <c r="F2855" s="22" t="n">
        <f aca="false">IFERROR(D2855*E2855,0)</f>
        <v>0</v>
      </c>
      <c r="G2855" s="16" t="str">
        <f aca="false">INDEX(SETORES!$B:$B,MATCH(A2855,SETORES!$A:$A,0))</f>
        <v>Clientes</v>
      </c>
      <c r="H2855" s="16" t="s">
        <v>259</v>
      </c>
    </row>
    <row r="2856" customFormat="false" ht="14.25" hidden="false" customHeight="false" outlineLevel="0" collapsed="false">
      <c r="A2856" s="16" t="s">
        <v>82</v>
      </c>
      <c r="B2856" s="16" t="s">
        <v>162</v>
      </c>
      <c r="C2856" s="16" t="s">
        <v>221</v>
      </c>
      <c r="D2856" s="38"/>
      <c r="E2856" s="39"/>
      <c r="F2856" s="22" t="n">
        <f aca="false">IFERROR(D2856*E2856,0)</f>
        <v>0</v>
      </c>
      <c r="G2856" s="16" t="str">
        <f aca="false">INDEX(SETORES!$B:$B,MATCH(A2856,SETORES!$A:$A,0))</f>
        <v>Clientes</v>
      </c>
      <c r="H2856" s="16" t="s">
        <v>259</v>
      </c>
    </row>
    <row r="2857" customFormat="false" ht="14.25" hidden="false" customHeight="false" outlineLevel="0" collapsed="false">
      <c r="A2857" s="16" t="s">
        <v>80</v>
      </c>
      <c r="B2857" s="16" t="s">
        <v>155</v>
      </c>
      <c r="C2857" s="16" t="s">
        <v>161</v>
      </c>
      <c r="D2857" s="38" t="n">
        <v>1</v>
      </c>
      <c r="E2857" s="39" t="n">
        <v>11133.4</v>
      </c>
      <c r="F2857" s="22" t="n">
        <f aca="false">IFERROR(D2857*E2857,0)</f>
        <v>11133.4</v>
      </c>
      <c r="G2857" s="16" t="str">
        <f aca="false">INDEX(SETORES!$B:$B,MATCH(A2857,SETORES!$A:$A,0))</f>
        <v>Clientes</v>
      </c>
      <c r="H2857" s="16" t="s">
        <v>259</v>
      </c>
    </row>
    <row r="2858" customFormat="false" ht="14.25" hidden="false" customHeight="false" outlineLevel="0" collapsed="false">
      <c r="A2858" s="16" t="s">
        <v>80</v>
      </c>
      <c r="B2858" s="16" t="s">
        <v>155</v>
      </c>
      <c r="C2858" s="16" t="s">
        <v>156</v>
      </c>
      <c r="D2858" s="38"/>
      <c r="E2858" s="39"/>
      <c r="F2858" s="22" t="n">
        <f aca="false">IFERROR(D2858*E2858,0)</f>
        <v>0</v>
      </c>
      <c r="G2858" s="16" t="str">
        <f aca="false">INDEX(SETORES!$B:$B,MATCH(A2858,SETORES!$A:$A,0))</f>
        <v>Clientes</v>
      </c>
      <c r="H2858" s="16" t="s">
        <v>259</v>
      </c>
    </row>
    <row r="2859" customFormat="false" ht="14.25" hidden="false" customHeight="false" outlineLevel="0" collapsed="false">
      <c r="A2859" s="16" t="s">
        <v>80</v>
      </c>
      <c r="B2859" s="16" t="s">
        <v>155</v>
      </c>
      <c r="C2859" s="16" t="s">
        <v>157</v>
      </c>
      <c r="D2859" s="38"/>
      <c r="E2859" s="39"/>
      <c r="F2859" s="22" t="n">
        <f aca="false">IFERROR(D2859*E2859,0)</f>
        <v>0</v>
      </c>
      <c r="G2859" s="16" t="str">
        <f aca="false">INDEX(SETORES!$B:$B,MATCH(A2859,SETORES!$A:$A,0))</f>
        <v>Clientes</v>
      </c>
      <c r="H2859" s="16" t="s">
        <v>259</v>
      </c>
    </row>
    <row r="2860" customFormat="false" ht="14.25" hidden="false" customHeight="false" outlineLevel="0" collapsed="false">
      <c r="A2860" s="16" t="s">
        <v>54</v>
      </c>
      <c r="B2860" s="16" t="s">
        <v>155</v>
      </c>
      <c r="C2860" s="16" t="s">
        <v>157</v>
      </c>
      <c r="D2860" s="38"/>
      <c r="E2860" s="39"/>
      <c r="F2860" s="22" t="n">
        <f aca="false">IFERROR(D2860*E2860,0)</f>
        <v>0</v>
      </c>
      <c r="G2860" s="16" t="str">
        <f aca="false">INDEX(SETORES!$B:$B,MATCH(A2860,SETORES!$A:$A,0))</f>
        <v>Clientes</v>
      </c>
      <c r="H2860" s="16" t="s">
        <v>259</v>
      </c>
    </row>
    <row r="2861" customFormat="false" ht="14.25" hidden="false" customHeight="false" outlineLevel="0" collapsed="false">
      <c r="A2861" s="16" t="s">
        <v>81</v>
      </c>
      <c r="B2861" s="16" t="s">
        <v>155</v>
      </c>
      <c r="C2861" s="16" t="s">
        <v>157</v>
      </c>
      <c r="D2861" s="38" t="n">
        <v>1</v>
      </c>
      <c r="E2861" s="39" t="n">
        <v>175.81</v>
      </c>
      <c r="F2861" s="22" t="n">
        <f aca="false">IFERROR(D2861*E2861,0)</f>
        <v>175.81</v>
      </c>
      <c r="G2861" s="16" t="str">
        <f aca="false">INDEX(SETORES!$B:$B,MATCH(A2861,SETORES!$A:$A,0))</f>
        <v>Clientes</v>
      </c>
      <c r="H2861" s="16" t="s">
        <v>259</v>
      </c>
    </row>
    <row r="2862" customFormat="false" ht="14.25" hidden="false" customHeight="false" outlineLevel="0" collapsed="false">
      <c r="A2862" s="16" t="s">
        <v>86</v>
      </c>
      <c r="B2862" s="16" t="s">
        <v>155</v>
      </c>
      <c r="C2862" s="16" t="s">
        <v>167</v>
      </c>
      <c r="D2862" s="38"/>
      <c r="E2862" s="39"/>
      <c r="F2862" s="22" t="n">
        <f aca="false">IFERROR(D2862*E2862,0)</f>
        <v>0</v>
      </c>
      <c r="G2862" s="16" t="str">
        <f aca="false">INDEX(SETORES!$B:$B,MATCH(A2862,SETORES!$A:$A,0))</f>
        <v>Clientes</v>
      </c>
      <c r="H2862" s="16" t="s">
        <v>259</v>
      </c>
    </row>
    <row r="2863" customFormat="false" ht="14.25" hidden="false" customHeight="false" outlineLevel="0" collapsed="false">
      <c r="A2863" s="16" t="s">
        <v>86</v>
      </c>
      <c r="B2863" s="16" t="s">
        <v>155</v>
      </c>
      <c r="C2863" s="16" t="s">
        <v>168</v>
      </c>
      <c r="D2863" s="38" t="n">
        <v>11</v>
      </c>
      <c r="E2863" s="39" t="n">
        <v>1.87</v>
      </c>
      <c r="F2863" s="22" t="n">
        <f aca="false">IFERROR(D2863*E2863,0)</f>
        <v>20.57</v>
      </c>
      <c r="G2863" s="16" t="str">
        <f aca="false">INDEX(SETORES!$B:$B,MATCH(A2863,SETORES!$A:$A,0))</f>
        <v>Clientes</v>
      </c>
      <c r="H2863" s="16" t="s">
        <v>259</v>
      </c>
    </row>
    <row r="2864" customFormat="false" ht="14.25" hidden="false" customHeight="false" outlineLevel="0" collapsed="false">
      <c r="A2864" s="16" t="s">
        <v>86</v>
      </c>
      <c r="B2864" s="16" t="s">
        <v>155</v>
      </c>
      <c r="C2864" s="16" t="s">
        <v>166</v>
      </c>
      <c r="D2864" s="38" t="n">
        <v>11</v>
      </c>
      <c r="E2864" s="39" t="n">
        <v>50</v>
      </c>
      <c r="F2864" s="22" t="n">
        <f aca="false">IFERROR(D2864*E2864,0)</f>
        <v>550</v>
      </c>
      <c r="G2864" s="16" t="str">
        <f aca="false">INDEX(SETORES!$B:$B,MATCH(A2864,SETORES!$A:$A,0))</f>
        <v>Clientes</v>
      </c>
      <c r="H2864" s="16" t="s">
        <v>259</v>
      </c>
    </row>
    <row r="2865" customFormat="false" ht="14.25" hidden="false" customHeight="false" outlineLevel="0" collapsed="false">
      <c r="A2865" s="16" t="s">
        <v>86</v>
      </c>
      <c r="B2865" s="16" t="s">
        <v>155</v>
      </c>
      <c r="C2865" s="16" t="s">
        <v>170</v>
      </c>
      <c r="D2865" s="38"/>
      <c r="E2865" s="39"/>
      <c r="F2865" s="22" t="n">
        <f aca="false">IFERROR(D2865*E2865,0)</f>
        <v>0</v>
      </c>
      <c r="G2865" s="16" t="str">
        <f aca="false">INDEX(SETORES!$B:$B,MATCH(A2865,SETORES!$A:$A,0))</f>
        <v>Clientes</v>
      </c>
      <c r="H2865" s="16" t="s">
        <v>259</v>
      </c>
    </row>
    <row r="2866" customFormat="false" ht="14.25" hidden="false" customHeight="false" outlineLevel="0" collapsed="false">
      <c r="A2866" s="16" t="s">
        <v>86</v>
      </c>
      <c r="B2866" s="16" t="s">
        <v>155</v>
      </c>
      <c r="C2866" s="16" t="s">
        <v>171</v>
      </c>
      <c r="D2866" s="38"/>
      <c r="E2866" s="39"/>
      <c r="F2866" s="22" t="n">
        <f aca="false">IFERROR(D2866*E2866,0)</f>
        <v>0</v>
      </c>
      <c r="G2866" s="16" t="str">
        <f aca="false">INDEX(SETORES!$B:$B,MATCH(A2866,SETORES!$A:$A,0))</f>
        <v>Clientes</v>
      </c>
      <c r="H2866" s="16" t="s">
        <v>259</v>
      </c>
    </row>
    <row r="2867" customFormat="false" ht="14.25" hidden="false" customHeight="false" outlineLevel="0" collapsed="false">
      <c r="A2867" s="16" t="s">
        <v>86</v>
      </c>
      <c r="B2867" s="16" t="s">
        <v>155</v>
      </c>
      <c r="C2867" s="16" t="s">
        <v>169</v>
      </c>
      <c r="D2867" s="38"/>
      <c r="E2867" s="39"/>
      <c r="F2867" s="22" t="n">
        <f aca="false">IFERROR(D2867*E2867,0)</f>
        <v>0</v>
      </c>
      <c r="G2867" s="16" t="str">
        <f aca="false">INDEX(SETORES!$B:$B,MATCH(A2867,SETORES!$A:$A,0))</f>
        <v>Clientes</v>
      </c>
      <c r="H2867" s="16" t="s">
        <v>259</v>
      </c>
    </row>
    <row r="2868" customFormat="false" ht="14.25" hidden="false" customHeight="false" outlineLevel="0" collapsed="false">
      <c r="A2868" s="16" t="s">
        <v>83</v>
      </c>
      <c r="B2868" s="16" t="s">
        <v>155</v>
      </c>
      <c r="C2868" s="16" t="s">
        <v>167</v>
      </c>
      <c r="D2868" s="38"/>
      <c r="E2868" s="39"/>
      <c r="F2868" s="22" t="n">
        <f aca="false">IFERROR(D2868*E2868,0)</f>
        <v>0</v>
      </c>
      <c r="G2868" s="16" t="str">
        <f aca="false">INDEX(SETORES!$B:$B,MATCH(A2868,SETORES!$A:$A,0))</f>
        <v>Clientes</v>
      </c>
      <c r="H2868" s="16" t="s">
        <v>259</v>
      </c>
    </row>
    <row r="2869" customFormat="false" ht="14.25" hidden="false" customHeight="false" outlineLevel="0" collapsed="false">
      <c r="A2869" s="16" t="s">
        <v>83</v>
      </c>
      <c r="B2869" s="16" t="s">
        <v>155</v>
      </c>
      <c r="C2869" s="16" t="s">
        <v>168</v>
      </c>
      <c r="D2869" s="38" t="n">
        <v>2</v>
      </c>
      <c r="E2869" s="39" t="n">
        <v>1.87</v>
      </c>
      <c r="F2869" s="22" t="n">
        <f aca="false">IFERROR(D2869*E2869,0)</f>
        <v>3.74</v>
      </c>
      <c r="G2869" s="16" t="str">
        <f aca="false">INDEX(SETORES!$B:$B,MATCH(A2869,SETORES!$A:$A,0))</f>
        <v>Clientes</v>
      </c>
      <c r="H2869" s="16" t="s">
        <v>259</v>
      </c>
    </row>
    <row r="2870" customFormat="false" ht="14.25" hidden="false" customHeight="false" outlineLevel="0" collapsed="false">
      <c r="A2870" s="16" t="s">
        <v>83</v>
      </c>
      <c r="B2870" s="16" t="s">
        <v>155</v>
      </c>
      <c r="C2870" s="16" t="s">
        <v>166</v>
      </c>
      <c r="D2870" s="38" t="n">
        <v>2</v>
      </c>
      <c r="E2870" s="39" t="n">
        <v>50</v>
      </c>
      <c r="F2870" s="22" t="n">
        <f aca="false">IFERROR(D2870*E2870,0)</f>
        <v>100</v>
      </c>
      <c r="G2870" s="16" t="str">
        <f aca="false">INDEX(SETORES!$B:$B,MATCH(A2870,SETORES!$A:$A,0))</f>
        <v>Clientes</v>
      </c>
      <c r="H2870" s="16" t="s">
        <v>259</v>
      </c>
    </row>
    <row r="2871" customFormat="false" ht="14.25" hidden="false" customHeight="false" outlineLevel="0" collapsed="false">
      <c r="A2871" s="16" t="s">
        <v>83</v>
      </c>
      <c r="B2871" s="16" t="s">
        <v>155</v>
      </c>
      <c r="C2871" s="16" t="s">
        <v>170</v>
      </c>
      <c r="D2871" s="38"/>
      <c r="E2871" s="39"/>
      <c r="F2871" s="22" t="n">
        <f aca="false">IFERROR(D2871*E2871,0)</f>
        <v>0</v>
      </c>
      <c r="G2871" s="16" t="str">
        <f aca="false">INDEX(SETORES!$B:$B,MATCH(A2871,SETORES!$A:$A,0))</f>
        <v>Clientes</v>
      </c>
      <c r="H2871" s="16" t="s">
        <v>259</v>
      </c>
    </row>
    <row r="2872" customFormat="false" ht="14.25" hidden="false" customHeight="false" outlineLevel="0" collapsed="false">
      <c r="A2872" s="16" t="s">
        <v>83</v>
      </c>
      <c r="B2872" s="16" t="s">
        <v>155</v>
      </c>
      <c r="C2872" s="16" t="s">
        <v>171</v>
      </c>
      <c r="D2872" s="38"/>
      <c r="E2872" s="39"/>
      <c r="F2872" s="22" t="n">
        <f aca="false">IFERROR(D2872*E2872,0)</f>
        <v>0</v>
      </c>
      <c r="G2872" s="16" t="str">
        <f aca="false">INDEX(SETORES!$B:$B,MATCH(A2872,SETORES!$A:$A,0))</f>
        <v>Clientes</v>
      </c>
      <c r="H2872" s="16" t="s">
        <v>259</v>
      </c>
    </row>
    <row r="2873" customFormat="false" ht="14.25" hidden="false" customHeight="false" outlineLevel="0" collapsed="false">
      <c r="A2873" s="16" t="s">
        <v>83</v>
      </c>
      <c r="B2873" s="16" t="s">
        <v>155</v>
      </c>
      <c r="C2873" s="16" t="s">
        <v>169</v>
      </c>
      <c r="D2873" s="38"/>
      <c r="E2873" s="39"/>
      <c r="F2873" s="22" t="n">
        <f aca="false">IFERROR(D2873*E2873,0)</f>
        <v>0</v>
      </c>
      <c r="G2873" s="16" t="str">
        <f aca="false">INDEX(SETORES!$B:$B,MATCH(A2873,SETORES!$A:$A,0))</f>
        <v>Clientes</v>
      </c>
      <c r="H2873" s="16" t="s">
        <v>259</v>
      </c>
    </row>
    <row r="2874" customFormat="false" ht="14.25" hidden="false" customHeight="false" outlineLevel="0" collapsed="false">
      <c r="A2874" s="16" t="s">
        <v>85</v>
      </c>
      <c r="B2874" s="16" t="s">
        <v>155</v>
      </c>
      <c r="C2874" s="16" t="s">
        <v>167</v>
      </c>
      <c r="D2874" s="38"/>
      <c r="E2874" s="39"/>
      <c r="F2874" s="22" t="n">
        <f aca="false">IFERROR(D2874*E2874,0)</f>
        <v>0</v>
      </c>
      <c r="G2874" s="16" t="str">
        <f aca="false">INDEX(SETORES!$B:$B,MATCH(A2874,SETORES!$A:$A,0))</f>
        <v>Clientes</v>
      </c>
      <c r="H2874" s="16" t="s">
        <v>259</v>
      </c>
    </row>
    <row r="2875" customFormat="false" ht="14.25" hidden="false" customHeight="false" outlineLevel="0" collapsed="false">
      <c r="A2875" s="16" t="s">
        <v>85</v>
      </c>
      <c r="B2875" s="16" t="s">
        <v>155</v>
      </c>
      <c r="C2875" s="16" t="s">
        <v>168</v>
      </c>
      <c r="D2875" s="38" t="n">
        <v>17</v>
      </c>
      <c r="E2875" s="39" t="n">
        <v>1.87</v>
      </c>
      <c r="F2875" s="22" t="n">
        <f aca="false">IFERROR(D2875*E2875,0)</f>
        <v>31.79</v>
      </c>
      <c r="G2875" s="16" t="str">
        <f aca="false">INDEX(SETORES!$B:$B,MATCH(A2875,SETORES!$A:$A,0))</f>
        <v>Clientes</v>
      </c>
      <c r="H2875" s="16" t="s">
        <v>259</v>
      </c>
    </row>
    <row r="2876" customFormat="false" ht="14.25" hidden="false" customHeight="false" outlineLevel="0" collapsed="false">
      <c r="A2876" s="16" t="s">
        <v>85</v>
      </c>
      <c r="B2876" s="16" t="s">
        <v>155</v>
      </c>
      <c r="C2876" s="16" t="s">
        <v>166</v>
      </c>
      <c r="D2876" s="38" t="n">
        <v>17</v>
      </c>
      <c r="E2876" s="39" t="n">
        <v>50</v>
      </c>
      <c r="F2876" s="22" t="n">
        <f aca="false">IFERROR(D2876*E2876,0)</f>
        <v>850</v>
      </c>
      <c r="G2876" s="16" t="str">
        <f aca="false">INDEX(SETORES!$B:$B,MATCH(A2876,SETORES!$A:$A,0))</f>
        <v>Clientes</v>
      </c>
      <c r="H2876" s="16" t="s">
        <v>259</v>
      </c>
    </row>
    <row r="2877" customFormat="false" ht="14.25" hidden="false" customHeight="false" outlineLevel="0" collapsed="false">
      <c r="A2877" s="16" t="s">
        <v>85</v>
      </c>
      <c r="B2877" s="16" t="s">
        <v>155</v>
      </c>
      <c r="C2877" s="16" t="s">
        <v>170</v>
      </c>
      <c r="D2877" s="38"/>
      <c r="E2877" s="39"/>
      <c r="F2877" s="22" t="n">
        <f aca="false">IFERROR(D2877*E2877,0)</f>
        <v>0</v>
      </c>
      <c r="G2877" s="16" t="str">
        <f aca="false">INDEX(SETORES!$B:$B,MATCH(A2877,SETORES!$A:$A,0))</f>
        <v>Clientes</v>
      </c>
      <c r="H2877" s="16" t="s">
        <v>259</v>
      </c>
    </row>
    <row r="2878" customFormat="false" ht="14.25" hidden="false" customHeight="false" outlineLevel="0" collapsed="false">
      <c r="A2878" s="16" t="s">
        <v>85</v>
      </c>
      <c r="B2878" s="16" t="s">
        <v>155</v>
      </c>
      <c r="C2878" s="16" t="s">
        <v>171</v>
      </c>
      <c r="D2878" s="38"/>
      <c r="E2878" s="39"/>
      <c r="F2878" s="22" t="n">
        <f aca="false">IFERROR(D2878*E2878,0)</f>
        <v>0</v>
      </c>
      <c r="G2878" s="16" t="str">
        <f aca="false">INDEX(SETORES!$B:$B,MATCH(A2878,SETORES!$A:$A,0))</f>
        <v>Clientes</v>
      </c>
      <c r="H2878" s="16" t="s">
        <v>259</v>
      </c>
    </row>
    <row r="2879" customFormat="false" ht="14.25" hidden="false" customHeight="false" outlineLevel="0" collapsed="false">
      <c r="A2879" s="16" t="s">
        <v>85</v>
      </c>
      <c r="B2879" s="16" t="s">
        <v>155</v>
      </c>
      <c r="C2879" s="16" t="s">
        <v>169</v>
      </c>
      <c r="D2879" s="38"/>
      <c r="E2879" s="39"/>
      <c r="F2879" s="22" t="n">
        <f aca="false">IFERROR(D2879*E2879,0)</f>
        <v>0</v>
      </c>
      <c r="G2879" s="16" t="str">
        <f aca="false">INDEX(SETORES!$B:$B,MATCH(A2879,SETORES!$A:$A,0))</f>
        <v>Clientes</v>
      </c>
      <c r="H2879" s="16" t="s">
        <v>259</v>
      </c>
    </row>
    <row r="2880" customFormat="false" ht="14.25" hidden="false" customHeight="false" outlineLevel="0" collapsed="false">
      <c r="A2880" s="16" t="s">
        <v>87</v>
      </c>
      <c r="B2880" s="16" t="s">
        <v>155</v>
      </c>
      <c r="C2880" s="16" t="s">
        <v>167</v>
      </c>
      <c r="D2880" s="38"/>
      <c r="E2880" s="39"/>
      <c r="F2880" s="22" t="n">
        <f aca="false">IFERROR(D2880*E2880,0)</f>
        <v>0</v>
      </c>
      <c r="G2880" s="16" t="str">
        <f aca="false">INDEX(SETORES!$B:$B,MATCH(A2880,SETORES!$A:$A,0))</f>
        <v>Clientes</v>
      </c>
      <c r="H2880" s="16" t="s">
        <v>259</v>
      </c>
    </row>
    <row r="2881" customFormat="false" ht="14.25" hidden="false" customHeight="false" outlineLevel="0" collapsed="false">
      <c r="A2881" s="16" t="s">
        <v>87</v>
      </c>
      <c r="B2881" s="16" t="s">
        <v>155</v>
      </c>
      <c r="C2881" s="16" t="s">
        <v>168</v>
      </c>
      <c r="D2881" s="38" t="n">
        <v>7</v>
      </c>
      <c r="E2881" s="39" t="n">
        <v>1.87</v>
      </c>
      <c r="F2881" s="22" t="n">
        <f aca="false">IFERROR(D2881*E2881,0)</f>
        <v>13.09</v>
      </c>
      <c r="G2881" s="16" t="str">
        <f aca="false">INDEX(SETORES!$B:$B,MATCH(A2881,SETORES!$A:$A,0))</f>
        <v>Clientes</v>
      </c>
      <c r="H2881" s="16" t="s">
        <v>259</v>
      </c>
    </row>
    <row r="2882" customFormat="false" ht="14.25" hidden="false" customHeight="false" outlineLevel="0" collapsed="false">
      <c r="A2882" s="16" t="s">
        <v>87</v>
      </c>
      <c r="B2882" s="16" t="s">
        <v>155</v>
      </c>
      <c r="C2882" s="16" t="s">
        <v>166</v>
      </c>
      <c r="D2882" s="38" t="n">
        <v>7</v>
      </c>
      <c r="E2882" s="39" t="n">
        <v>50</v>
      </c>
      <c r="F2882" s="22" t="n">
        <f aca="false">IFERROR(D2882*E2882,0)</f>
        <v>350</v>
      </c>
      <c r="G2882" s="16" t="str">
        <f aca="false">INDEX(SETORES!$B:$B,MATCH(A2882,SETORES!$A:$A,0))</f>
        <v>Clientes</v>
      </c>
      <c r="H2882" s="16" t="s">
        <v>259</v>
      </c>
    </row>
    <row r="2883" customFormat="false" ht="14.25" hidden="false" customHeight="false" outlineLevel="0" collapsed="false">
      <c r="A2883" s="16" t="s">
        <v>87</v>
      </c>
      <c r="B2883" s="16" t="s">
        <v>155</v>
      </c>
      <c r="C2883" s="16" t="s">
        <v>170</v>
      </c>
      <c r="D2883" s="38"/>
      <c r="E2883" s="39"/>
      <c r="F2883" s="22" t="n">
        <f aca="false">IFERROR(D2883*E2883,0)</f>
        <v>0</v>
      </c>
      <c r="G2883" s="16" t="str">
        <f aca="false">INDEX(SETORES!$B:$B,MATCH(A2883,SETORES!$A:$A,0))</f>
        <v>Clientes</v>
      </c>
      <c r="H2883" s="16" t="s">
        <v>259</v>
      </c>
    </row>
    <row r="2884" customFormat="false" ht="14.25" hidden="false" customHeight="false" outlineLevel="0" collapsed="false">
      <c r="A2884" s="16" t="s">
        <v>87</v>
      </c>
      <c r="B2884" s="16" t="s">
        <v>155</v>
      </c>
      <c r="C2884" s="16" t="s">
        <v>171</v>
      </c>
      <c r="D2884" s="38"/>
      <c r="E2884" s="39"/>
      <c r="F2884" s="22" t="n">
        <f aca="false">IFERROR(D2884*E2884,0)</f>
        <v>0</v>
      </c>
      <c r="G2884" s="16" t="str">
        <f aca="false">INDEX(SETORES!$B:$B,MATCH(A2884,SETORES!$A:$A,0))</f>
        <v>Clientes</v>
      </c>
      <c r="H2884" s="16" t="s">
        <v>259</v>
      </c>
    </row>
    <row r="2885" customFormat="false" ht="14.25" hidden="false" customHeight="false" outlineLevel="0" collapsed="false">
      <c r="A2885" s="16" t="s">
        <v>87</v>
      </c>
      <c r="B2885" s="16" t="s">
        <v>155</v>
      </c>
      <c r="C2885" s="16" t="s">
        <v>169</v>
      </c>
      <c r="D2885" s="38"/>
      <c r="E2885" s="39"/>
      <c r="F2885" s="22" t="n">
        <f aca="false">IFERROR(D2885*E2885,0)</f>
        <v>0</v>
      </c>
      <c r="G2885" s="16" t="str">
        <f aca="false">INDEX(SETORES!$B:$B,MATCH(A2885,SETORES!$A:$A,0))</f>
        <v>Clientes</v>
      </c>
      <c r="H2885" s="16" t="s">
        <v>259</v>
      </c>
    </row>
    <row r="2886" customFormat="false" ht="14.25" hidden="false" customHeight="false" outlineLevel="0" collapsed="false">
      <c r="A2886" s="16" t="s">
        <v>78</v>
      </c>
      <c r="B2886" s="16" t="s">
        <v>155</v>
      </c>
      <c r="C2886" s="16" t="s">
        <v>167</v>
      </c>
      <c r="D2886" s="38"/>
      <c r="E2886" s="39"/>
      <c r="F2886" s="22" t="n">
        <f aca="false">IFERROR(D2886*E2886,0)</f>
        <v>0</v>
      </c>
      <c r="G2886" s="16" t="str">
        <f aca="false">INDEX(SETORES!$B:$B,MATCH(A2886,SETORES!$A:$A,0))</f>
        <v>Clientes</v>
      </c>
      <c r="H2886" s="16" t="s">
        <v>259</v>
      </c>
    </row>
    <row r="2887" customFormat="false" ht="14.25" hidden="false" customHeight="false" outlineLevel="0" collapsed="false">
      <c r="A2887" s="16" t="s">
        <v>78</v>
      </c>
      <c r="B2887" s="16" t="s">
        <v>155</v>
      </c>
      <c r="C2887" s="16" t="s">
        <v>168</v>
      </c>
      <c r="D2887" s="38" t="n">
        <v>11</v>
      </c>
      <c r="E2887" s="39" t="n">
        <v>1.87</v>
      </c>
      <c r="F2887" s="22" t="n">
        <f aca="false">IFERROR(D2887*E2887,0)</f>
        <v>20.57</v>
      </c>
      <c r="G2887" s="16" t="str">
        <f aca="false">INDEX(SETORES!$B:$B,MATCH(A2887,SETORES!$A:$A,0))</f>
        <v>Clientes</v>
      </c>
      <c r="H2887" s="16" t="s">
        <v>259</v>
      </c>
    </row>
    <row r="2888" customFormat="false" ht="14.25" hidden="false" customHeight="false" outlineLevel="0" collapsed="false">
      <c r="A2888" s="16" t="s">
        <v>78</v>
      </c>
      <c r="B2888" s="16" t="s">
        <v>155</v>
      </c>
      <c r="C2888" s="16" t="s">
        <v>166</v>
      </c>
      <c r="D2888" s="38" t="n">
        <v>11</v>
      </c>
      <c r="E2888" s="39" t="n">
        <v>50</v>
      </c>
      <c r="F2888" s="22" t="n">
        <f aca="false">IFERROR(D2888*E2888,0)</f>
        <v>550</v>
      </c>
      <c r="G2888" s="16" t="str">
        <f aca="false">INDEX(SETORES!$B:$B,MATCH(A2888,SETORES!$A:$A,0))</f>
        <v>Clientes</v>
      </c>
      <c r="H2888" s="16" t="s">
        <v>259</v>
      </c>
    </row>
    <row r="2889" customFormat="false" ht="14.25" hidden="false" customHeight="false" outlineLevel="0" collapsed="false">
      <c r="A2889" s="16" t="s">
        <v>78</v>
      </c>
      <c r="B2889" s="16" t="s">
        <v>155</v>
      </c>
      <c r="C2889" s="16" t="s">
        <v>170</v>
      </c>
      <c r="D2889" s="38"/>
      <c r="E2889" s="39"/>
      <c r="F2889" s="22" t="n">
        <f aca="false">IFERROR(D2889*E2889,0)</f>
        <v>0</v>
      </c>
      <c r="G2889" s="16" t="str">
        <f aca="false">INDEX(SETORES!$B:$B,MATCH(A2889,SETORES!$A:$A,0))</f>
        <v>Clientes</v>
      </c>
      <c r="H2889" s="16" t="s">
        <v>259</v>
      </c>
    </row>
    <row r="2890" customFormat="false" ht="14.25" hidden="false" customHeight="false" outlineLevel="0" collapsed="false">
      <c r="A2890" s="16" t="s">
        <v>78</v>
      </c>
      <c r="B2890" s="16" t="s">
        <v>155</v>
      </c>
      <c r="C2890" s="16" t="s">
        <v>171</v>
      </c>
      <c r="D2890" s="38"/>
      <c r="E2890" s="39"/>
      <c r="F2890" s="22" t="n">
        <f aca="false">IFERROR(D2890*E2890,0)</f>
        <v>0</v>
      </c>
      <c r="G2890" s="16" t="str">
        <f aca="false">INDEX(SETORES!$B:$B,MATCH(A2890,SETORES!$A:$A,0))</f>
        <v>Clientes</v>
      </c>
      <c r="H2890" s="16" t="s">
        <v>259</v>
      </c>
    </row>
    <row r="2891" customFormat="false" ht="14.25" hidden="false" customHeight="false" outlineLevel="0" collapsed="false">
      <c r="A2891" s="16" t="s">
        <v>78</v>
      </c>
      <c r="B2891" s="16" t="s">
        <v>155</v>
      </c>
      <c r="C2891" s="16" t="s">
        <v>169</v>
      </c>
      <c r="D2891" s="38"/>
      <c r="E2891" s="39"/>
      <c r="F2891" s="22" t="n">
        <f aca="false">IFERROR(D2891*E2891,0)</f>
        <v>0</v>
      </c>
      <c r="G2891" s="16" t="str">
        <f aca="false">INDEX(SETORES!$B:$B,MATCH(A2891,SETORES!$A:$A,0))</f>
        <v>Clientes</v>
      </c>
      <c r="H2891" s="16" t="s">
        <v>259</v>
      </c>
    </row>
    <row r="2892" customFormat="false" ht="14.25" hidden="false" customHeight="false" outlineLevel="0" collapsed="false">
      <c r="A2892" s="16" t="s">
        <v>81</v>
      </c>
      <c r="B2892" s="16" t="s">
        <v>155</v>
      </c>
      <c r="C2892" s="16" t="s">
        <v>167</v>
      </c>
      <c r="D2892" s="38"/>
      <c r="E2892" s="39"/>
      <c r="F2892" s="22" t="n">
        <f aca="false">IFERROR(D2892*E2892,0)</f>
        <v>0</v>
      </c>
      <c r="G2892" s="16" t="str">
        <f aca="false">INDEX(SETORES!$B:$B,MATCH(A2892,SETORES!$A:$A,0))</f>
        <v>Clientes</v>
      </c>
      <c r="H2892" s="16" t="s">
        <v>259</v>
      </c>
    </row>
    <row r="2893" customFormat="false" ht="14.25" hidden="false" customHeight="false" outlineLevel="0" collapsed="false">
      <c r="A2893" s="16" t="s">
        <v>81</v>
      </c>
      <c r="B2893" s="16" t="s">
        <v>155</v>
      </c>
      <c r="C2893" s="16" t="s">
        <v>168</v>
      </c>
      <c r="D2893" s="38" t="n">
        <v>3</v>
      </c>
      <c r="E2893" s="39" t="n">
        <v>1.87</v>
      </c>
      <c r="F2893" s="22" t="n">
        <f aca="false">IFERROR(D2893*E2893,0)</f>
        <v>5.61</v>
      </c>
      <c r="G2893" s="16" t="str">
        <f aca="false">INDEX(SETORES!$B:$B,MATCH(A2893,SETORES!$A:$A,0))</f>
        <v>Clientes</v>
      </c>
      <c r="H2893" s="16" t="s">
        <v>259</v>
      </c>
    </row>
    <row r="2894" customFormat="false" ht="14.25" hidden="false" customHeight="false" outlineLevel="0" collapsed="false">
      <c r="A2894" s="16" t="s">
        <v>81</v>
      </c>
      <c r="B2894" s="16" t="s">
        <v>155</v>
      </c>
      <c r="C2894" s="16" t="s">
        <v>166</v>
      </c>
      <c r="D2894" s="38" t="n">
        <v>3</v>
      </c>
      <c r="E2894" s="39" t="n">
        <v>50</v>
      </c>
      <c r="F2894" s="22" t="n">
        <f aca="false">IFERROR(D2894*E2894,0)</f>
        <v>150</v>
      </c>
      <c r="G2894" s="16" t="str">
        <f aca="false">INDEX(SETORES!$B:$B,MATCH(A2894,SETORES!$A:$A,0))</f>
        <v>Clientes</v>
      </c>
      <c r="H2894" s="16" t="s">
        <v>259</v>
      </c>
    </row>
    <row r="2895" customFormat="false" ht="14.25" hidden="false" customHeight="false" outlineLevel="0" collapsed="false">
      <c r="A2895" s="16" t="s">
        <v>81</v>
      </c>
      <c r="B2895" s="16" t="s">
        <v>155</v>
      </c>
      <c r="C2895" s="16" t="s">
        <v>170</v>
      </c>
      <c r="D2895" s="38"/>
      <c r="E2895" s="39"/>
      <c r="F2895" s="22" t="n">
        <f aca="false">IFERROR(D2895*E2895,0)</f>
        <v>0</v>
      </c>
      <c r="G2895" s="16" t="str">
        <f aca="false">INDEX(SETORES!$B:$B,MATCH(A2895,SETORES!$A:$A,0))</f>
        <v>Clientes</v>
      </c>
      <c r="H2895" s="16" t="s">
        <v>259</v>
      </c>
    </row>
    <row r="2896" customFormat="false" ht="14.25" hidden="false" customHeight="false" outlineLevel="0" collapsed="false">
      <c r="A2896" s="16" t="s">
        <v>81</v>
      </c>
      <c r="B2896" s="16" t="s">
        <v>155</v>
      </c>
      <c r="C2896" s="16" t="s">
        <v>171</v>
      </c>
      <c r="D2896" s="38"/>
      <c r="E2896" s="39"/>
      <c r="F2896" s="22" t="n">
        <f aca="false">IFERROR(D2896*E2896,0)</f>
        <v>0</v>
      </c>
      <c r="G2896" s="16" t="str">
        <f aca="false">INDEX(SETORES!$B:$B,MATCH(A2896,SETORES!$A:$A,0))</f>
        <v>Clientes</v>
      </c>
      <c r="H2896" s="16" t="s">
        <v>259</v>
      </c>
    </row>
    <row r="2897" customFormat="false" ht="14.25" hidden="false" customHeight="false" outlineLevel="0" collapsed="false">
      <c r="A2897" s="16" t="s">
        <v>81</v>
      </c>
      <c r="B2897" s="16" t="s">
        <v>155</v>
      </c>
      <c r="C2897" s="16" t="s">
        <v>169</v>
      </c>
      <c r="D2897" s="38"/>
      <c r="E2897" s="39"/>
      <c r="F2897" s="22" t="n">
        <f aca="false">IFERROR(D2897*E2897,0)</f>
        <v>0</v>
      </c>
      <c r="G2897" s="16" t="str">
        <f aca="false">INDEX(SETORES!$B:$B,MATCH(A2897,SETORES!$A:$A,0))</f>
        <v>Clientes</v>
      </c>
      <c r="H2897" s="16" t="s">
        <v>259</v>
      </c>
    </row>
    <row r="2898" customFormat="false" ht="14.25" hidden="false" customHeight="false" outlineLevel="0" collapsed="false">
      <c r="A2898" s="16" t="s">
        <v>84</v>
      </c>
      <c r="B2898" s="16" t="s">
        <v>155</v>
      </c>
      <c r="C2898" s="16" t="s">
        <v>167</v>
      </c>
      <c r="D2898" s="38"/>
      <c r="E2898" s="39"/>
      <c r="F2898" s="22" t="n">
        <f aca="false">IFERROR(D2898*E2898,0)</f>
        <v>0</v>
      </c>
      <c r="G2898" s="16" t="str">
        <f aca="false">INDEX(SETORES!$B:$B,MATCH(A2898,SETORES!$A:$A,0))</f>
        <v>Clientes</v>
      </c>
      <c r="H2898" s="16" t="s">
        <v>259</v>
      </c>
    </row>
    <row r="2899" customFormat="false" ht="14.25" hidden="false" customHeight="false" outlineLevel="0" collapsed="false">
      <c r="A2899" s="16" t="s">
        <v>84</v>
      </c>
      <c r="B2899" s="16" t="s">
        <v>155</v>
      </c>
      <c r="C2899" s="16" t="s">
        <v>168</v>
      </c>
      <c r="D2899" s="38" t="n">
        <v>24</v>
      </c>
      <c r="E2899" s="39" t="n">
        <v>1.87</v>
      </c>
      <c r="F2899" s="22" t="n">
        <f aca="false">IFERROR(D2899*E2899,0)</f>
        <v>44.88</v>
      </c>
      <c r="G2899" s="16" t="str">
        <f aca="false">INDEX(SETORES!$B:$B,MATCH(A2899,SETORES!$A:$A,0))</f>
        <v>Clientes</v>
      </c>
      <c r="H2899" s="16" t="s">
        <v>259</v>
      </c>
    </row>
    <row r="2900" customFormat="false" ht="14.25" hidden="false" customHeight="false" outlineLevel="0" collapsed="false">
      <c r="A2900" s="16" t="s">
        <v>84</v>
      </c>
      <c r="B2900" s="16" t="s">
        <v>155</v>
      </c>
      <c r="C2900" s="16" t="s">
        <v>166</v>
      </c>
      <c r="D2900" s="38" t="n">
        <v>24</v>
      </c>
      <c r="E2900" s="39" t="n">
        <v>50</v>
      </c>
      <c r="F2900" s="22" t="n">
        <f aca="false">IFERROR(D2900*E2900,0)</f>
        <v>1200</v>
      </c>
      <c r="G2900" s="16" t="str">
        <f aca="false">INDEX(SETORES!$B:$B,MATCH(A2900,SETORES!$A:$A,0))</f>
        <v>Clientes</v>
      </c>
      <c r="H2900" s="16" t="s">
        <v>259</v>
      </c>
    </row>
    <row r="2901" customFormat="false" ht="14.25" hidden="false" customHeight="false" outlineLevel="0" collapsed="false">
      <c r="A2901" s="16" t="s">
        <v>84</v>
      </c>
      <c r="B2901" s="16" t="s">
        <v>155</v>
      </c>
      <c r="C2901" s="16" t="s">
        <v>170</v>
      </c>
      <c r="D2901" s="38"/>
      <c r="E2901" s="39"/>
      <c r="F2901" s="22" t="n">
        <f aca="false">IFERROR(D2901*E2901,0)</f>
        <v>0</v>
      </c>
      <c r="G2901" s="16" t="str">
        <f aca="false">INDEX(SETORES!$B:$B,MATCH(A2901,SETORES!$A:$A,0))</f>
        <v>Clientes</v>
      </c>
      <c r="H2901" s="16" t="s">
        <v>259</v>
      </c>
    </row>
    <row r="2902" customFormat="false" ht="14.25" hidden="false" customHeight="false" outlineLevel="0" collapsed="false">
      <c r="A2902" s="16" t="s">
        <v>84</v>
      </c>
      <c r="B2902" s="16" t="s">
        <v>155</v>
      </c>
      <c r="C2902" s="16" t="s">
        <v>171</v>
      </c>
      <c r="D2902" s="38"/>
      <c r="E2902" s="39"/>
      <c r="F2902" s="22" t="n">
        <f aca="false">IFERROR(D2902*E2902,0)</f>
        <v>0</v>
      </c>
      <c r="G2902" s="16" t="str">
        <f aca="false">INDEX(SETORES!$B:$B,MATCH(A2902,SETORES!$A:$A,0))</f>
        <v>Clientes</v>
      </c>
      <c r="H2902" s="16" t="s">
        <v>259</v>
      </c>
    </row>
    <row r="2903" customFormat="false" ht="14.25" hidden="false" customHeight="false" outlineLevel="0" collapsed="false">
      <c r="A2903" s="16" t="s">
        <v>84</v>
      </c>
      <c r="B2903" s="16" t="s">
        <v>155</v>
      </c>
      <c r="C2903" s="16" t="s">
        <v>169</v>
      </c>
      <c r="D2903" s="38"/>
      <c r="E2903" s="39"/>
      <c r="F2903" s="22" t="n">
        <f aca="false">IFERROR(D2903*E2903,0)</f>
        <v>0</v>
      </c>
      <c r="G2903" s="16" t="str">
        <f aca="false">INDEX(SETORES!$B:$B,MATCH(A2903,SETORES!$A:$A,0))</f>
        <v>Clientes</v>
      </c>
      <c r="H2903" s="16" t="s">
        <v>259</v>
      </c>
    </row>
    <row r="2904" customFormat="false" ht="14.25" hidden="false" customHeight="false" outlineLevel="0" collapsed="false">
      <c r="A2904" s="16" t="s">
        <v>82</v>
      </c>
      <c r="B2904" s="16" t="s">
        <v>155</v>
      </c>
      <c r="C2904" s="16" t="s">
        <v>167</v>
      </c>
      <c r="D2904" s="38"/>
      <c r="E2904" s="39"/>
      <c r="F2904" s="22" t="n">
        <f aca="false">IFERROR(D2904*E2904,0)</f>
        <v>0</v>
      </c>
      <c r="G2904" s="16" t="str">
        <f aca="false">INDEX(SETORES!$B:$B,MATCH(A2904,SETORES!$A:$A,0))</f>
        <v>Clientes</v>
      </c>
      <c r="H2904" s="16" t="s">
        <v>259</v>
      </c>
    </row>
    <row r="2905" customFormat="false" ht="14.25" hidden="false" customHeight="false" outlineLevel="0" collapsed="false">
      <c r="A2905" s="16" t="s">
        <v>82</v>
      </c>
      <c r="B2905" s="16" t="s">
        <v>155</v>
      </c>
      <c r="C2905" s="16" t="s">
        <v>168</v>
      </c>
      <c r="D2905" s="38" t="n">
        <v>10</v>
      </c>
      <c r="E2905" s="39" t="n">
        <v>1.87</v>
      </c>
      <c r="F2905" s="22" t="n">
        <f aca="false">IFERROR(D2905*E2905,0)</f>
        <v>18.7</v>
      </c>
      <c r="G2905" s="16" t="str">
        <f aca="false">INDEX(SETORES!$B:$B,MATCH(A2905,SETORES!$A:$A,0))</f>
        <v>Clientes</v>
      </c>
      <c r="H2905" s="16" t="s">
        <v>259</v>
      </c>
    </row>
    <row r="2906" customFormat="false" ht="14.25" hidden="false" customHeight="false" outlineLevel="0" collapsed="false">
      <c r="A2906" s="16" t="s">
        <v>82</v>
      </c>
      <c r="B2906" s="16" t="s">
        <v>155</v>
      </c>
      <c r="C2906" s="16" t="s">
        <v>166</v>
      </c>
      <c r="D2906" s="38" t="n">
        <v>10</v>
      </c>
      <c r="E2906" s="39" t="n">
        <v>50</v>
      </c>
      <c r="F2906" s="22" t="n">
        <f aca="false">IFERROR(D2906*E2906,0)</f>
        <v>500</v>
      </c>
      <c r="G2906" s="16" t="str">
        <f aca="false">INDEX(SETORES!$B:$B,MATCH(A2906,SETORES!$A:$A,0))</f>
        <v>Clientes</v>
      </c>
      <c r="H2906" s="16" t="s">
        <v>259</v>
      </c>
    </row>
    <row r="2907" customFormat="false" ht="14.25" hidden="false" customHeight="false" outlineLevel="0" collapsed="false">
      <c r="A2907" s="16" t="s">
        <v>82</v>
      </c>
      <c r="B2907" s="16" t="s">
        <v>155</v>
      </c>
      <c r="C2907" s="16" t="s">
        <v>170</v>
      </c>
      <c r="D2907" s="38"/>
      <c r="E2907" s="39"/>
      <c r="F2907" s="22" t="n">
        <f aca="false">IFERROR(D2907*E2907,0)</f>
        <v>0</v>
      </c>
      <c r="G2907" s="16" t="str">
        <f aca="false">INDEX(SETORES!$B:$B,MATCH(A2907,SETORES!$A:$A,0))</f>
        <v>Clientes</v>
      </c>
      <c r="H2907" s="16" t="s">
        <v>259</v>
      </c>
    </row>
    <row r="2908" customFormat="false" ht="14.25" hidden="false" customHeight="false" outlineLevel="0" collapsed="false">
      <c r="A2908" s="16" t="s">
        <v>82</v>
      </c>
      <c r="B2908" s="16" t="s">
        <v>155</v>
      </c>
      <c r="C2908" s="16" t="s">
        <v>171</v>
      </c>
      <c r="D2908" s="38"/>
      <c r="E2908" s="39"/>
      <c r="F2908" s="22" t="n">
        <f aca="false">IFERROR(D2908*E2908,0)</f>
        <v>0</v>
      </c>
      <c r="G2908" s="16" t="str">
        <f aca="false">INDEX(SETORES!$B:$B,MATCH(A2908,SETORES!$A:$A,0))</f>
        <v>Clientes</v>
      </c>
      <c r="H2908" s="16" t="s">
        <v>259</v>
      </c>
    </row>
    <row r="2909" customFormat="false" ht="14.25" hidden="false" customHeight="false" outlineLevel="0" collapsed="false">
      <c r="A2909" s="16" t="s">
        <v>82</v>
      </c>
      <c r="B2909" s="16" t="s">
        <v>155</v>
      </c>
      <c r="C2909" s="16" t="s">
        <v>169</v>
      </c>
      <c r="D2909" s="38"/>
      <c r="E2909" s="39"/>
      <c r="F2909" s="22" t="n">
        <f aca="false">IFERROR(D2909*E2909,0)</f>
        <v>0</v>
      </c>
      <c r="G2909" s="16" t="str">
        <f aca="false">INDEX(SETORES!$B:$B,MATCH(A2909,SETORES!$A:$A,0))</f>
        <v>Clientes</v>
      </c>
      <c r="H2909" s="16" t="s">
        <v>259</v>
      </c>
    </row>
    <row r="2910" customFormat="false" ht="14.25" hidden="false" customHeight="false" outlineLevel="0" collapsed="false">
      <c r="A2910" s="16" t="s">
        <v>80</v>
      </c>
      <c r="B2910" s="16" t="s">
        <v>155</v>
      </c>
      <c r="C2910" s="16" t="s">
        <v>167</v>
      </c>
      <c r="D2910" s="38"/>
      <c r="E2910" s="39"/>
      <c r="F2910" s="22" t="n">
        <f aca="false">IFERROR(D2910*E2910,0)</f>
        <v>0</v>
      </c>
      <c r="G2910" s="16" t="str">
        <f aca="false">INDEX(SETORES!$B:$B,MATCH(A2910,SETORES!$A:$A,0))</f>
        <v>Clientes</v>
      </c>
      <c r="H2910" s="16" t="s">
        <v>259</v>
      </c>
    </row>
    <row r="2911" customFormat="false" ht="14.25" hidden="false" customHeight="false" outlineLevel="0" collapsed="false">
      <c r="A2911" s="16" t="s">
        <v>80</v>
      </c>
      <c r="B2911" s="16" t="s">
        <v>155</v>
      </c>
      <c r="C2911" s="16" t="s">
        <v>168</v>
      </c>
      <c r="D2911" s="38" t="n">
        <v>2</v>
      </c>
      <c r="E2911" s="39" t="n">
        <v>1.87</v>
      </c>
      <c r="F2911" s="22" t="n">
        <f aca="false">IFERROR(D2911*E2911,0)</f>
        <v>3.74</v>
      </c>
      <c r="G2911" s="16" t="str">
        <f aca="false">INDEX(SETORES!$B:$B,MATCH(A2911,SETORES!$A:$A,0))</f>
        <v>Clientes</v>
      </c>
      <c r="H2911" s="16" t="s">
        <v>259</v>
      </c>
    </row>
    <row r="2912" customFormat="false" ht="14.25" hidden="false" customHeight="false" outlineLevel="0" collapsed="false">
      <c r="A2912" s="16" t="s">
        <v>80</v>
      </c>
      <c r="B2912" s="16" t="s">
        <v>155</v>
      </c>
      <c r="C2912" s="16" t="s">
        <v>166</v>
      </c>
      <c r="D2912" s="38" t="n">
        <v>2</v>
      </c>
      <c r="E2912" s="39" t="n">
        <v>50</v>
      </c>
      <c r="F2912" s="22" t="n">
        <f aca="false">IFERROR(D2912*E2912,0)</f>
        <v>100</v>
      </c>
      <c r="G2912" s="16" t="str">
        <f aca="false">INDEX(SETORES!$B:$B,MATCH(A2912,SETORES!$A:$A,0))</f>
        <v>Clientes</v>
      </c>
      <c r="H2912" s="16" t="s">
        <v>259</v>
      </c>
    </row>
    <row r="2913" customFormat="false" ht="14.25" hidden="false" customHeight="false" outlineLevel="0" collapsed="false">
      <c r="A2913" s="16" t="s">
        <v>80</v>
      </c>
      <c r="B2913" s="16" t="s">
        <v>155</v>
      </c>
      <c r="C2913" s="16" t="s">
        <v>170</v>
      </c>
      <c r="D2913" s="38"/>
      <c r="E2913" s="39"/>
      <c r="F2913" s="22" t="n">
        <f aca="false">IFERROR(D2913*E2913,0)</f>
        <v>0</v>
      </c>
      <c r="G2913" s="16" t="str">
        <f aca="false">INDEX(SETORES!$B:$B,MATCH(A2913,SETORES!$A:$A,0))</f>
        <v>Clientes</v>
      </c>
      <c r="H2913" s="16" t="s">
        <v>259</v>
      </c>
    </row>
    <row r="2914" customFormat="false" ht="14.25" hidden="false" customHeight="false" outlineLevel="0" collapsed="false">
      <c r="A2914" s="16" t="s">
        <v>80</v>
      </c>
      <c r="B2914" s="16" t="s">
        <v>155</v>
      </c>
      <c r="C2914" s="16" t="s">
        <v>171</v>
      </c>
      <c r="D2914" s="38"/>
      <c r="E2914" s="39"/>
      <c r="F2914" s="22" t="n">
        <f aca="false">IFERROR(D2914*E2914,0)</f>
        <v>0</v>
      </c>
      <c r="G2914" s="16" t="str">
        <f aca="false">INDEX(SETORES!$B:$B,MATCH(A2914,SETORES!$A:$A,0))</f>
        <v>Clientes</v>
      </c>
      <c r="H2914" s="16" t="s">
        <v>259</v>
      </c>
    </row>
    <row r="2915" customFormat="false" ht="14.25" hidden="false" customHeight="false" outlineLevel="0" collapsed="false">
      <c r="A2915" s="16" t="s">
        <v>80</v>
      </c>
      <c r="B2915" s="16" t="s">
        <v>155</v>
      </c>
      <c r="C2915" s="16" t="s">
        <v>169</v>
      </c>
      <c r="D2915" s="38"/>
      <c r="E2915" s="39"/>
      <c r="F2915" s="22" t="n">
        <f aca="false">IFERROR(D2915*E2915,0)</f>
        <v>0</v>
      </c>
      <c r="G2915" s="16" t="str">
        <f aca="false">INDEX(SETORES!$B:$B,MATCH(A2915,SETORES!$A:$A,0))</f>
        <v>Clientes</v>
      </c>
      <c r="H2915" s="16" t="s">
        <v>259</v>
      </c>
    </row>
    <row r="2916" customFormat="false" ht="14.25" hidden="false" customHeight="false" outlineLevel="0" collapsed="false">
      <c r="A2916" s="16" t="s">
        <v>87</v>
      </c>
      <c r="B2916" s="16" t="s">
        <v>155</v>
      </c>
      <c r="C2916" s="16" t="s">
        <v>238</v>
      </c>
      <c r="D2916" s="38"/>
      <c r="E2916" s="39"/>
      <c r="F2916" s="22" t="n">
        <f aca="false">IFERROR(D2916*E2916,0)</f>
        <v>0</v>
      </c>
      <c r="G2916" s="16" t="str">
        <f aca="false">INDEX(SETORES!$B:$B,MATCH(A2916,SETORES!$A:$A,0))</f>
        <v>Clientes</v>
      </c>
      <c r="H2916" s="16" t="s">
        <v>259</v>
      </c>
    </row>
    <row r="2917" customFormat="false" ht="14.25" hidden="false" customHeight="false" outlineLevel="0" collapsed="false">
      <c r="A2917" s="16" t="s">
        <v>85</v>
      </c>
      <c r="B2917" s="16" t="s">
        <v>155</v>
      </c>
      <c r="C2917" s="16" t="s">
        <v>238</v>
      </c>
      <c r="D2917" s="38"/>
      <c r="E2917" s="39"/>
      <c r="F2917" s="22" t="n">
        <f aca="false">IFERROR(D2917*E2917,0)</f>
        <v>0</v>
      </c>
      <c r="G2917" s="16" t="str">
        <f aca="false">INDEX(SETORES!$B:$B,MATCH(A2917,SETORES!$A:$A,0))</f>
        <v>Clientes</v>
      </c>
      <c r="H2917" s="16" t="s">
        <v>259</v>
      </c>
    </row>
    <row r="2918" customFormat="false" ht="14.25" hidden="false" customHeight="false" outlineLevel="0" collapsed="false">
      <c r="A2918" s="16" t="s">
        <v>31</v>
      </c>
      <c r="B2918" s="16" t="s">
        <v>155</v>
      </c>
      <c r="C2918" s="16" t="s">
        <v>238</v>
      </c>
      <c r="D2918" s="38"/>
      <c r="E2918" s="39"/>
      <c r="F2918" s="22" t="n">
        <f aca="false">IFERROR(D2918*E2918,0)</f>
        <v>0</v>
      </c>
      <c r="G2918" s="16" t="str">
        <f aca="false">INDEX(SETORES!$B:$B,MATCH(A2918,SETORES!$A:$A,0))</f>
        <v>Clientes</v>
      </c>
      <c r="H2918" s="16" t="s">
        <v>259</v>
      </c>
    </row>
    <row r="2919" customFormat="false" ht="14.25" hidden="false" customHeight="false" outlineLevel="0" collapsed="false">
      <c r="A2919" s="16" t="s">
        <v>78</v>
      </c>
      <c r="B2919" s="16" t="s">
        <v>155</v>
      </c>
      <c r="C2919" s="16" t="s">
        <v>238</v>
      </c>
      <c r="D2919" s="38"/>
      <c r="E2919" s="39"/>
      <c r="F2919" s="22" t="n">
        <f aca="false">IFERROR(D2919*E2919,0)</f>
        <v>0</v>
      </c>
      <c r="G2919" s="16" t="str">
        <f aca="false">INDEX(SETORES!$B:$B,MATCH(A2919,SETORES!$A:$A,0))</f>
        <v>Clientes</v>
      </c>
      <c r="H2919" s="16" t="s">
        <v>259</v>
      </c>
    </row>
    <row r="2920" customFormat="false" ht="14.25" hidden="false" customHeight="false" outlineLevel="0" collapsed="false">
      <c r="A2920" s="16" t="s">
        <v>49</v>
      </c>
      <c r="B2920" s="16" t="s">
        <v>155</v>
      </c>
      <c r="C2920" s="16" t="s">
        <v>238</v>
      </c>
      <c r="D2920" s="38"/>
      <c r="E2920" s="39"/>
      <c r="F2920" s="22" t="n">
        <f aca="false">IFERROR(D2920*E2920,0)</f>
        <v>0</v>
      </c>
      <c r="G2920" s="16" t="str">
        <f aca="false">INDEX(SETORES!$B:$B,MATCH(A2920,SETORES!$A:$A,0))</f>
        <v>Clientes</v>
      </c>
      <c r="H2920" s="16" t="s">
        <v>259</v>
      </c>
    </row>
    <row r="2921" customFormat="false" ht="14.25" hidden="false" customHeight="false" outlineLevel="0" collapsed="false">
      <c r="A2921" s="16" t="s">
        <v>83</v>
      </c>
      <c r="B2921" s="16" t="s">
        <v>155</v>
      </c>
      <c r="C2921" s="16" t="s">
        <v>238</v>
      </c>
      <c r="D2921" s="38"/>
      <c r="E2921" s="39"/>
      <c r="F2921" s="22" t="n">
        <f aca="false">IFERROR(D2921*E2921,0)</f>
        <v>0</v>
      </c>
      <c r="G2921" s="16" t="str">
        <f aca="false">INDEX(SETORES!$B:$B,MATCH(A2921,SETORES!$A:$A,0))</f>
        <v>Clientes</v>
      </c>
      <c r="H2921" s="16" t="s">
        <v>259</v>
      </c>
    </row>
    <row r="2922" customFormat="false" ht="14.25" hidden="false" customHeight="false" outlineLevel="0" collapsed="false">
      <c r="A2922" s="16" t="s">
        <v>41</v>
      </c>
      <c r="B2922" s="16" t="s">
        <v>155</v>
      </c>
      <c r="C2922" s="16" t="s">
        <v>166</v>
      </c>
      <c r="D2922" s="38"/>
      <c r="E2922" s="39"/>
      <c r="F2922" s="22" t="n">
        <f aca="false">IFERROR(D2922*E2922,0)</f>
        <v>0</v>
      </c>
      <c r="G2922" s="16" t="str">
        <f aca="false">INDEX(SETORES!$B:$B,MATCH(A2922,SETORES!$A:$A,0))</f>
        <v>Clientes</v>
      </c>
      <c r="H2922" s="16" t="s">
        <v>259</v>
      </c>
    </row>
    <row r="2923" customFormat="false" ht="14.25" hidden="false" customHeight="false" outlineLevel="0" collapsed="false">
      <c r="A2923" s="16" t="s">
        <v>83</v>
      </c>
      <c r="B2923" s="16" t="s">
        <v>155</v>
      </c>
      <c r="C2923" s="16" t="s">
        <v>237</v>
      </c>
      <c r="D2923" s="38" t="n">
        <v>1</v>
      </c>
      <c r="E2923" s="39" t="n">
        <v>7500</v>
      </c>
      <c r="F2923" s="22" t="n">
        <f aca="false">IFERROR(D2923*E2923,0)</f>
        <v>7500</v>
      </c>
      <c r="G2923" s="16" t="str">
        <f aca="false">INDEX(SETORES!$B:$B,MATCH(A2923,SETORES!$A:$A,0))</f>
        <v>Clientes</v>
      </c>
      <c r="H2923" s="16" t="s">
        <v>259</v>
      </c>
    </row>
    <row r="2924" customFormat="false" ht="14.25" hidden="false" customHeight="false" outlineLevel="0" collapsed="false">
      <c r="A2924" s="16" t="s">
        <v>79</v>
      </c>
      <c r="B2924" s="16" t="s">
        <v>155</v>
      </c>
      <c r="C2924" s="16" t="s">
        <v>161</v>
      </c>
      <c r="D2924" s="38" t="n">
        <v>1</v>
      </c>
      <c r="E2924" s="39" t="n">
        <v>23971.48</v>
      </c>
      <c r="F2924" s="22" t="n">
        <f aca="false">IFERROR(D2924*E2924,0)</f>
        <v>23971.48</v>
      </c>
      <c r="G2924" s="16" t="str">
        <f aca="false">INDEX(SETORES!$B:$B,MATCH(A2924,SETORES!$A:$A,0))</f>
        <v>Funcionários</v>
      </c>
      <c r="H2924" s="16" t="s">
        <v>259</v>
      </c>
    </row>
    <row r="2925" customFormat="false" ht="14.25" hidden="false" customHeight="false" outlineLevel="0" collapsed="false">
      <c r="A2925" s="16" t="s">
        <v>79</v>
      </c>
      <c r="B2925" s="16" t="s">
        <v>155</v>
      </c>
      <c r="C2925" s="16" t="s">
        <v>166</v>
      </c>
      <c r="D2925" s="38" t="n">
        <v>4</v>
      </c>
      <c r="E2925" s="39" t="n">
        <v>50</v>
      </c>
      <c r="F2925" s="22" t="n">
        <f aca="false">IFERROR(D2925*E2925,0)</f>
        <v>200</v>
      </c>
      <c r="G2925" s="16" t="str">
        <f aca="false">INDEX(SETORES!$B:$B,MATCH(A2925,SETORES!$A:$A,0))</f>
        <v>Funcionários</v>
      </c>
      <c r="H2925" s="16" t="s">
        <v>259</v>
      </c>
    </row>
    <row r="2926" customFormat="false" ht="14.25" hidden="false" customHeight="false" outlineLevel="0" collapsed="false">
      <c r="A2926" s="16" t="s">
        <v>78</v>
      </c>
      <c r="B2926" s="16" t="s">
        <v>162</v>
      </c>
      <c r="C2926" s="16" t="s">
        <v>209</v>
      </c>
      <c r="D2926" s="38"/>
      <c r="E2926" s="39"/>
      <c r="F2926" s="22" t="n">
        <f aca="false">IFERROR(D2926*E2926,0)</f>
        <v>0</v>
      </c>
      <c r="G2926" s="16" t="str">
        <f aca="false">INDEX(SETORES!$B:$B,MATCH(A2926,SETORES!$A:$A,0))</f>
        <v>Clientes</v>
      </c>
      <c r="H2926" s="16" t="s">
        <v>259</v>
      </c>
    </row>
    <row r="2927" customFormat="false" ht="14.25" hidden="false" customHeight="false" outlineLevel="0" collapsed="false">
      <c r="A2927" s="16" t="s">
        <v>79</v>
      </c>
      <c r="B2927" s="16" t="s">
        <v>162</v>
      </c>
      <c r="C2927" s="16" t="s">
        <v>209</v>
      </c>
      <c r="D2927" s="38"/>
      <c r="E2927" s="39"/>
      <c r="F2927" s="22" t="n">
        <f aca="false">IFERROR(D2927*E2927,0)</f>
        <v>0</v>
      </c>
      <c r="G2927" s="16" t="str">
        <f aca="false">INDEX(SETORES!$B:$B,MATCH(A2927,SETORES!$A:$A,0))</f>
        <v>Funcionários</v>
      </c>
      <c r="H2927" s="16" t="s">
        <v>259</v>
      </c>
    </row>
    <row r="2928" customFormat="false" ht="14.25" hidden="false" customHeight="false" outlineLevel="0" collapsed="false">
      <c r="A2928" s="16" t="s">
        <v>78</v>
      </c>
      <c r="B2928" s="16" t="s">
        <v>155</v>
      </c>
      <c r="C2928" s="16" t="s">
        <v>158</v>
      </c>
      <c r="D2928" s="38"/>
      <c r="E2928" s="39"/>
      <c r="F2928" s="22" t="n">
        <f aca="false">IFERROR(D2928*E2928,0)</f>
        <v>0</v>
      </c>
      <c r="G2928" s="16" t="str">
        <f aca="false">INDEX(SETORES!$B:$B,MATCH(A2928,SETORES!$A:$A,0))</f>
        <v>Clientes</v>
      </c>
      <c r="H2928" s="16" t="s">
        <v>259</v>
      </c>
    </row>
    <row r="2929" customFormat="false" ht="14.25" hidden="false" customHeight="false" outlineLevel="0" collapsed="false">
      <c r="A2929" s="16" t="s">
        <v>78</v>
      </c>
      <c r="B2929" s="16" t="s">
        <v>155</v>
      </c>
      <c r="C2929" s="16" t="s">
        <v>159</v>
      </c>
      <c r="D2929" s="38"/>
      <c r="E2929" s="39"/>
      <c r="F2929" s="22" t="n">
        <f aca="false">IFERROR(D2929*E2929,0)</f>
        <v>0</v>
      </c>
      <c r="G2929" s="16" t="str">
        <f aca="false">INDEX(SETORES!$B:$B,MATCH(A2929,SETORES!$A:$A,0))</f>
        <v>Clientes</v>
      </c>
      <c r="H2929" s="16" t="s">
        <v>259</v>
      </c>
    </row>
    <row r="2930" customFormat="false" ht="14.25" hidden="false" customHeight="false" outlineLevel="0" collapsed="false">
      <c r="A2930" s="16" t="s">
        <v>79</v>
      </c>
      <c r="B2930" s="16" t="s">
        <v>155</v>
      </c>
      <c r="C2930" s="16" t="s">
        <v>158</v>
      </c>
      <c r="D2930" s="38"/>
      <c r="E2930" s="39"/>
      <c r="F2930" s="22" t="n">
        <f aca="false">IFERROR(D2930*E2930,0)</f>
        <v>0</v>
      </c>
      <c r="G2930" s="16" t="str">
        <f aca="false">INDEX(SETORES!$B:$B,MATCH(A2930,SETORES!$A:$A,0))</f>
        <v>Funcionários</v>
      </c>
      <c r="H2930" s="16" t="s">
        <v>259</v>
      </c>
    </row>
    <row r="2931" customFormat="false" ht="14.25" hidden="false" customHeight="false" outlineLevel="0" collapsed="false">
      <c r="A2931" s="16" t="s">
        <v>79</v>
      </c>
      <c r="B2931" s="16" t="s">
        <v>155</v>
      </c>
      <c r="C2931" s="16" t="s">
        <v>159</v>
      </c>
      <c r="D2931" s="38"/>
      <c r="E2931" s="39"/>
      <c r="F2931" s="22" t="n">
        <f aca="false">IFERROR(D2931*E2931,0)</f>
        <v>0</v>
      </c>
      <c r="G2931" s="16" t="str">
        <f aca="false">INDEX(SETORES!$B:$B,MATCH(A2931,SETORES!$A:$A,0))</f>
        <v>Funcionários</v>
      </c>
      <c r="H2931" s="16" t="s">
        <v>259</v>
      </c>
    </row>
    <row r="2932" customFormat="false" ht="14.25" hidden="false" customHeight="false" outlineLevel="0" collapsed="false">
      <c r="A2932" s="16" t="s">
        <v>78</v>
      </c>
      <c r="B2932" s="16" t="s">
        <v>162</v>
      </c>
      <c r="C2932" s="16" t="s">
        <v>222</v>
      </c>
      <c r="D2932" s="38"/>
      <c r="E2932" s="39"/>
      <c r="F2932" s="22" t="n">
        <f aca="false">IFERROR(D2932*E2932,0)</f>
        <v>0</v>
      </c>
      <c r="G2932" s="16" t="str">
        <f aca="false">INDEX(SETORES!$B:$B,MATCH(A2932,SETORES!$A:$A,0))</f>
        <v>Clientes</v>
      </c>
      <c r="H2932" s="16" t="s">
        <v>259</v>
      </c>
    </row>
    <row r="2933" customFormat="false" ht="14.25" hidden="false" customHeight="false" outlineLevel="0" collapsed="false">
      <c r="A2933" s="16" t="s">
        <v>43</v>
      </c>
      <c r="B2933" s="16" t="s">
        <v>162</v>
      </c>
      <c r="C2933" s="16" t="s">
        <v>222</v>
      </c>
      <c r="D2933" s="38"/>
      <c r="E2933" s="39"/>
      <c r="F2933" s="22" t="n">
        <f aca="false">IFERROR(D2933*E2933,0)</f>
        <v>0</v>
      </c>
      <c r="G2933" s="16" t="str">
        <f aca="false">INDEX(SETORES!$B:$B,MATCH(A2933,SETORES!$A:$A,0))</f>
        <v>Clientes</v>
      </c>
      <c r="H2933" s="16" t="s">
        <v>259</v>
      </c>
    </row>
    <row r="2934" customFormat="false" ht="14.25" hidden="false" customHeight="false" outlineLevel="0" collapsed="false">
      <c r="A2934" s="16" t="s">
        <v>41</v>
      </c>
      <c r="B2934" s="16" t="s">
        <v>162</v>
      </c>
      <c r="C2934" s="16" t="s">
        <v>222</v>
      </c>
      <c r="D2934" s="38"/>
      <c r="E2934" s="39"/>
      <c r="F2934" s="22" t="n">
        <f aca="false">IFERROR(D2934*E2934,0)</f>
        <v>0</v>
      </c>
      <c r="G2934" s="16" t="str">
        <f aca="false">INDEX(SETORES!$B:$B,MATCH(A2934,SETORES!$A:$A,0))</f>
        <v>Clientes</v>
      </c>
      <c r="H2934" s="16" t="s">
        <v>259</v>
      </c>
    </row>
    <row r="2935" customFormat="false" ht="14.25" hidden="false" customHeight="false" outlineLevel="0" collapsed="false">
      <c r="A2935" s="16" t="s">
        <v>79</v>
      </c>
      <c r="B2935" s="16" t="s">
        <v>162</v>
      </c>
      <c r="C2935" s="16" t="s">
        <v>222</v>
      </c>
      <c r="D2935" s="38"/>
      <c r="E2935" s="39"/>
      <c r="F2935" s="22" t="n">
        <f aca="false">IFERROR(D2935*E2935,0)</f>
        <v>0</v>
      </c>
      <c r="G2935" s="16" t="str">
        <f aca="false">INDEX(SETORES!$B:$B,MATCH(A2935,SETORES!$A:$A,0))</f>
        <v>Funcionários</v>
      </c>
      <c r="H2935" s="16" t="s">
        <v>259</v>
      </c>
    </row>
    <row r="2936" customFormat="false" ht="14.25" hidden="false" customHeight="false" outlineLevel="0" collapsed="false">
      <c r="A2936" s="16" t="s">
        <v>80</v>
      </c>
      <c r="B2936" s="16" t="s">
        <v>162</v>
      </c>
      <c r="C2936" s="16" t="s">
        <v>222</v>
      </c>
      <c r="D2936" s="38"/>
      <c r="E2936" s="39"/>
      <c r="F2936" s="22" t="n">
        <f aca="false">IFERROR(D2936*E2936,0)</f>
        <v>0</v>
      </c>
      <c r="G2936" s="16" t="str">
        <f aca="false">INDEX(SETORES!$B:$B,MATCH(A2936,SETORES!$A:$A,0))</f>
        <v>Clientes</v>
      </c>
      <c r="H2936" s="16" t="s">
        <v>259</v>
      </c>
    </row>
    <row r="2937" customFormat="false" ht="14.25" hidden="false" customHeight="false" outlineLevel="0" collapsed="false">
      <c r="A2937" s="16" t="s">
        <v>42</v>
      </c>
      <c r="B2937" s="16" t="s">
        <v>162</v>
      </c>
      <c r="C2937" s="16" t="s">
        <v>222</v>
      </c>
      <c r="D2937" s="38"/>
      <c r="E2937" s="39"/>
      <c r="F2937" s="22" t="n">
        <f aca="false">IFERROR(D2937*E2937,0)</f>
        <v>0</v>
      </c>
      <c r="G2937" s="16" t="str">
        <f aca="false">INDEX(SETORES!$B:$B,MATCH(A2937,SETORES!$A:$A,0))</f>
        <v>Clientes</v>
      </c>
      <c r="H2937" s="16" t="s">
        <v>259</v>
      </c>
    </row>
    <row r="2938" customFormat="false" ht="14.25" hidden="false" customHeight="false" outlineLevel="0" collapsed="false">
      <c r="A2938" s="16" t="s">
        <v>36</v>
      </c>
      <c r="B2938" s="16" t="s">
        <v>162</v>
      </c>
      <c r="C2938" s="16" t="s">
        <v>222</v>
      </c>
      <c r="D2938" s="38"/>
      <c r="E2938" s="39"/>
      <c r="F2938" s="22" t="n">
        <f aca="false">IFERROR(D2938*E2938,0)</f>
        <v>0</v>
      </c>
      <c r="G2938" s="16" t="str">
        <f aca="false">INDEX(SETORES!$B:$B,MATCH(A2938,SETORES!$A:$A,0))</f>
        <v>Clientes</v>
      </c>
      <c r="H2938" s="16" t="s">
        <v>259</v>
      </c>
    </row>
    <row r="2939" customFormat="false" ht="14.25" hidden="false" customHeight="false" outlineLevel="0" collapsed="false">
      <c r="A2939" s="16" t="s">
        <v>81</v>
      </c>
      <c r="B2939" s="16" t="s">
        <v>162</v>
      </c>
      <c r="C2939" s="16" t="s">
        <v>222</v>
      </c>
      <c r="D2939" s="38"/>
      <c r="E2939" s="39"/>
      <c r="F2939" s="22" t="n">
        <f aca="false">IFERROR(D2939*E2939,0)</f>
        <v>0</v>
      </c>
      <c r="G2939" s="16" t="str">
        <f aca="false">INDEX(SETORES!$B:$B,MATCH(A2939,SETORES!$A:$A,0))</f>
        <v>Clientes</v>
      </c>
      <c r="H2939" s="16" t="s">
        <v>259</v>
      </c>
    </row>
    <row r="2940" customFormat="false" ht="14.25" hidden="false" customHeight="false" outlineLevel="0" collapsed="false">
      <c r="A2940" s="16" t="s">
        <v>82</v>
      </c>
      <c r="B2940" s="16" t="s">
        <v>162</v>
      </c>
      <c r="C2940" s="16" t="s">
        <v>222</v>
      </c>
      <c r="D2940" s="38"/>
      <c r="E2940" s="39"/>
      <c r="F2940" s="22" t="n">
        <f aca="false">IFERROR(D2940*E2940,0)</f>
        <v>0</v>
      </c>
      <c r="G2940" s="16" t="str">
        <f aca="false">INDEX(SETORES!$B:$B,MATCH(A2940,SETORES!$A:$A,0))</f>
        <v>Clientes</v>
      </c>
      <c r="H2940" s="16" t="s">
        <v>259</v>
      </c>
    </row>
    <row r="2941" customFormat="false" ht="14.25" hidden="false" customHeight="false" outlineLevel="0" collapsed="false">
      <c r="A2941" s="16" t="s">
        <v>34</v>
      </c>
      <c r="B2941" s="16" t="s">
        <v>162</v>
      </c>
      <c r="C2941" s="16" t="s">
        <v>222</v>
      </c>
      <c r="D2941" s="38"/>
      <c r="E2941" s="39"/>
      <c r="F2941" s="22" t="n">
        <f aca="false">IFERROR(D2941*E2941,0)</f>
        <v>0</v>
      </c>
      <c r="G2941" s="16" t="str">
        <f aca="false">INDEX(SETORES!$B:$B,MATCH(A2941,SETORES!$A:$A,0))</f>
        <v>Clientes</v>
      </c>
      <c r="H2941" s="16" t="s">
        <v>259</v>
      </c>
    </row>
    <row r="2942" customFormat="false" ht="14.25" hidden="false" customHeight="false" outlineLevel="0" collapsed="false">
      <c r="A2942" s="16" t="s">
        <v>83</v>
      </c>
      <c r="B2942" s="16" t="s">
        <v>162</v>
      </c>
      <c r="C2942" s="16" t="s">
        <v>222</v>
      </c>
      <c r="D2942" s="38"/>
      <c r="E2942" s="39"/>
      <c r="F2942" s="22" t="n">
        <f aca="false">IFERROR(D2942*E2942,0)</f>
        <v>0</v>
      </c>
      <c r="G2942" s="16" t="str">
        <f aca="false">INDEX(SETORES!$B:$B,MATCH(A2942,SETORES!$A:$A,0))</f>
        <v>Clientes</v>
      </c>
      <c r="H2942" s="16" t="s">
        <v>259</v>
      </c>
    </row>
    <row r="2943" customFormat="false" ht="14.25" hidden="false" customHeight="false" outlineLevel="0" collapsed="false">
      <c r="A2943" s="16" t="s">
        <v>48</v>
      </c>
      <c r="B2943" s="16" t="s">
        <v>162</v>
      </c>
      <c r="C2943" s="16" t="s">
        <v>222</v>
      </c>
      <c r="D2943" s="38"/>
      <c r="E2943" s="39"/>
      <c r="F2943" s="22" t="n">
        <f aca="false">IFERROR(D2943*E2943,0)</f>
        <v>0</v>
      </c>
      <c r="G2943" s="16" t="str">
        <f aca="false">INDEX(SETORES!$B:$B,MATCH(A2943,SETORES!$A:$A,0))</f>
        <v>Clientes</v>
      </c>
      <c r="H2943" s="16" t="s">
        <v>259</v>
      </c>
    </row>
    <row r="2944" customFormat="false" ht="14.25" hidden="false" customHeight="false" outlineLevel="0" collapsed="false">
      <c r="A2944" s="16" t="s">
        <v>85</v>
      </c>
      <c r="B2944" s="16" t="s">
        <v>162</v>
      </c>
      <c r="C2944" s="16" t="s">
        <v>222</v>
      </c>
      <c r="D2944" s="38"/>
      <c r="E2944" s="39"/>
      <c r="F2944" s="22" t="n">
        <f aca="false">IFERROR(D2944*E2944,0)</f>
        <v>0</v>
      </c>
      <c r="G2944" s="16" t="str">
        <f aca="false">INDEX(SETORES!$B:$B,MATCH(A2944,SETORES!$A:$A,0))</f>
        <v>Clientes</v>
      </c>
      <c r="H2944" s="16" t="s">
        <v>259</v>
      </c>
    </row>
    <row r="2945" customFormat="false" ht="14.25" hidden="false" customHeight="false" outlineLevel="0" collapsed="false">
      <c r="A2945" s="16" t="s">
        <v>49</v>
      </c>
      <c r="B2945" s="16" t="s">
        <v>162</v>
      </c>
      <c r="C2945" s="16" t="s">
        <v>222</v>
      </c>
      <c r="D2945" s="38"/>
      <c r="E2945" s="39"/>
      <c r="F2945" s="22" t="n">
        <f aca="false">IFERROR(D2945*E2945,0)</f>
        <v>0</v>
      </c>
      <c r="G2945" s="16" t="str">
        <f aca="false">INDEX(SETORES!$B:$B,MATCH(A2945,SETORES!$A:$A,0))</f>
        <v>Clientes</v>
      </c>
      <c r="H2945" s="16" t="s">
        <v>259</v>
      </c>
    </row>
    <row r="2946" customFormat="false" ht="14.25" hidden="false" customHeight="false" outlineLevel="0" collapsed="false">
      <c r="A2946" s="16" t="s">
        <v>86</v>
      </c>
      <c r="B2946" s="16" t="s">
        <v>162</v>
      </c>
      <c r="C2946" s="16" t="s">
        <v>222</v>
      </c>
      <c r="D2946" s="38"/>
      <c r="E2946" s="39"/>
      <c r="F2946" s="22" t="n">
        <f aca="false">IFERROR(D2946*E2946,0)</f>
        <v>0</v>
      </c>
      <c r="G2946" s="16" t="str">
        <f aca="false">INDEX(SETORES!$B:$B,MATCH(A2946,SETORES!$A:$A,0))</f>
        <v>Clientes</v>
      </c>
      <c r="H2946" s="16" t="s">
        <v>259</v>
      </c>
    </row>
    <row r="2947" customFormat="false" ht="14.25" hidden="false" customHeight="false" outlineLevel="0" collapsed="false">
      <c r="A2947" s="16" t="s">
        <v>32</v>
      </c>
      <c r="B2947" s="16" t="s">
        <v>162</v>
      </c>
      <c r="C2947" s="16" t="s">
        <v>222</v>
      </c>
      <c r="D2947" s="38"/>
      <c r="E2947" s="39"/>
      <c r="F2947" s="22" t="n">
        <f aca="false">IFERROR(D2947*E2947,0)</f>
        <v>0</v>
      </c>
      <c r="G2947" s="16" t="str">
        <f aca="false">INDEX(SETORES!$B:$B,MATCH(A2947,SETORES!$A:$A,0))</f>
        <v>Funcionários</v>
      </c>
      <c r="H2947" s="16" t="s">
        <v>259</v>
      </c>
    </row>
    <row r="2948" customFormat="false" ht="14.25" hidden="false" customHeight="false" outlineLevel="0" collapsed="false">
      <c r="A2948" s="16" t="s">
        <v>81</v>
      </c>
      <c r="B2948" s="16" t="s">
        <v>155</v>
      </c>
      <c r="C2948" s="16" t="s">
        <v>238</v>
      </c>
      <c r="D2948" s="38"/>
      <c r="E2948" s="39"/>
      <c r="F2948" s="22" t="n">
        <f aca="false">IFERROR(D2948*E2948,0)</f>
        <v>0</v>
      </c>
      <c r="G2948" s="16" t="str">
        <f aca="false">INDEX(SETORES!$B:$B,MATCH(A2948,SETORES!$A:$A,0))</f>
        <v>Clientes</v>
      </c>
      <c r="H2948" s="16" t="s">
        <v>259</v>
      </c>
    </row>
    <row r="2949" customFormat="false" ht="14.25" hidden="false" customHeight="false" outlineLevel="0" collapsed="false">
      <c r="A2949" s="16" t="s">
        <v>54</v>
      </c>
      <c r="B2949" s="16" t="s">
        <v>155</v>
      </c>
      <c r="C2949" s="16" t="s">
        <v>238</v>
      </c>
      <c r="D2949" s="38"/>
      <c r="E2949" s="39"/>
      <c r="F2949" s="22" t="n">
        <f aca="false">IFERROR(D2949*E2949,0)</f>
        <v>0</v>
      </c>
      <c r="G2949" s="16" t="str">
        <f aca="false">INDEX(SETORES!$B:$B,MATCH(A2949,SETORES!$A:$A,0))</f>
        <v>Clientes</v>
      </c>
      <c r="H2949" s="16" t="s">
        <v>259</v>
      </c>
    </row>
    <row r="2950" customFormat="false" ht="14.25" hidden="false" customHeight="false" outlineLevel="0" collapsed="false">
      <c r="A2950" s="16" t="s">
        <v>40</v>
      </c>
      <c r="B2950" s="16" t="s">
        <v>155</v>
      </c>
      <c r="C2950" s="16" t="s">
        <v>238</v>
      </c>
      <c r="D2950" s="38"/>
      <c r="E2950" s="39"/>
      <c r="F2950" s="22" t="n">
        <f aca="false">IFERROR(D2950*E2950,0)</f>
        <v>0</v>
      </c>
      <c r="G2950" s="16" t="str">
        <f aca="false">INDEX(SETORES!$B:$B,MATCH(A2950,SETORES!$A:$A,0))</f>
        <v>Clientes</v>
      </c>
      <c r="H2950" s="16" t="s">
        <v>259</v>
      </c>
    </row>
    <row r="2951" customFormat="false" ht="14.25" hidden="false" customHeight="false" outlineLevel="0" collapsed="false">
      <c r="A2951" s="16" t="s">
        <v>86</v>
      </c>
      <c r="B2951" s="16" t="s">
        <v>155</v>
      </c>
      <c r="C2951" s="16" t="s">
        <v>238</v>
      </c>
      <c r="D2951" s="38"/>
      <c r="E2951" s="39"/>
      <c r="F2951" s="22" t="n">
        <f aca="false">IFERROR(D2951*E2951,0)</f>
        <v>0</v>
      </c>
      <c r="G2951" s="16" t="str">
        <f aca="false">INDEX(SETORES!$B:$B,MATCH(A2951,SETORES!$A:$A,0))</f>
        <v>Clientes</v>
      </c>
      <c r="H2951" s="16" t="s">
        <v>259</v>
      </c>
    </row>
    <row r="2952" customFormat="false" ht="14.25" hidden="false" customHeight="false" outlineLevel="0" collapsed="false">
      <c r="A2952" s="16" t="s">
        <v>80</v>
      </c>
      <c r="B2952" s="16" t="s">
        <v>155</v>
      </c>
      <c r="C2952" s="16" t="s">
        <v>238</v>
      </c>
      <c r="D2952" s="38"/>
      <c r="E2952" s="39"/>
      <c r="F2952" s="22" t="n">
        <f aca="false">IFERROR(D2952*E2952,0)</f>
        <v>0</v>
      </c>
      <c r="G2952" s="16" t="str">
        <f aca="false">INDEX(SETORES!$B:$B,MATCH(A2952,SETORES!$A:$A,0))</f>
        <v>Clientes</v>
      </c>
      <c r="H2952" s="16" t="s">
        <v>259</v>
      </c>
    </row>
    <row r="2953" customFormat="false" ht="14.25" hidden="false" customHeight="false" outlineLevel="0" collapsed="false">
      <c r="A2953" s="16" t="s">
        <v>42</v>
      </c>
      <c r="B2953" s="16" t="s">
        <v>155</v>
      </c>
      <c r="C2953" s="16" t="s">
        <v>238</v>
      </c>
      <c r="D2953" s="38"/>
      <c r="E2953" s="39"/>
      <c r="F2953" s="22" t="n">
        <f aca="false">IFERROR(D2953*E2953,0)</f>
        <v>0</v>
      </c>
      <c r="G2953" s="16" t="str">
        <f aca="false">INDEX(SETORES!$B:$B,MATCH(A2953,SETORES!$A:$A,0))</f>
        <v>Clientes</v>
      </c>
      <c r="H2953" s="16" t="s">
        <v>259</v>
      </c>
    </row>
    <row r="2954" customFormat="false" ht="14.25" hidden="false" customHeight="false" outlineLevel="0" collapsed="false">
      <c r="A2954" s="16" t="s">
        <v>34</v>
      </c>
      <c r="B2954" s="16" t="s">
        <v>155</v>
      </c>
      <c r="C2954" s="16" t="s">
        <v>238</v>
      </c>
      <c r="D2954" s="38"/>
      <c r="E2954" s="39"/>
      <c r="F2954" s="22" t="n">
        <f aca="false">IFERROR(D2954*E2954,0)</f>
        <v>0</v>
      </c>
      <c r="G2954" s="16" t="str">
        <f aca="false">INDEX(SETORES!$B:$B,MATCH(A2954,SETORES!$A:$A,0))</f>
        <v>Clientes</v>
      </c>
      <c r="H2954" s="16" t="s">
        <v>259</v>
      </c>
    </row>
    <row r="2955" customFormat="false" ht="14.25" hidden="false" customHeight="false" outlineLevel="0" collapsed="false">
      <c r="A2955" s="16" t="s">
        <v>41</v>
      </c>
      <c r="B2955" s="16" t="s">
        <v>155</v>
      </c>
      <c r="C2955" s="16" t="s">
        <v>238</v>
      </c>
      <c r="D2955" s="38"/>
      <c r="E2955" s="39"/>
      <c r="F2955" s="22" t="n">
        <f aca="false">IFERROR(D2955*E2955,0)</f>
        <v>0</v>
      </c>
      <c r="G2955" s="16" t="str">
        <f aca="false">INDEX(SETORES!$B:$B,MATCH(A2955,SETORES!$A:$A,0))</f>
        <v>Clientes</v>
      </c>
      <c r="H2955" s="16" t="s">
        <v>259</v>
      </c>
    </row>
    <row r="2956" customFormat="false" ht="14.25" hidden="false" customHeight="false" outlineLevel="0" collapsed="false">
      <c r="A2956" s="16" t="s">
        <v>35</v>
      </c>
      <c r="B2956" s="16" t="s">
        <v>155</v>
      </c>
      <c r="C2956" s="16" t="s">
        <v>212</v>
      </c>
      <c r="D2956" s="38" t="n">
        <v>1</v>
      </c>
      <c r="E2956" s="39" t="n">
        <v>30</v>
      </c>
      <c r="F2956" s="22" t="n">
        <f aca="false">IFERROR(D2956*E2956,0)</f>
        <v>30</v>
      </c>
      <c r="G2956" s="16" t="str">
        <f aca="false">INDEX(SETORES!$B:$B,MATCH(A2956,SETORES!$A:$A,0))</f>
        <v>Clientes</v>
      </c>
      <c r="H2956" s="16" t="s">
        <v>259</v>
      </c>
    </row>
    <row r="2957" customFormat="false" ht="14.25" hidden="false" customHeight="false" outlineLevel="0" collapsed="false">
      <c r="A2957" s="16" t="s">
        <v>78</v>
      </c>
      <c r="B2957" s="16" t="s">
        <v>155</v>
      </c>
      <c r="C2957" s="16" t="s">
        <v>212</v>
      </c>
      <c r="D2957" s="38" t="n">
        <v>12</v>
      </c>
      <c r="E2957" s="39" t="n">
        <v>30</v>
      </c>
      <c r="F2957" s="22" t="n">
        <f aca="false">IFERROR(D2957*E2957,0)</f>
        <v>360</v>
      </c>
      <c r="G2957" s="16" t="str">
        <f aca="false">INDEX(SETORES!$B:$B,MATCH(A2957,SETORES!$A:$A,0))</f>
        <v>Clientes</v>
      </c>
      <c r="H2957" s="16" t="s">
        <v>259</v>
      </c>
    </row>
    <row r="2958" customFormat="false" ht="14.25" hidden="false" customHeight="false" outlineLevel="0" collapsed="false">
      <c r="A2958" s="16" t="s">
        <v>43</v>
      </c>
      <c r="B2958" s="16" t="s">
        <v>155</v>
      </c>
      <c r="C2958" s="16" t="s">
        <v>212</v>
      </c>
      <c r="D2958" s="38" t="n">
        <v>2</v>
      </c>
      <c r="E2958" s="39" t="n">
        <v>30</v>
      </c>
      <c r="F2958" s="22" t="n">
        <f aca="false">IFERROR(D2958*E2958,0)</f>
        <v>60</v>
      </c>
      <c r="G2958" s="16" t="str">
        <f aca="false">INDEX(SETORES!$B:$B,MATCH(A2958,SETORES!$A:$A,0))</f>
        <v>Clientes</v>
      </c>
      <c r="H2958" s="16" t="s">
        <v>259</v>
      </c>
    </row>
    <row r="2959" customFormat="false" ht="14.25" hidden="false" customHeight="false" outlineLevel="0" collapsed="false">
      <c r="A2959" s="16" t="s">
        <v>40</v>
      </c>
      <c r="B2959" s="16" t="s">
        <v>155</v>
      </c>
      <c r="C2959" s="16" t="s">
        <v>212</v>
      </c>
      <c r="D2959" s="38" t="n">
        <v>2</v>
      </c>
      <c r="E2959" s="39" t="n">
        <v>30</v>
      </c>
      <c r="F2959" s="22" t="n">
        <f aca="false">IFERROR(D2959*E2959,0)</f>
        <v>60</v>
      </c>
      <c r="G2959" s="16" t="str">
        <f aca="false">INDEX(SETORES!$B:$B,MATCH(A2959,SETORES!$A:$A,0))</f>
        <v>Clientes</v>
      </c>
      <c r="H2959" s="16" t="s">
        <v>259</v>
      </c>
    </row>
    <row r="2960" customFormat="false" ht="14.25" hidden="false" customHeight="false" outlineLevel="0" collapsed="false">
      <c r="A2960" s="16" t="s">
        <v>33</v>
      </c>
      <c r="B2960" s="16" t="s">
        <v>155</v>
      </c>
      <c r="C2960" s="16" t="s">
        <v>212</v>
      </c>
      <c r="D2960" s="38" t="n">
        <v>2</v>
      </c>
      <c r="E2960" s="39" t="n">
        <v>30</v>
      </c>
      <c r="F2960" s="22" t="n">
        <f aca="false">IFERROR(D2960*E2960,0)</f>
        <v>60</v>
      </c>
      <c r="G2960" s="16" t="str">
        <f aca="false">INDEX(SETORES!$B:$B,MATCH(A2960,SETORES!$A:$A,0))</f>
        <v>Funcionários</v>
      </c>
      <c r="H2960" s="16" t="s">
        <v>259</v>
      </c>
    </row>
    <row r="2961" customFormat="false" ht="14.25" hidden="false" customHeight="false" outlineLevel="0" collapsed="false">
      <c r="A2961" s="16" t="s">
        <v>45</v>
      </c>
      <c r="B2961" s="16" t="s">
        <v>155</v>
      </c>
      <c r="C2961" s="16" t="s">
        <v>212</v>
      </c>
      <c r="D2961" s="38" t="n">
        <v>8</v>
      </c>
      <c r="E2961" s="39" t="n">
        <v>30</v>
      </c>
      <c r="F2961" s="22" t="n">
        <f aca="false">IFERROR(D2961*E2961,0)</f>
        <v>240</v>
      </c>
      <c r="G2961" s="16" t="str">
        <f aca="false">INDEX(SETORES!$B:$B,MATCH(A2961,SETORES!$A:$A,0))</f>
        <v>Clientes</v>
      </c>
      <c r="H2961" s="16" t="s">
        <v>259</v>
      </c>
    </row>
    <row r="2962" customFormat="false" ht="14.25" hidden="false" customHeight="false" outlineLevel="0" collapsed="false">
      <c r="A2962" s="16" t="s">
        <v>36</v>
      </c>
      <c r="B2962" s="16" t="s">
        <v>155</v>
      </c>
      <c r="C2962" s="16" t="s">
        <v>212</v>
      </c>
      <c r="D2962" s="38" t="n">
        <v>2</v>
      </c>
      <c r="E2962" s="39" t="n">
        <v>30</v>
      </c>
      <c r="F2962" s="22" t="n">
        <f aca="false">IFERROR(D2962*E2962,0)</f>
        <v>60</v>
      </c>
      <c r="G2962" s="16" t="str">
        <f aca="false">INDEX(SETORES!$B:$B,MATCH(A2962,SETORES!$A:$A,0))</f>
        <v>Clientes</v>
      </c>
      <c r="H2962" s="16" t="s">
        <v>259</v>
      </c>
    </row>
    <row r="2963" customFormat="false" ht="14.25" hidden="false" customHeight="false" outlineLevel="0" collapsed="false">
      <c r="A2963" s="16" t="s">
        <v>81</v>
      </c>
      <c r="B2963" s="16" t="s">
        <v>155</v>
      </c>
      <c r="C2963" s="16" t="s">
        <v>212</v>
      </c>
      <c r="D2963" s="38" t="n">
        <v>2</v>
      </c>
      <c r="E2963" s="39" t="n">
        <v>30</v>
      </c>
      <c r="F2963" s="22" t="n">
        <f aca="false">IFERROR(D2963*E2963,0)</f>
        <v>60</v>
      </c>
      <c r="G2963" s="16" t="str">
        <f aca="false">INDEX(SETORES!$B:$B,MATCH(A2963,SETORES!$A:$A,0))</f>
        <v>Clientes</v>
      </c>
      <c r="H2963" s="16" t="s">
        <v>259</v>
      </c>
    </row>
    <row r="2964" customFormat="false" ht="14.25" hidden="false" customHeight="false" outlineLevel="0" collapsed="false">
      <c r="A2964" s="16" t="s">
        <v>34</v>
      </c>
      <c r="B2964" s="16" t="s">
        <v>155</v>
      </c>
      <c r="C2964" s="16" t="s">
        <v>212</v>
      </c>
      <c r="D2964" s="38" t="n">
        <v>2</v>
      </c>
      <c r="E2964" s="39" t="n">
        <v>30</v>
      </c>
      <c r="F2964" s="22" t="n">
        <f aca="false">IFERROR(D2964*E2964,0)</f>
        <v>60</v>
      </c>
      <c r="G2964" s="16" t="str">
        <f aca="false">INDEX(SETORES!$B:$B,MATCH(A2964,SETORES!$A:$A,0))</f>
        <v>Clientes</v>
      </c>
      <c r="H2964" s="16" t="s">
        <v>259</v>
      </c>
    </row>
    <row r="2965" customFormat="false" ht="14.25" hidden="false" customHeight="false" outlineLevel="0" collapsed="false">
      <c r="A2965" s="16" t="s">
        <v>83</v>
      </c>
      <c r="B2965" s="16" t="s">
        <v>155</v>
      </c>
      <c r="C2965" s="16" t="s">
        <v>212</v>
      </c>
      <c r="D2965" s="38" t="n">
        <v>2</v>
      </c>
      <c r="E2965" s="39" t="n">
        <v>30</v>
      </c>
      <c r="F2965" s="22" t="n">
        <f aca="false">IFERROR(D2965*E2965,0)</f>
        <v>60</v>
      </c>
      <c r="G2965" s="16" t="str">
        <f aca="false">INDEX(SETORES!$B:$B,MATCH(A2965,SETORES!$A:$A,0))</f>
        <v>Clientes</v>
      </c>
      <c r="H2965" s="16" t="s">
        <v>259</v>
      </c>
    </row>
    <row r="2966" customFormat="false" ht="14.25" hidden="false" customHeight="false" outlineLevel="0" collapsed="false">
      <c r="A2966" s="16" t="s">
        <v>48</v>
      </c>
      <c r="B2966" s="16" t="s">
        <v>155</v>
      </c>
      <c r="C2966" s="16" t="s">
        <v>212</v>
      </c>
      <c r="D2966" s="38" t="n">
        <v>7</v>
      </c>
      <c r="E2966" s="39" t="n">
        <v>30</v>
      </c>
      <c r="F2966" s="22" t="n">
        <f aca="false">IFERROR(D2966*E2966,0)</f>
        <v>210</v>
      </c>
      <c r="G2966" s="16" t="str">
        <f aca="false">INDEX(SETORES!$B:$B,MATCH(A2966,SETORES!$A:$A,0))</f>
        <v>Clientes</v>
      </c>
      <c r="H2966" s="16" t="s">
        <v>259</v>
      </c>
    </row>
    <row r="2967" customFormat="false" ht="14.25" hidden="false" customHeight="false" outlineLevel="0" collapsed="false">
      <c r="A2967" s="16" t="s">
        <v>47</v>
      </c>
      <c r="B2967" s="16" t="s">
        <v>155</v>
      </c>
      <c r="C2967" s="16" t="s">
        <v>212</v>
      </c>
      <c r="D2967" s="38" t="n">
        <v>7</v>
      </c>
      <c r="E2967" s="39" t="n">
        <v>30</v>
      </c>
      <c r="F2967" s="22" t="n">
        <f aca="false">IFERROR(D2967*E2967,0)</f>
        <v>210</v>
      </c>
      <c r="G2967" s="16" t="str">
        <f aca="false">INDEX(SETORES!$B:$B,MATCH(A2967,SETORES!$A:$A,0))</f>
        <v>Clientes</v>
      </c>
      <c r="H2967" s="16" t="s">
        <v>259</v>
      </c>
    </row>
    <row r="2968" customFormat="false" ht="14.25" hidden="false" customHeight="false" outlineLevel="0" collapsed="false">
      <c r="A2968" s="16" t="s">
        <v>85</v>
      </c>
      <c r="B2968" s="16" t="s">
        <v>155</v>
      </c>
      <c r="C2968" s="16" t="s">
        <v>212</v>
      </c>
      <c r="D2968" s="38" t="n">
        <v>10</v>
      </c>
      <c r="E2968" s="39" t="n">
        <v>30</v>
      </c>
      <c r="F2968" s="22" t="n">
        <f aca="false">IFERROR(D2968*E2968,0)</f>
        <v>300</v>
      </c>
      <c r="G2968" s="16" t="str">
        <f aca="false">INDEX(SETORES!$B:$B,MATCH(A2968,SETORES!$A:$A,0))</f>
        <v>Clientes</v>
      </c>
      <c r="H2968" s="16" t="s">
        <v>259</v>
      </c>
    </row>
    <row r="2969" customFormat="false" ht="14.25" hidden="false" customHeight="false" outlineLevel="0" collapsed="false">
      <c r="A2969" s="16" t="s">
        <v>31</v>
      </c>
      <c r="B2969" s="16" t="s">
        <v>155</v>
      </c>
      <c r="C2969" s="16" t="s">
        <v>212</v>
      </c>
      <c r="D2969" s="38" t="n">
        <v>3</v>
      </c>
      <c r="E2969" s="39" t="n">
        <v>30</v>
      </c>
      <c r="F2969" s="22" t="n">
        <f aca="false">IFERROR(D2969*E2969,0)</f>
        <v>90</v>
      </c>
      <c r="G2969" s="16" t="str">
        <f aca="false">INDEX(SETORES!$B:$B,MATCH(A2969,SETORES!$A:$A,0))</f>
        <v>Clientes</v>
      </c>
      <c r="H2969" s="16" t="s">
        <v>259</v>
      </c>
    </row>
    <row r="2970" customFormat="false" ht="14.25" hidden="false" customHeight="false" outlineLevel="0" collapsed="false">
      <c r="A2970" s="16" t="s">
        <v>46</v>
      </c>
      <c r="B2970" s="16" t="s">
        <v>155</v>
      </c>
      <c r="C2970" s="16" t="s">
        <v>212</v>
      </c>
      <c r="D2970" s="38" t="n">
        <v>5</v>
      </c>
      <c r="E2970" s="39" t="n">
        <v>30</v>
      </c>
      <c r="F2970" s="22" t="n">
        <f aca="false">IFERROR(D2970*E2970,0)</f>
        <v>150</v>
      </c>
      <c r="G2970" s="16" t="str">
        <f aca="false">INDEX(SETORES!$B:$B,MATCH(A2970,SETORES!$A:$A,0))</f>
        <v>Clientes</v>
      </c>
      <c r="H2970" s="16" t="s">
        <v>259</v>
      </c>
    </row>
    <row r="2971" customFormat="false" ht="14.25" hidden="false" customHeight="false" outlineLevel="0" collapsed="false">
      <c r="A2971" s="16" t="s">
        <v>86</v>
      </c>
      <c r="B2971" s="16" t="s">
        <v>155</v>
      </c>
      <c r="C2971" s="16" t="s">
        <v>212</v>
      </c>
      <c r="D2971" s="38" t="n">
        <v>4</v>
      </c>
      <c r="E2971" s="39" t="n">
        <v>30</v>
      </c>
      <c r="F2971" s="22" t="n">
        <f aca="false">IFERROR(D2971*E2971,0)</f>
        <v>120</v>
      </c>
      <c r="G2971" s="16" t="str">
        <f aca="false">INDEX(SETORES!$B:$B,MATCH(A2971,SETORES!$A:$A,0))</f>
        <v>Clientes</v>
      </c>
      <c r="H2971" s="16" t="s">
        <v>259</v>
      </c>
    </row>
    <row r="2972" customFormat="false" ht="14.25" hidden="false" customHeight="false" outlineLevel="0" collapsed="false">
      <c r="A2972" s="16" t="s">
        <v>32</v>
      </c>
      <c r="B2972" s="16" t="s">
        <v>155</v>
      </c>
      <c r="C2972" s="16" t="s">
        <v>212</v>
      </c>
      <c r="D2972" s="38" t="n">
        <v>3</v>
      </c>
      <c r="E2972" s="39" t="n">
        <v>30</v>
      </c>
      <c r="F2972" s="22" t="n">
        <f aca="false">IFERROR(D2972*E2972,0)</f>
        <v>90</v>
      </c>
      <c r="G2972" s="16" t="str">
        <f aca="false">INDEX(SETORES!$B:$B,MATCH(A2972,SETORES!$A:$A,0))</f>
        <v>Funcionários</v>
      </c>
      <c r="H2972" s="16" t="s">
        <v>259</v>
      </c>
    </row>
    <row r="2973" customFormat="false" ht="14.25" hidden="false" customHeight="false" outlineLevel="0" collapsed="false">
      <c r="A2973" s="16" t="s">
        <v>44</v>
      </c>
      <c r="B2973" s="16" t="s">
        <v>155</v>
      </c>
      <c r="C2973" s="16" t="s">
        <v>212</v>
      </c>
      <c r="D2973" s="38" t="n">
        <v>3</v>
      </c>
      <c r="E2973" s="39" t="n">
        <v>30</v>
      </c>
      <c r="F2973" s="22" t="n">
        <f aca="false">IFERROR(D2973*E2973,0)</f>
        <v>90</v>
      </c>
      <c r="G2973" s="16" t="str">
        <f aca="false">INDEX(SETORES!$B:$B,MATCH(A2973,SETORES!$A:$A,0))</f>
        <v>Funcionários</v>
      </c>
      <c r="H2973" s="16" t="s">
        <v>259</v>
      </c>
    </row>
    <row r="2974" customFormat="false" ht="14.25" hidden="false" customHeight="false" outlineLevel="0" collapsed="false">
      <c r="A2974" s="16" t="s">
        <v>87</v>
      </c>
      <c r="B2974" s="16" t="s">
        <v>155</v>
      </c>
      <c r="C2974" s="16" t="s">
        <v>212</v>
      </c>
      <c r="D2974" s="38" t="n">
        <v>5</v>
      </c>
      <c r="E2974" s="39" t="n">
        <v>30</v>
      </c>
      <c r="F2974" s="22" t="n">
        <f aca="false">IFERROR(D2974*E2974,0)</f>
        <v>150</v>
      </c>
      <c r="G2974" s="16" t="str">
        <f aca="false">INDEX(SETORES!$B:$B,MATCH(A2974,SETORES!$A:$A,0))</f>
        <v>Clientes</v>
      </c>
      <c r="H2974" s="16" t="s">
        <v>259</v>
      </c>
    </row>
    <row r="2975" customFormat="false" ht="14.25" hidden="false" customHeight="false" outlineLevel="0" collapsed="false">
      <c r="A2975" s="16" t="s">
        <v>137</v>
      </c>
      <c r="B2975" s="16" t="s">
        <v>155</v>
      </c>
      <c r="C2975" s="16" t="s">
        <v>161</v>
      </c>
      <c r="D2975" s="38" t="n">
        <v>1</v>
      </c>
      <c r="E2975" s="39" t="n">
        <v>7220.72</v>
      </c>
      <c r="F2975" s="22" t="n">
        <f aca="false">IFERROR(D2975*E2975,0)</f>
        <v>7220.72</v>
      </c>
      <c r="G2975" s="16" t="str">
        <f aca="false">INDEX(SETORES!$B:$B,MATCH(A2975,SETORES!$A:$A,0))</f>
        <v>Clientes</v>
      </c>
      <c r="H2975" s="16" t="s">
        <v>259</v>
      </c>
    </row>
    <row r="2976" customFormat="false" ht="14.25" hidden="false" customHeight="false" outlineLevel="0" collapsed="false">
      <c r="A2976" s="16" t="s">
        <v>139</v>
      </c>
      <c r="B2976" s="16" t="s">
        <v>155</v>
      </c>
      <c r="C2976" s="16" t="s">
        <v>161</v>
      </c>
      <c r="D2976" s="38" t="n">
        <v>1</v>
      </c>
      <c r="E2976" s="39" t="n">
        <v>27256.45</v>
      </c>
      <c r="F2976" s="22" t="n">
        <f aca="false">IFERROR(D2976*E2976,0)</f>
        <v>27256.45</v>
      </c>
      <c r="G2976" s="16" t="str">
        <f aca="false">INDEX(SETORES!$B:$B,MATCH(A2976,SETORES!$A:$A,0))</f>
        <v>Funcionários</v>
      </c>
      <c r="H2976" s="16" t="s">
        <v>259</v>
      </c>
    </row>
    <row r="2977" customFormat="false" ht="14.25" hidden="false" customHeight="false" outlineLevel="0" collapsed="false">
      <c r="A2977" s="16" t="s">
        <v>34</v>
      </c>
      <c r="B2977" s="16" t="s">
        <v>155</v>
      </c>
      <c r="C2977" s="16" t="s">
        <v>248</v>
      </c>
      <c r="D2977" s="38" t="n">
        <v>1</v>
      </c>
      <c r="E2977" s="39" t="n">
        <v>4947.47</v>
      </c>
      <c r="F2977" s="22" t="n">
        <f aca="false">IFERROR(D2977*E2977,0)</f>
        <v>4947.47</v>
      </c>
      <c r="G2977" s="16" t="str">
        <f aca="false">INDEX(SETORES!$B:$B,MATCH(A2977,SETORES!$A:$A,0))</f>
        <v>Clientes</v>
      </c>
      <c r="H2977" s="16" t="s">
        <v>259</v>
      </c>
    </row>
    <row r="2978" customFormat="false" ht="14.25" hidden="false" customHeight="false" outlineLevel="0" collapsed="false">
      <c r="A2978" s="16" t="s">
        <v>35</v>
      </c>
      <c r="B2978" s="16" t="s">
        <v>155</v>
      </c>
      <c r="C2978" s="16" t="s">
        <v>248</v>
      </c>
      <c r="D2978" s="38" t="n">
        <v>1</v>
      </c>
      <c r="E2978" s="39" t="n">
        <v>1455.14</v>
      </c>
      <c r="F2978" s="22" t="n">
        <f aca="false">IFERROR(D2978*E2978,0)</f>
        <v>1455.14</v>
      </c>
      <c r="G2978" s="16" t="str">
        <f aca="false">INDEX(SETORES!$B:$B,MATCH(A2978,SETORES!$A:$A,0))</f>
        <v>Clientes</v>
      </c>
      <c r="H2978" s="16" t="s">
        <v>259</v>
      </c>
    </row>
    <row r="2979" customFormat="false" ht="14.25" hidden="false" customHeight="false" outlineLevel="0" collapsed="false">
      <c r="A2979" s="16" t="s">
        <v>137</v>
      </c>
      <c r="B2979" s="16" t="s">
        <v>155</v>
      </c>
      <c r="C2979" s="16" t="s">
        <v>248</v>
      </c>
      <c r="D2979" s="38" t="n">
        <v>1</v>
      </c>
      <c r="E2979" s="39" t="n">
        <v>582.06</v>
      </c>
      <c r="F2979" s="22" t="n">
        <f aca="false">IFERROR(D2979*E2979,0)</f>
        <v>582.06</v>
      </c>
      <c r="G2979" s="16" t="str">
        <f aca="false">INDEX(SETORES!$B:$B,MATCH(A2979,SETORES!$A:$A,0))</f>
        <v>Clientes</v>
      </c>
      <c r="H2979" s="16" t="s">
        <v>259</v>
      </c>
    </row>
    <row r="2980" customFormat="false" ht="14.25" hidden="false" customHeight="false" outlineLevel="0" collapsed="false">
      <c r="A2980" s="16" t="s">
        <v>37</v>
      </c>
      <c r="B2980" s="16" t="s">
        <v>155</v>
      </c>
      <c r="C2980" s="16" t="s">
        <v>249</v>
      </c>
      <c r="D2980" s="38" t="n">
        <v>1</v>
      </c>
      <c r="E2980" s="39" t="n">
        <v>3272.78</v>
      </c>
      <c r="F2980" s="22" t="n">
        <f aca="false">IFERROR(D2980*E2980,0)</f>
        <v>3272.78</v>
      </c>
      <c r="G2980" s="16" t="str">
        <f aca="false">INDEX(SETORES!$B:$B,MATCH(A2980,SETORES!$A:$A,0))</f>
        <v>Clientes</v>
      </c>
      <c r="H2980" s="16" t="s">
        <v>259</v>
      </c>
    </row>
    <row r="2981" customFormat="false" ht="14.25" hidden="false" customHeight="false" outlineLevel="0" collapsed="false">
      <c r="A2981" s="16" t="s">
        <v>38</v>
      </c>
      <c r="B2981" s="16" t="s">
        <v>155</v>
      </c>
      <c r="C2981" s="16" t="s">
        <v>249</v>
      </c>
      <c r="D2981" s="38" t="n">
        <v>1</v>
      </c>
      <c r="E2981" s="39" t="n">
        <v>1013</v>
      </c>
      <c r="F2981" s="22" t="n">
        <f aca="false">IFERROR(D2981*E2981,0)</f>
        <v>1013</v>
      </c>
      <c r="G2981" s="16" t="str">
        <f aca="false">INDEX(SETORES!$B:$B,MATCH(A2981,SETORES!$A:$A,0))</f>
        <v>Clientes</v>
      </c>
      <c r="H2981" s="16" t="s">
        <v>259</v>
      </c>
    </row>
    <row r="2982" customFormat="false" ht="14.25" hidden="false" customHeight="false" outlineLevel="0" collapsed="false">
      <c r="A2982" s="16" t="s">
        <v>39</v>
      </c>
      <c r="B2982" s="16" t="s">
        <v>155</v>
      </c>
      <c r="C2982" s="16" t="s">
        <v>249</v>
      </c>
      <c r="D2982" s="38" t="n">
        <v>1</v>
      </c>
      <c r="E2982" s="39" t="n">
        <v>935.08</v>
      </c>
      <c r="F2982" s="22" t="n">
        <f aca="false">IFERROR(D2982*E2982,0)</f>
        <v>935.08</v>
      </c>
      <c r="G2982" s="16" t="str">
        <f aca="false">INDEX(SETORES!$B:$B,MATCH(A2982,SETORES!$A:$A,0))</f>
        <v>Clientes</v>
      </c>
      <c r="H2982" s="16" t="s">
        <v>259</v>
      </c>
    </row>
    <row r="2983" customFormat="false" ht="14.25" hidden="false" customHeight="false" outlineLevel="0" collapsed="false">
      <c r="A2983" s="16" t="s">
        <v>51</v>
      </c>
      <c r="B2983" s="16" t="s">
        <v>155</v>
      </c>
      <c r="C2983" s="16" t="s">
        <v>249</v>
      </c>
      <c r="D2983" s="38" t="n">
        <v>1</v>
      </c>
      <c r="E2983" s="39" t="n">
        <v>857.16</v>
      </c>
      <c r="F2983" s="22" t="n">
        <f aca="false">IFERROR(D2983*E2983,0)</f>
        <v>857.16</v>
      </c>
      <c r="G2983" s="16" t="str">
        <f aca="false">INDEX(SETORES!$B:$B,MATCH(A2983,SETORES!$A:$A,0))</f>
        <v>Clientes</v>
      </c>
      <c r="H2983" s="16" t="s">
        <v>259</v>
      </c>
    </row>
    <row r="2984" customFormat="false" ht="14.25" hidden="false" customHeight="false" outlineLevel="0" collapsed="false">
      <c r="A2984" s="16" t="s">
        <v>53</v>
      </c>
      <c r="B2984" s="16" t="s">
        <v>155</v>
      </c>
      <c r="C2984" s="16" t="s">
        <v>249</v>
      </c>
      <c r="D2984" s="38" t="n">
        <v>1</v>
      </c>
      <c r="E2984" s="39" t="n">
        <v>2571.47</v>
      </c>
      <c r="F2984" s="22" t="n">
        <f aca="false">IFERROR(D2984*E2984,0)</f>
        <v>2571.47</v>
      </c>
      <c r="G2984" s="16" t="str">
        <f aca="false">INDEX(SETORES!$B:$B,MATCH(A2984,SETORES!$A:$A,0))</f>
        <v>Clientes</v>
      </c>
      <c r="H2984" s="16" t="s">
        <v>259</v>
      </c>
    </row>
    <row r="2985" customFormat="false" ht="14.25" hidden="false" customHeight="false" outlineLevel="0" collapsed="false">
      <c r="A2985" s="16" t="s">
        <v>52</v>
      </c>
      <c r="B2985" s="16" t="s">
        <v>155</v>
      </c>
      <c r="C2985" s="16" t="s">
        <v>249</v>
      </c>
      <c r="D2985" s="38" t="n">
        <v>1</v>
      </c>
      <c r="E2985" s="39" t="n">
        <v>623.39</v>
      </c>
      <c r="F2985" s="22" t="n">
        <f aca="false">IFERROR(D2985*E2985,0)</f>
        <v>623.39</v>
      </c>
      <c r="G2985" s="16" t="str">
        <f aca="false">INDEX(SETORES!$B:$B,MATCH(A2985,SETORES!$A:$A,0))</f>
        <v>Clientes</v>
      </c>
      <c r="H2985" s="16" t="s">
        <v>259</v>
      </c>
    </row>
    <row r="2986" customFormat="false" ht="14.25" hidden="false" customHeight="false" outlineLevel="0" collapsed="false">
      <c r="A2986" s="16" t="s">
        <v>45</v>
      </c>
      <c r="B2986" s="16" t="s">
        <v>155</v>
      </c>
      <c r="C2986" s="16" t="s">
        <v>250</v>
      </c>
      <c r="D2986" s="38" t="n">
        <v>1</v>
      </c>
      <c r="E2986" s="39" t="n">
        <v>1574.51</v>
      </c>
      <c r="F2986" s="22" t="n">
        <f aca="false">IFERROR(D2986*E2986,0)</f>
        <v>1574.51</v>
      </c>
      <c r="G2986" s="16" t="str">
        <f aca="false">INDEX(SETORES!$B:$B,MATCH(A2986,SETORES!$A:$A,0))</f>
        <v>Clientes</v>
      </c>
      <c r="H2986" s="16" t="s">
        <v>259</v>
      </c>
    </row>
    <row r="2987" customFormat="false" ht="14.25" hidden="false" customHeight="false" outlineLevel="0" collapsed="false">
      <c r="A2987" s="16" t="s">
        <v>46</v>
      </c>
      <c r="B2987" s="16" t="s">
        <v>155</v>
      </c>
      <c r="C2987" s="16" t="s">
        <v>250</v>
      </c>
      <c r="D2987" s="38" t="n">
        <v>1</v>
      </c>
      <c r="E2987" s="39" t="n">
        <v>4198.71</v>
      </c>
      <c r="F2987" s="22" t="n">
        <f aca="false">IFERROR(D2987*E2987,0)</f>
        <v>4198.71</v>
      </c>
      <c r="G2987" s="16" t="str">
        <f aca="false">INDEX(SETORES!$B:$B,MATCH(A2987,SETORES!$A:$A,0))</f>
        <v>Clientes</v>
      </c>
      <c r="H2987" s="16" t="s">
        <v>259</v>
      </c>
    </row>
    <row r="2988" customFormat="false" ht="14.25" hidden="false" customHeight="false" outlineLevel="0" collapsed="false">
      <c r="A2988" s="16" t="s">
        <v>47</v>
      </c>
      <c r="B2988" s="16" t="s">
        <v>155</v>
      </c>
      <c r="C2988" s="16" t="s">
        <v>250</v>
      </c>
      <c r="D2988" s="38" t="n">
        <v>1</v>
      </c>
      <c r="E2988" s="39" t="n">
        <v>2624.19</v>
      </c>
      <c r="F2988" s="22" t="n">
        <f aca="false">IFERROR(D2988*E2988,0)</f>
        <v>2624.19</v>
      </c>
      <c r="G2988" s="16" t="str">
        <f aca="false">INDEX(SETORES!$B:$B,MATCH(A2988,SETORES!$A:$A,0))</f>
        <v>Clientes</v>
      </c>
      <c r="H2988" s="16" t="s">
        <v>259</v>
      </c>
    </row>
    <row r="2989" customFormat="false" ht="14.25" hidden="false" customHeight="false" outlineLevel="0" collapsed="false">
      <c r="A2989" s="16" t="s">
        <v>84</v>
      </c>
      <c r="B2989" s="16" t="s">
        <v>155</v>
      </c>
      <c r="C2989" s="16" t="s">
        <v>250</v>
      </c>
      <c r="D2989" s="38" t="n">
        <v>1</v>
      </c>
      <c r="E2989" s="39" t="n">
        <v>4198.71</v>
      </c>
      <c r="F2989" s="22" t="n">
        <f aca="false">IFERROR(D2989*E2989,0)</f>
        <v>4198.71</v>
      </c>
      <c r="G2989" s="16" t="str">
        <f aca="false">INDEX(SETORES!$B:$B,MATCH(A2989,SETORES!$A:$A,0))</f>
        <v>Clientes</v>
      </c>
      <c r="H2989" s="16" t="s">
        <v>259</v>
      </c>
    </row>
    <row r="2990" customFormat="false" ht="14.25" hidden="false" customHeight="false" outlineLevel="0" collapsed="false">
      <c r="A2990" s="16" t="s">
        <v>82</v>
      </c>
      <c r="B2990" s="16" t="s">
        <v>155</v>
      </c>
      <c r="C2990" s="16" t="s">
        <v>250</v>
      </c>
      <c r="D2990" s="38" t="n">
        <v>1</v>
      </c>
      <c r="E2990" s="39" t="n">
        <v>1749.46</v>
      </c>
      <c r="F2990" s="22" t="n">
        <f aca="false">IFERROR(D2990*E2990,0)</f>
        <v>1749.46</v>
      </c>
      <c r="G2990" s="16" t="str">
        <f aca="false">INDEX(SETORES!$B:$B,MATCH(A2990,SETORES!$A:$A,0))</f>
        <v>Clientes</v>
      </c>
      <c r="H2990" s="16" t="s">
        <v>259</v>
      </c>
    </row>
    <row r="2991" customFormat="false" ht="14.25" hidden="false" customHeight="false" outlineLevel="0" collapsed="false">
      <c r="A2991" s="16" t="s">
        <v>139</v>
      </c>
      <c r="B2991" s="16" t="s">
        <v>155</v>
      </c>
      <c r="C2991" s="16" t="s">
        <v>250</v>
      </c>
      <c r="D2991" s="38" t="n">
        <v>1</v>
      </c>
      <c r="E2991" s="39" t="n">
        <v>1049.68</v>
      </c>
      <c r="F2991" s="22" t="n">
        <f aca="false">IFERROR(D2991*E2991,0)</f>
        <v>1049.68</v>
      </c>
      <c r="G2991" s="16" t="str">
        <f aca="false">INDEX(SETORES!$B:$B,MATCH(A2991,SETORES!$A:$A,0))</f>
        <v>Funcionários</v>
      </c>
      <c r="H2991" s="16" t="s">
        <v>259</v>
      </c>
    </row>
    <row r="2992" customFormat="false" ht="14.25" hidden="false" customHeight="false" outlineLevel="0" collapsed="false">
      <c r="A2992" s="16" t="s">
        <v>137</v>
      </c>
      <c r="B2992" s="16" t="s">
        <v>155</v>
      </c>
      <c r="C2992" s="16" t="s">
        <v>158</v>
      </c>
      <c r="D2992" s="38"/>
      <c r="E2992" s="39"/>
      <c r="F2992" s="22" t="n">
        <f aca="false">IFERROR(D2992*E2992,0)</f>
        <v>0</v>
      </c>
      <c r="G2992" s="16" t="str">
        <f aca="false">INDEX(SETORES!$B:$B,MATCH(A2992,SETORES!$A:$A,0))</f>
        <v>Clientes</v>
      </c>
      <c r="H2992" s="16" t="s">
        <v>259</v>
      </c>
    </row>
    <row r="2993" customFormat="false" ht="14.25" hidden="false" customHeight="false" outlineLevel="0" collapsed="false">
      <c r="A2993" s="16" t="s">
        <v>137</v>
      </c>
      <c r="B2993" s="16" t="s">
        <v>155</v>
      </c>
      <c r="C2993" s="16" t="s">
        <v>159</v>
      </c>
      <c r="D2993" s="38"/>
      <c r="E2993" s="39"/>
      <c r="F2993" s="22" t="n">
        <f aca="false">IFERROR(D2993*E2993,0)</f>
        <v>0</v>
      </c>
      <c r="G2993" s="16" t="str">
        <f aca="false">INDEX(SETORES!$B:$B,MATCH(A2993,SETORES!$A:$A,0))</f>
        <v>Clientes</v>
      </c>
      <c r="H2993" s="16" t="s">
        <v>259</v>
      </c>
    </row>
    <row r="2994" customFormat="false" ht="14.25" hidden="false" customHeight="false" outlineLevel="0" collapsed="false">
      <c r="A2994" s="16" t="s">
        <v>85</v>
      </c>
      <c r="B2994" s="16" t="s">
        <v>155</v>
      </c>
      <c r="C2994" s="16" t="s">
        <v>158</v>
      </c>
      <c r="D2994" s="38"/>
      <c r="E2994" s="39"/>
      <c r="F2994" s="22" t="n">
        <f aca="false">IFERROR(D2994*E2994,0)</f>
        <v>0</v>
      </c>
      <c r="G2994" s="16" t="str">
        <f aca="false">INDEX(SETORES!$B:$B,MATCH(A2994,SETORES!$A:$A,0))</f>
        <v>Clientes</v>
      </c>
      <c r="H2994" s="16" t="s">
        <v>259</v>
      </c>
    </row>
    <row r="2995" customFormat="false" ht="14.25" hidden="false" customHeight="false" outlineLevel="0" collapsed="false">
      <c r="A2995" s="16" t="s">
        <v>85</v>
      </c>
      <c r="B2995" s="16" t="s">
        <v>155</v>
      </c>
      <c r="C2995" s="16" t="s">
        <v>159</v>
      </c>
      <c r="D2995" s="38"/>
      <c r="E2995" s="39"/>
      <c r="F2995" s="22" t="n">
        <f aca="false">IFERROR(D2995*E2995,0)</f>
        <v>0</v>
      </c>
      <c r="G2995" s="16" t="str">
        <f aca="false">INDEX(SETORES!$B:$B,MATCH(A2995,SETORES!$A:$A,0))</f>
        <v>Clientes</v>
      </c>
      <c r="H2995" s="16" t="s">
        <v>259</v>
      </c>
    </row>
    <row r="2996" customFormat="false" ht="14.25" hidden="false" customHeight="false" outlineLevel="0" collapsed="false">
      <c r="A2996" s="16" t="s">
        <v>54</v>
      </c>
      <c r="B2996" s="16" t="s">
        <v>155</v>
      </c>
      <c r="C2996" s="16" t="s">
        <v>158</v>
      </c>
      <c r="D2996" s="38"/>
      <c r="E2996" s="39"/>
      <c r="F2996" s="22" t="n">
        <f aca="false">IFERROR(D2996*E2996,0)</f>
        <v>0</v>
      </c>
      <c r="G2996" s="16" t="str">
        <f aca="false">INDEX(SETORES!$B:$B,MATCH(A2996,SETORES!$A:$A,0))</f>
        <v>Clientes</v>
      </c>
      <c r="H2996" s="16" t="s">
        <v>259</v>
      </c>
    </row>
    <row r="2997" customFormat="false" ht="14.25" hidden="false" customHeight="false" outlineLevel="0" collapsed="false">
      <c r="A2997" s="16" t="s">
        <v>54</v>
      </c>
      <c r="B2997" s="16" t="s">
        <v>155</v>
      </c>
      <c r="C2997" s="16" t="s">
        <v>159</v>
      </c>
      <c r="D2997" s="38"/>
      <c r="E2997" s="39"/>
      <c r="F2997" s="22" t="n">
        <f aca="false">IFERROR(D2997*E2997,0)</f>
        <v>0</v>
      </c>
      <c r="G2997" s="16" t="str">
        <f aca="false">INDEX(SETORES!$B:$B,MATCH(A2997,SETORES!$A:$A,0))</f>
        <v>Clientes</v>
      </c>
      <c r="H2997" s="16" t="s">
        <v>259</v>
      </c>
    </row>
    <row r="2998" customFormat="false" ht="14.25" hidden="false" customHeight="false" outlineLevel="0" collapsed="false">
      <c r="A2998" s="16" t="s">
        <v>87</v>
      </c>
      <c r="B2998" s="16" t="s">
        <v>155</v>
      </c>
      <c r="C2998" s="16" t="s">
        <v>158</v>
      </c>
      <c r="D2998" s="38"/>
      <c r="E2998" s="39"/>
      <c r="F2998" s="22" t="n">
        <f aca="false">IFERROR(D2998*E2998,0)</f>
        <v>0</v>
      </c>
      <c r="G2998" s="16" t="str">
        <f aca="false">INDEX(SETORES!$B:$B,MATCH(A2998,SETORES!$A:$A,0))</f>
        <v>Clientes</v>
      </c>
      <c r="H2998" s="16" t="s">
        <v>259</v>
      </c>
    </row>
    <row r="2999" customFormat="false" ht="14.25" hidden="false" customHeight="false" outlineLevel="0" collapsed="false">
      <c r="A2999" s="16" t="s">
        <v>87</v>
      </c>
      <c r="B2999" s="16" t="s">
        <v>155</v>
      </c>
      <c r="C2999" s="16" t="s">
        <v>159</v>
      </c>
      <c r="D2999" s="38"/>
      <c r="E2999" s="39"/>
      <c r="F2999" s="22" t="n">
        <f aca="false">IFERROR(D2999*E2999,0)</f>
        <v>0</v>
      </c>
      <c r="G2999" s="16" t="str">
        <f aca="false">INDEX(SETORES!$B:$B,MATCH(A2999,SETORES!$A:$A,0))</f>
        <v>Clientes</v>
      </c>
      <c r="H2999" s="16" t="s">
        <v>259</v>
      </c>
    </row>
    <row r="3000" customFormat="false" ht="14.25" hidden="false" customHeight="false" outlineLevel="0" collapsed="false">
      <c r="A3000" s="16" t="s">
        <v>80</v>
      </c>
      <c r="B3000" s="16" t="s">
        <v>155</v>
      </c>
      <c r="C3000" s="16" t="s">
        <v>158</v>
      </c>
      <c r="D3000" s="38"/>
      <c r="E3000" s="39"/>
      <c r="F3000" s="22" t="n">
        <f aca="false">IFERROR(D3000*E3000,0)</f>
        <v>0</v>
      </c>
      <c r="G3000" s="16" t="str">
        <f aca="false">INDEX(SETORES!$B:$B,MATCH(A3000,SETORES!$A:$A,0))</f>
        <v>Clientes</v>
      </c>
      <c r="H3000" s="16" t="s">
        <v>259</v>
      </c>
    </row>
    <row r="3001" customFormat="false" ht="14.25" hidden="false" customHeight="false" outlineLevel="0" collapsed="false">
      <c r="A3001" s="16" t="s">
        <v>80</v>
      </c>
      <c r="B3001" s="16" t="s">
        <v>155</v>
      </c>
      <c r="C3001" s="16" t="s">
        <v>159</v>
      </c>
      <c r="D3001" s="38"/>
      <c r="E3001" s="39"/>
      <c r="F3001" s="22" t="n">
        <f aca="false">IFERROR(D3001*E3001,0)</f>
        <v>0</v>
      </c>
      <c r="G3001" s="16" t="str">
        <f aca="false">INDEX(SETORES!$B:$B,MATCH(A3001,SETORES!$A:$A,0))</f>
        <v>Clientes</v>
      </c>
      <c r="H3001" s="16" t="s">
        <v>259</v>
      </c>
    </row>
    <row r="3002" customFormat="false" ht="14.25" hidden="false" customHeight="false" outlineLevel="0" collapsed="false">
      <c r="A3002" s="16" t="s">
        <v>137</v>
      </c>
      <c r="B3002" s="16" t="s">
        <v>155</v>
      </c>
      <c r="C3002" s="16" t="s">
        <v>167</v>
      </c>
      <c r="D3002" s="38"/>
      <c r="E3002" s="39"/>
      <c r="F3002" s="22" t="n">
        <f aca="false">IFERROR(D3002*E3002,0)</f>
        <v>0</v>
      </c>
      <c r="G3002" s="16" t="str">
        <f aca="false">INDEX(SETORES!$B:$B,MATCH(A3002,SETORES!$A:$A,0))</f>
        <v>Clientes</v>
      </c>
      <c r="H3002" s="16" t="s">
        <v>259</v>
      </c>
    </row>
    <row r="3003" customFormat="false" ht="14.25" hidden="false" customHeight="false" outlineLevel="0" collapsed="false">
      <c r="A3003" s="16" t="s">
        <v>137</v>
      </c>
      <c r="B3003" s="16" t="s">
        <v>155</v>
      </c>
      <c r="C3003" s="16" t="s">
        <v>168</v>
      </c>
      <c r="D3003" s="38" t="n">
        <v>2</v>
      </c>
      <c r="E3003" s="39" t="n">
        <v>1.87</v>
      </c>
      <c r="F3003" s="22" t="n">
        <f aca="false">IFERROR(D3003*E3003,0)</f>
        <v>3.74</v>
      </c>
      <c r="G3003" s="16" t="str">
        <f aca="false">INDEX(SETORES!$B:$B,MATCH(A3003,SETORES!$A:$A,0))</f>
        <v>Clientes</v>
      </c>
      <c r="H3003" s="16" t="s">
        <v>259</v>
      </c>
    </row>
    <row r="3004" customFormat="false" ht="14.25" hidden="false" customHeight="false" outlineLevel="0" collapsed="false">
      <c r="A3004" s="16" t="s">
        <v>137</v>
      </c>
      <c r="B3004" s="16" t="s">
        <v>155</v>
      </c>
      <c r="C3004" s="16" t="s">
        <v>170</v>
      </c>
      <c r="D3004" s="38"/>
      <c r="E3004" s="39"/>
      <c r="F3004" s="22" t="n">
        <f aca="false">IFERROR(D3004*E3004,0)</f>
        <v>0</v>
      </c>
      <c r="G3004" s="16" t="str">
        <f aca="false">INDEX(SETORES!$B:$B,MATCH(A3004,SETORES!$A:$A,0))</f>
        <v>Clientes</v>
      </c>
      <c r="H3004" s="16" t="s">
        <v>259</v>
      </c>
    </row>
    <row r="3005" customFormat="false" ht="14.25" hidden="false" customHeight="false" outlineLevel="0" collapsed="false">
      <c r="A3005" s="16" t="s">
        <v>137</v>
      </c>
      <c r="B3005" s="16" t="s">
        <v>155</v>
      </c>
      <c r="C3005" s="16" t="s">
        <v>171</v>
      </c>
      <c r="D3005" s="38"/>
      <c r="E3005" s="39"/>
      <c r="F3005" s="22" t="n">
        <f aca="false">IFERROR(D3005*E3005,0)</f>
        <v>0</v>
      </c>
      <c r="G3005" s="16" t="str">
        <f aca="false">INDEX(SETORES!$B:$B,MATCH(A3005,SETORES!$A:$A,0))</f>
        <v>Clientes</v>
      </c>
      <c r="H3005" s="16" t="s">
        <v>259</v>
      </c>
    </row>
    <row r="3006" customFormat="false" ht="14.25" hidden="false" customHeight="false" outlineLevel="0" collapsed="false">
      <c r="A3006" s="16" t="s">
        <v>137</v>
      </c>
      <c r="B3006" s="16" t="s">
        <v>155</v>
      </c>
      <c r="C3006" s="16" t="s">
        <v>169</v>
      </c>
      <c r="D3006" s="38"/>
      <c r="E3006" s="39"/>
      <c r="F3006" s="22" t="n">
        <f aca="false">IFERROR(D3006*E3006,0)</f>
        <v>0</v>
      </c>
      <c r="G3006" s="16" t="str">
        <f aca="false">INDEX(SETORES!$B:$B,MATCH(A3006,SETORES!$A:$A,0))</f>
        <v>Clientes</v>
      </c>
      <c r="H3006" s="16" t="s">
        <v>259</v>
      </c>
    </row>
    <row r="3007" customFormat="false" ht="14.25" hidden="false" customHeight="false" outlineLevel="0" collapsed="false">
      <c r="A3007" s="16" t="s">
        <v>137</v>
      </c>
      <c r="B3007" s="16" t="s">
        <v>155</v>
      </c>
      <c r="C3007" s="16" t="s">
        <v>166</v>
      </c>
      <c r="D3007" s="38" t="n">
        <v>2</v>
      </c>
      <c r="E3007" s="39" t="n">
        <v>50</v>
      </c>
      <c r="F3007" s="22" t="n">
        <f aca="false">IFERROR(D3007*E3007,0)</f>
        <v>100</v>
      </c>
      <c r="G3007" s="16" t="str">
        <f aca="false">INDEX(SETORES!$B:$B,MATCH(A3007,SETORES!$A:$A,0))</f>
        <v>Clientes</v>
      </c>
      <c r="H3007" s="16" t="s">
        <v>259</v>
      </c>
    </row>
    <row r="3008" customFormat="false" ht="14.25" hidden="false" customHeight="false" outlineLevel="0" collapsed="false">
      <c r="A3008" s="16" t="s">
        <v>137</v>
      </c>
      <c r="B3008" s="16" t="s">
        <v>155</v>
      </c>
      <c r="C3008" s="16" t="s">
        <v>212</v>
      </c>
      <c r="D3008" s="38" t="n">
        <v>1</v>
      </c>
      <c r="E3008" s="39" t="n">
        <v>30</v>
      </c>
      <c r="F3008" s="22" t="n">
        <f aca="false">IFERROR(D3008*E3008,0)</f>
        <v>30</v>
      </c>
      <c r="G3008" s="16" t="str">
        <f aca="false">INDEX(SETORES!$B:$B,MATCH(A3008,SETORES!$A:$A,0))</f>
        <v>Clientes</v>
      </c>
      <c r="H3008" s="16" t="s">
        <v>259</v>
      </c>
    </row>
    <row r="3009" customFormat="false" ht="14.25" hidden="false" customHeight="false" outlineLevel="0" collapsed="false">
      <c r="A3009" s="16" t="s">
        <v>139</v>
      </c>
      <c r="B3009" s="16" t="s">
        <v>155</v>
      </c>
      <c r="C3009" s="16" t="s">
        <v>167</v>
      </c>
      <c r="D3009" s="38"/>
      <c r="E3009" s="39"/>
      <c r="F3009" s="22" t="n">
        <f aca="false">IFERROR(D3009*E3009,0)</f>
        <v>0</v>
      </c>
      <c r="G3009" s="16" t="str">
        <f aca="false">INDEX(SETORES!$B:$B,MATCH(A3009,SETORES!$A:$A,0))</f>
        <v>Funcionários</v>
      </c>
      <c r="H3009" s="16" t="s">
        <v>259</v>
      </c>
    </row>
    <row r="3010" customFormat="false" ht="14.25" hidden="false" customHeight="false" outlineLevel="0" collapsed="false">
      <c r="A3010" s="16" t="s">
        <v>139</v>
      </c>
      <c r="B3010" s="16" t="s">
        <v>155</v>
      </c>
      <c r="C3010" s="16" t="s">
        <v>168</v>
      </c>
      <c r="D3010" s="38" t="n">
        <v>6</v>
      </c>
      <c r="E3010" s="39" t="n">
        <v>1.87</v>
      </c>
      <c r="F3010" s="22" t="n">
        <f aca="false">IFERROR(D3010*E3010,0)</f>
        <v>11.22</v>
      </c>
      <c r="G3010" s="16" t="str">
        <f aca="false">INDEX(SETORES!$B:$B,MATCH(A3010,SETORES!$A:$A,0))</f>
        <v>Funcionários</v>
      </c>
      <c r="H3010" s="16" t="s">
        <v>259</v>
      </c>
    </row>
    <row r="3011" customFormat="false" ht="14.25" hidden="false" customHeight="false" outlineLevel="0" collapsed="false">
      <c r="A3011" s="16" t="s">
        <v>139</v>
      </c>
      <c r="B3011" s="16" t="s">
        <v>155</v>
      </c>
      <c r="C3011" s="16" t="s">
        <v>170</v>
      </c>
      <c r="D3011" s="38"/>
      <c r="E3011" s="39"/>
      <c r="F3011" s="22" t="n">
        <f aca="false">IFERROR(D3011*E3011,0)</f>
        <v>0</v>
      </c>
      <c r="G3011" s="16" t="str">
        <f aca="false">INDEX(SETORES!$B:$B,MATCH(A3011,SETORES!$A:$A,0))</f>
        <v>Funcionários</v>
      </c>
      <c r="H3011" s="16" t="s">
        <v>259</v>
      </c>
    </row>
    <row r="3012" customFormat="false" ht="14.25" hidden="false" customHeight="false" outlineLevel="0" collapsed="false">
      <c r="A3012" s="16" t="s">
        <v>139</v>
      </c>
      <c r="B3012" s="16" t="s">
        <v>155</v>
      </c>
      <c r="C3012" s="16" t="s">
        <v>171</v>
      </c>
      <c r="D3012" s="38"/>
      <c r="E3012" s="39"/>
      <c r="F3012" s="22" t="n">
        <f aca="false">IFERROR(D3012*E3012,0)</f>
        <v>0</v>
      </c>
      <c r="G3012" s="16" t="str">
        <f aca="false">INDEX(SETORES!$B:$B,MATCH(A3012,SETORES!$A:$A,0))</f>
        <v>Funcionários</v>
      </c>
      <c r="H3012" s="16" t="s">
        <v>259</v>
      </c>
    </row>
    <row r="3013" customFormat="false" ht="14.25" hidden="false" customHeight="false" outlineLevel="0" collapsed="false">
      <c r="A3013" s="16" t="s">
        <v>139</v>
      </c>
      <c r="B3013" s="16" t="s">
        <v>155</v>
      </c>
      <c r="C3013" s="16" t="s">
        <v>169</v>
      </c>
      <c r="D3013" s="38"/>
      <c r="E3013" s="39"/>
      <c r="F3013" s="22" t="n">
        <f aca="false">IFERROR(D3013*E3013,0)</f>
        <v>0</v>
      </c>
      <c r="G3013" s="16" t="str">
        <f aca="false">INDEX(SETORES!$B:$B,MATCH(A3013,SETORES!$A:$A,0))</f>
        <v>Funcionários</v>
      </c>
      <c r="H3013" s="16" t="s">
        <v>259</v>
      </c>
    </row>
    <row r="3014" customFormat="false" ht="14.25" hidden="false" customHeight="false" outlineLevel="0" collapsed="false">
      <c r="A3014" s="16" t="s">
        <v>43</v>
      </c>
      <c r="B3014" s="16" t="s">
        <v>162</v>
      </c>
      <c r="C3014" s="16" t="s">
        <v>163</v>
      </c>
      <c r="D3014" s="38"/>
      <c r="E3014" s="39"/>
      <c r="F3014" s="22" t="n">
        <f aca="false">IFERROR(D3014*E3014,0)</f>
        <v>0</v>
      </c>
      <c r="G3014" s="16" t="str">
        <f aca="false">INDEX(SETORES!$B:$B,MATCH(A3014,SETORES!$A:$A,0))</f>
        <v>Clientes</v>
      </c>
      <c r="H3014" s="16" t="s">
        <v>259</v>
      </c>
    </row>
    <row r="3015" customFormat="false" ht="14.25" hidden="false" customHeight="false" outlineLevel="0" collapsed="false">
      <c r="A3015" s="16" t="s">
        <v>81</v>
      </c>
      <c r="B3015" s="16" t="s">
        <v>162</v>
      </c>
      <c r="C3015" s="16" t="s">
        <v>163</v>
      </c>
      <c r="D3015" s="38"/>
      <c r="E3015" s="39"/>
      <c r="F3015" s="22" t="n">
        <f aca="false">IFERROR(D3015*E3015,0)</f>
        <v>0</v>
      </c>
      <c r="G3015" s="16" t="str">
        <f aca="false">INDEX(SETORES!$B:$B,MATCH(A3015,SETORES!$A:$A,0))</f>
        <v>Clientes</v>
      </c>
      <c r="H3015" s="16" t="s">
        <v>259</v>
      </c>
    </row>
    <row r="3016" customFormat="false" ht="14.25" hidden="false" customHeight="false" outlineLevel="0" collapsed="false">
      <c r="A3016" s="16" t="s">
        <v>47</v>
      </c>
      <c r="B3016" s="16" t="s">
        <v>162</v>
      </c>
      <c r="C3016" s="16" t="s">
        <v>163</v>
      </c>
      <c r="D3016" s="38"/>
      <c r="E3016" s="39"/>
      <c r="F3016" s="22" t="n">
        <f aca="false">IFERROR(D3016*E3016,0)</f>
        <v>0</v>
      </c>
      <c r="G3016" s="16" t="str">
        <f aca="false">INDEX(SETORES!$B:$B,MATCH(A3016,SETORES!$A:$A,0))</f>
        <v>Clientes</v>
      </c>
      <c r="H3016" s="16" t="s">
        <v>259</v>
      </c>
    </row>
    <row r="3017" customFormat="false" ht="14.25" hidden="false" customHeight="false" outlineLevel="0" collapsed="false">
      <c r="A3017" s="16" t="s">
        <v>47</v>
      </c>
      <c r="B3017" s="16" t="s">
        <v>162</v>
      </c>
      <c r="C3017" s="16" t="s">
        <v>164</v>
      </c>
      <c r="D3017" s="38"/>
      <c r="E3017" s="39"/>
      <c r="F3017" s="22" t="n">
        <f aca="false">IFERROR(D3017*E3017,0)</f>
        <v>0</v>
      </c>
      <c r="G3017" s="16" t="str">
        <f aca="false">INDEX(SETORES!$B:$B,MATCH(A3017,SETORES!$A:$A,0))</f>
        <v>Clientes</v>
      </c>
      <c r="H3017" s="16" t="s">
        <v>259</v>
      </c>
    </row>
    <row r="3018" customFormat="false" ht="14.25" hidden="false" customHeight="false" outlineLevel="0" collapsed="false">
      <c r="A3018" s="16" t="s">
        <v>85</v>
      </c>
      <c r="B3018" s="16" t="s">
        <v>162</v>
      </c>
      <c r="C3018" s="16" t="s">
        <v>163</v>
      </c>
      <c r="D3018" s="38" t="n">
        <v>1</v>
      </c>
      <c r="E3018" s="39" t="n">
        <v>360</v>
      </c>
      <c r="F3018" s="22" t="n">
        <f aca="false">IFERROR(D3018*E3018,0)</f>
        <v>360</v>
      </c>
      <c r="G3018" s="16" t="str">
        <f aca="false">INDEX(SETORES!$B:$B,MATCH(A3018,SETORES!$A:$A,0))</f>
        <v>Clientes</v>
      </c>
      <c r="H3018" s="16" t="s">
        <v>259</v>
      </c>
    </row>
    <row r="3019" customFormat="false" ht="14.25" hidden="false" customHeight="false" outlineLevel="0" collapsed="false">
      <c r="A3019" s="16" t="s">
        <v>139</v>
      </c>
      <c r="B3019" s="16" t="s">
        <v>162</v>
      </c>
      <c r="C3019" s="16" t="s">
        <v>164</v>
      </c>
      <c r="D3019" s="38"/>
      <c r="E3019" s="39"/>
      <c r="F3019" s="22" t="n">
        <f aca="false">IFERROR(D3019*E3019,0)</f>
        <v>0</v>
      </c>
      <c r="G3019" s="16" t="str">
        <f aca="false">INDEX(SETORES!$B:$B,MATCH(A3019,SETORES!$A:$A,0))</f>
        <v>Funcionários</v>
      </c>
      <c r="H3019" s="16" t="s">
        <v>259</v>
      </c>
    </row>
    <row r="3020" customFormat="false" ht="14.25" hidden="false" customHeight="false" outlineLevel="0" collapsed="false">
      <c r="A3020" s="16" t="s">
        <v>53</v>
      </c>
      <c r="B3020" s="16" t="s">
        <v>162</v>
      </c>
      <c r="C3020" s="16" t="s">
        <v>163</v>
      </c>
      <c r="D3020" s="38"/>
      <c r="E3020" s="39"/>
      <c r="F3020" s="22" t="n">
        <f aca="false">IFERROR(D3020*E3020,0)</f>
        <v>0</v>
      </c>
      <c r="G3020" s="16" t="str">
        <f aca="false">INDEX(SETORES!$B:$B,MATCH(A3020,SETORES!$A:$A,0))</f>
        <v>Clientes</v>
      </c>
      <c r="H3020" s="16" t="s">
        <v>259</v>
      </c>
    </row>
    <row r="3021" customFormat="false" ht="14.25" hidden="false" customHeight="false" outlineLevel="0" collapsed="false">
      <c r="A3021" s="16" t="s">
        <v>52</v>
      </c>
      <c r="B3021" s="16" t="s">
        <v>162</v>
      </c>
      <c r="C3021" s="16" t="s">
        <v>164</v>
      </c>
      <c r="D3021" s="38"/>
      <c r="E3021" s="39"/>
      <c r="F3021" s="22" t="n">
        <f aca="false">IFERROR(D3021*E3021,0)</f>
        <v>0</v>
      </c>
      <c r="G3021" s="16" t="str">
        <f aca="false">INDEX(SETORES!$B:$B,MATCH(A3021,SETORES!$A:$A,0))</f>
        <v>Clientes</v>
      </c>
      <c r="H3021" s="16" t="s">
        <v>259</v>
      </c>
    </row>
    <row r="3022" customFormat="false" ht="14.25" hidden="false" customHeight="false" outlineLevel="0" collapsed="false">
      <c r="A3022" s="16" t="s">
        <v>51</v>
      </c>
      <c r="B3022" s="16" t="s">
        <v>162</v>
      </c>
      <c r="C3022" s="16" t="s">
        <v>163</v>
      </c>
      <c r="D3022" s="38"/>
      <c r="E3022" s="39"/>
      <c r="F3022" s="22" t="n">
        <f aca="false">IFERROR(D3022*E3022,0)</f>
        <v>0</v>
      </c>
      <c r="G3022" s="16" t="str">
        <f aca="false">INDEX(SETORES!$B:$B,MATCH(A3022,SETORES!$A:$A,0))</f>
        <v>Clientes</v>
      </c>
      <c r="H3022" s="16" t="s">
        <v>259</v>
      </c>
    </row>
    <row r="3023" customFormat="false" ht="14.25" hidden="false" customHeight="false" outlineLevel="0" collapsed="false">
      <c r="A3023" s="16" t="s">
        <v>87</v>
      </c>
      <c r="B3023" s="16" t="s">
        <v>162</v>
      </c>
      <c r="C3023" s="16" t="s">
        <v>163</v>
      </c>
      <c r="D3023" s="38"/>
      <c r="E3023" s="39"/>
      <c r="F3023" s="22" t="n">
        <f aca="false">IFERROR(D3023*E3023,0)</f>
        <v>0</v>
      </c>
      <c r="G3023" s="16" t="str">
        <f aca="false">INDEX(SETORES!$B:$B,MATCH(A3023,SETORES!$A:$A,0))</f>
        <v>Clientes</v>
      </c>
      <c r="H3023" s="16" t="s">
        <v>259</v>
      </c>
    </row>
    <row r="3024" customFormat="false" ht="14.25" hidden="false" customHeight="false" outlineLevel="0" collapsed="false">
      <c r="A3024" s="16" t="s">
        <v>51</v>
      </c>
      <c r="B3024" s="16" t="s">
        <v>155</v>
      </c>
      <c r="C3024" s="16" t="s">
        <v>187</v>
      </c>
      <c r="D3024" s="38"/>
      <c r="E3024" s="39"/>
      <c r="F3024" s="22" t="n">
        <f aca="false">IFERROR(D3024*E3024,0)</f>
        <v>0</v>
      </c>
      <c r="G3024" s="16" t="str">
        <f aca="false">INDEX(SETORES!$B:$B,MATCH(A3024,SETORES!$A:$A,0))</f>
        <v>Clientes</v>
      </c>
      <c r="H3024" s="16" t="s">
        <v>259</v>
      </c>
    </row>
    <row r="3025" customFormat="false" ht="14.25" hidden="false" customHeight="false" outlineLevel="0" collapsed="false">
      <c r="A3025" s="16" t="s">
        <v>79</v>
      </c>
      <c r="B3025" s="16" t="s">
        <v>155</v>
      </c>
      <c r="C3025" s="16" t="s">
        <v>250</v>
      </c>
      <c r="D3025" s="38" t="n">
        <v>1</v>
      </c>
      <c r="E3025" s="39" t="n">
        <v>699.78</v>
      </c>
      <c r="F3025" s="22" t="n">
        <f aca="false">IFERROR(D3025*E3025,0)</f>
        <v>699.78</v>
      </c>
      <c r="G3025" s="16" t="str">
        <f aca="false">INDEX(SETORES!$B:$B,MATCH(A3025,SETORES!$A:$A,0))</f>
        <v>Funcionários</v>
      </c>
      <c r="H3025" s="16" t="s">
        <v>259</v>
      </c>
    </row>
    <row r="3026" customFormat="false" ht="14.25" hidden="false" customHeight="false" outlineLevel="0" collapsed="false">
      <c r="A3026" s="16" t="s">
        <v>79</v>
      </c>
      <c r="B3026" s="16" t="s">
        <v>155</v>
      </c>
      <c r="C3026" s="16" t="s">
        <v>167</v>
      </c>
      <c r="D3026" s="38"/>
      <c r="E3026" s="39"/>
      <c r="F3026" s="22" t="n">
        <f aca="false">IFERROR(D3026*E3026,0)</f>
        <v>0</v>
      </c>
      <c r="G3026" s="16" t="str">
        <f aca="false">INDEX(SETORES!$B:$B,MATCH(A3026,SETORES!$A:$A,0))</f>
        <v>Funcionários</v>
      </c>
      <c r="H3026" s="16" t="s">
        <v>259</v>
      </c>
    </row>
    <row r="3027" customFormat="false" ht="14.25" hidden="false" customHeight="false" outlineLevel="0" collapsed="false">
      <c r="A3027" s="16" t="s">
        <v>79</v>
      </c>
      <c r="B3027" s="16" t="s">
        <v>155</v>
      </c>
      <c r="C3027" s="16" t="s">
        <v>168</v>
      </c>
      <c r="D3027" s="38" t="n">
        <v>4</v>
      </c>
      <c r="E3027" s="39" t="n">
        <v>1.87</v>
      </c>
      <c r="F3027" s="22" t="n">
        <f aca="false">IFERROR(D3027*E3027,0)</f>
        <v>7.48</v>
      </c>
      <c r="G3027" s="16" t="str">
        <f aca="false">INDEX(SETORES!$B:$B,MATCH(A3027,SETORES!$A:$A,0))</f>
        <v>Funcionários</v>
      </c>
      <c r="H3027" s="16" t="s">
        <v>259</v>
      </c>
    </row>
    <row r="3028" customFormat="false" ht="14.25" hidden="false" customHeight="false" outlineLevel="0" collapsed="false">
      <c r="A3028" s="16" t="s">
        <v>79</v>
      </c>
      <c r="B3028" s="16" t="s">
        <v>155</v>
      </c>
      <c r="C3028" s="16" t="s">
        <v>170</v>
      </c>
      <c r="D3028" s="38"/>
      <c r="E3028" s="39"/>
      <c r="F3028" s="22" t="n">
        <f aca="false">IFERROR(D3028*E3028,0)</f>
        <v>0</v>
      </c>
      <c r="G3028" s="16" t="str">
        <f aca="false">INDEX(SETORES!$B:$B,MATCH(A3028,SETORES!$A:$A,0))</f>
        <v>Funcionários</v>
      </c>
      <c r="H3028" s="16" t="s">
        <v>259</v>
      </c>
    </row>
    <row r="3029" customFormat="false" ht="14.25" hidden="false" customHeight="false" outlineLevel="0" collapsed="false">
      <c r="A3029" s="16" t="s">
        <v>79</v>
      </c>
      <c r="B3029" s="16" t="s">
        <v>155</v>
      </c>
      <c r="C3029" s="16" t="s">
        <v>171</v>
      </c>
      <c r="D3029" s="38"/>
      <c r="E3029" s="39"/>
      <c r="F3029" s="22" t="n">
        <f aca="false">IFERROR(D3029*E3029,0)</f>
        <v>0</v>
      </c>
      <c r="G3029" s="16" t="str">
        <f aca="false">INDEX(SETORES!$B:$B,MATCH(A3029,SETORES!$A:$A,0))</f>
        <v>Funcionários</v>
      </c>
      <c r="H3029" s="16" t="s">
        <v>259</v>
      </c>
    </row>
    <row r="3030" customFormat="false" ht="14.25" hidden="false" customHeight="false" outlineLevel="0" collapsed="false">
      <c r="A3030" s="16" t="s">
        <v>79</v>
      </c>
      <c r="B3030" s="16" t="s">
        <v>155</v>
      </c>
      <c r="C3030" s="16" t="s">
        <v>169</v>
      </c>
      <c r="D3030" s="38"/>
      <c r="E3030" s="39"/>
      <c r="F3030" s="22" t="n">
        <f aca="false">IFERROR(D3030*E3030,0)</f>
        <v>0</v>
      </c>
      <c r="G3030" s="16" t="str">
        <f aca="false">INDEX(SETORES!$B:$B,MATCH(A3030,SETORES!$A:$A,0))</f>
        <v>Funcionários</v>
      </c>
      <c r="H3030" s="16" t="s">
        <v>259</v>
      </c>
    </row>
    <row r="3031" customFormat="false" ht="14.25" hidden="false" customHeight="false" outlineLevel="0" collapsed="false">
      <c r="A3031" s="16" t="s">
        <v>79</v>
      </c>
      <c r="B3031" s="16" t="s">
        <v>162</v>
      </c>
      <c r="C3031" s="16" t="s">
        <v>252</v>
      </c>
      <c r="D3031" s="38"/>
      <c r="E3031" s="39"/>
      <c r="F3031" s="22" t="n">
        <f aca="false">IFERROR(D3031*E3031,0)</f>
        <v>0</v>
      </c>
      <c r="G3031" s="16" t="str">
        <f aca="false">INDEX(SETORES!$B:$B,MATCH(A3031,SETORES!$A:$A,0))</f>
        <v>Funcionários</v>
      </c>
      <c r="H3031" s="16" t="s">
        <v>259</v>
      </c>
    </row>
    <row r="3032" customFormat="false" ht="14.25" hidden="false" customHeight="false" outlineLevel="0" collapsed="false">
      <c r="A3032" s="16" t="s">
        <v>79</v>
      </c>
      <c r="B3032" s="16" t="s">
        <v>162</v>
      </c>
      <c r="C3032" s="16" t="s">
        <v>253</v>
      </c>
      <c r="D3032" s="38"/>
      <c r="E3032" s="39"/>
      <c r="F3032" s="22" t="n">
        <f aca="false">IFERROR(D3032*E3032,0)</f>
        <v>0</v>
      </c>
      <c r="G3032" s="16" t="str">
        <f aca="false">INDEX(SETORES!$B:$B,MATCH(A3032,SETORES!$A:$A,0))</f>
        <v>Funcionários</v>
      </c>
      <c r="H3032" s="16" t="s">
        <v>259</v>
      </c>
    </row>
    <row r="3033" customFormat="false" ht="14.25" hidden="false" customHeight="false" outlineLevel="0" collapsed="false">
      <c r="A3033" s="16" t="s">
        <v>79</v>
      </c>
      <c r="B3033" s="16" t="s">
        <v>162</v>
      </c>
      <c r="C3033" s="16" t="s">
        <v>254</v>
      </c>
      <c r="D3033" s="38"/>
      <c r="E3033" s="39"/>
      <c r="F3033" s="22" t="n">
        <f aca="false">IFERROR(D3033*E3033,0)</f>
        <v>0</v>
      </c>
      <c r="G3033" s="16" t="str">
        <f aca="false">INDEX(SETORES!$B:$B,MATCH(A3033,SETORES!$A:$A,0))</f>
        <v>Funcionários</v>
      </c>
      <c r="H3033" s="16" t="s">
        <v>259</v>
      </c>
    </row>
    <row r="3034" customFormat="false" ht="14.25" hidden="false" customHeight="false" outlineLevel="0" collapsed="false">
      <c r="A3034" s="16" t="s">
        <v>79</v>
      </c>
      <c r="B3034" s="16" t="s">
        <v>162</v>
      </c>
      <c r="C3034" s="16" t="s">
        <v>255</v>
      </c>
      <c r="D3034" s="38"/>
      <c r="E3034" s="39"/>
      <c r="F3034" s="22" t="n">
        <f aca="false">IFERROR(D3034*E3034,0)</f>
        <v>0</v>
      </c>
      <c r="G3034" s="16" t="str">
        <f aca="false">INDEX(SETORES!$B:$B,MATCH(A3034,SETORES!$A:$A,0))</f>
        <v>Funcionários</v>
      </c>
      <c r="H3034" s="16" t="s">
        <v>259</v>
      </c>
    </row>
    <row r="3035" customFormat="false" ht="14.25" hidden="false" customHeight="false" outlineLevel="0" collapsed="false">
      <c r="A3035" s="16" t="s">
        <v>141</v>
      </c>
      <c r="B3035" s="16" t="s">
        <v>155</v>
      </c>
      <c r="C3035" s="16" t="s">
        <v>161</v>
      </c>
      <c r="D3035" s="38" t="n">
        <v>1</v>
      </c>
      <c r="E3035" s="39" t="n">
        <v>24325.69</v>
      </c>
      <c r="F3035" s="22" t="n">
        <f aca="false">IFERROR(D3035*E3035,0)</f>
        <v>24325.69</v>
      </c>
      <c r="G3035" s="16" t="str">
        <f aca="false">INDEX(SETORES!$B:$B,MATCH(A3035,SETORES!$A:$A,0))</f>
        <v>Clientes</v>
      </c>
      <c r="H3035" s="16" t="s">
        <v>259</v>
      </c>
    </row>
    <row r="3036" customFormat="false" ht="14.25" hidden="false" customHeight="false" outlineLevel="0" collapsed="false">
      <c r="A3036" s="16" t="s">
        <v>48</v>
      </c>
      <c r="B3036" s="16" t="s">
        <v>155</v>
      </c>
      <c r="C3036" s="16" t="s">
        <v>256</v>
      </c>
      <c r="D3036" s="38" t="n">
        <v>1</v>
      </c>
      <c r="E3036" s="39" t="n">
        <v>11599.66</v>
      </c>
      <c r="F3036" s="22" t="n">
        <f aca="false">IFERROR(D3036*E3036,0)</f>
        <v>11599.66</v>
      </c>
      <c r="G3036" s="16" t="str">
        <f aca="false">INDEX(SETORES!$B:$B,MATCH(A3036,SETORES!$A:$A,0))</f>
        <v>Clientes</v>
      </c>
      <c r="H3036" s="16" t="s">
        <v>259</v>
      </c>
    </row>
    <row r="3037" customFormat="false" ht="14.25" hidden="false" customHeight="false" outlineLevel="0" collapsed="false">
      <c r="A3037" s="16" t="s">
        <v>49</v>
      </c>
      <c r="B3037" s="16" t="s">
        <v>155</v>
      </c>
      <c r="C3037" s="16" t="s">
        <v>256</v>
      </c>
      <c r="D3037" s="38" t="n">
        <v>1</v>
      </c>
      <c r="E3037" s="39" t="n">
        <v>2899.91</v>
      </c>
      <c r="F3037" s="22" t="n">
        <f aca="false">IFERROR(D3037*E3037,0)</f>
        <v>2899.91</v>
      </c>
      <c r="G3037" s="16" t="str">
        <f aca="false">INDEX(SETORES!$B:$B,MATCH(A3037,SETORES!$A:$A,0))</f>
        <v>Clientes</v>
      </c>
      <c r="H3037" s="16" t="s">
        <v>259</v>
      </c>
    </row>
    <row r="3038" customFormat="false" ht="14.25" hidden="false" customHeight="false" outlineLevel="0" collapsed="false">
      <c r="A3038" s="16" t="s">
        <v>143</v>
      </c>
      <c r="B3038" s="16" t="s">
        <v>155</v>
      </c>
      <c r="C3038" s="16" t="s">
        <v>161</v>
      </c>
      <c r="D3038" s="38" t="n">
        <v>1</v>
      </c>
      <c r="E3038" s="39" t="n">
        <v>46351.21</v>
      </c>
      <c r="F3038" s="22" t="n">
        <f aca="false">IFERROR(D3038*E3038,0)</f>
        <v>46351.21</v>
      </c>
      <c r="G3038" s="16" t="str">
        <f aca="false">INDEX(SETORES!$B:$B,MATCH(A3038,SETORES!$A:$A,0))</f>
        <v>Clientes</v>
      </c>
      <c r="H3038" s="16" t="s">
        <v>259</v>
      </c>
    </row>
    <row r="3039" customFormat="false" ht="14.25" hidden="false" customHeight="false" outlineLevel="0" collapsed="false">
      <c r="A3039" s="16" t="s">
        <v>79</v>
      </c>
      <c r="B3039" s="16" t="s">
        <v>162</v>
      </c>
      <c r="C3039" s="16" t="s">
        <v>222</v>
      </c>
      <c r="D3039" s="38"/>
      <c r="E3039" s="39"/>
      <c r="F3039" s="22" t="n">
        <f aca="false">IFERROR(D3039*E3039,0)</f>
        <v>0</v>
      </c>
      <c r="G3039" s="16" t="str">
        <f aca="false">INDEX(SETORES!$B:$B,MATCH(A3039,SETORES!$A:$A,0))</f>
        <v>Funcionários</v>
      </c>
      <c r="H3039" s="16" t="s">
        <v>259</v>
      </c>
    </row>
    <row r="3040" customFormat="false" ht="14.25" hidden="false" customHeight="false" outlineLevel="0" collapsed="false">
      <c r="A3040" s="16" t="s">
        <v>85</v>
      </c>
      <c r="B3040" s="16" t="s">
        <v>162</v>
      </c>
      <c r="C3040" s="16" t="s">
        <v>222</v>
      </c>
      <c r="D3040" s="38"/>
      <c r="E3040" s="39"/>
      <c r="F3040" s="22" t="n">
        <f aca="false">IFERROR(D3040*E3040,0)</f>
        <v>0</v>
      </c>
      <c r="G3040" s="16" t="str">
        <f aca="false">INDEX(SETORES!$B:$B,MATCH(A3040,SETORES!$A:$A,0))</f>
        <v>Clientes</v>
      </c>
      <c r="H3040" s="16" t="s">
        <v>259</v>
      </c>
    </row>
    <row r="3041" customFormat="false" ht="14.25" hidden="false" customHeight="false" outlineLevel="0" collapsed="false">
      <c r="A3041" s="16" t="s">
        <v>143</v>
      </c>
      <c r="B3041" s="16" t="s">
        <v>162</v>
      </c>
      <c r="C3041" s="16" t="s">
        <v>222</v>
      </c>
      <c r="D3041" s="38"/>
      <c r="E3041" s="39"/>
      <c r="F3041" s="22" t="n">
        <f aca="false">IFERROR(D3041*E3041,0)</f>
        <v>0</v>
      </c>
      <c r="G3041" s="16" t="str">
        <f aca="false">INDEX(SETORES!$B:$B,MATCH(A3041,SETORES!$A:$A,0))</f>
        <v>Clientes</v>
      </c>
      <c r="H3041" s="16" t="s">
        <v>259</v>
      </c>
    </row>
    <row r="3042" customFormat="false" ht="14.25" hidden="false" customHeight="false" outlineLevel="0" collapsed="false">
      <c r="A3042" s="16" t="s">
        <v>86</v>
      </c>
      <c r="B3042" s="16" t="s">
        <v>162</v>
      </c>
      <c r="C3042" s="16" t="s">
        <v>163</v>
      </c>
      <c r="D3042" s="38" t="n">
        <v>1</v>
      </c>
      <c r="E3042" s="39" t="n">
        <v>270</v>
      </c>
      <c r="F3042" s="22" t="n">
        <f aca="false">IFERROR(D3042*E3042,0)</f>
        <v>270</v>
      </c>
      <c r="G3042" s="16" t="str">
        <f aca="false">INDEX(SETORES!$B:$B,MATCH(A3042,SETORES!$A:$A,0))</f>
        <v>Clientes</v>
      </c>
      <c r="H3042" s="16" t="s">
        <v>259</v>
      </c>
    </row>
    <row r="3043" customFormat="false" ht="14.25" hidden="false" customHeight="false" outlineLevel="0" collapsed="false">
      <c r="A3043" s="16" t="s">
        <v>86</v>
      </c>
      <c r="B3043" s="16" t="s">
        <v>162</v>
      </c>
      <c r="C3043" s="16" t="s">
        <v>156</v>
      </c>
      <c r="D3043" s="38" t="n">
        <v>1</v>
      </c>
      <c r="E3043" s="39" t="n">
        <v>69.45</v>
      </c>
      <c r="F3043" s="22" t="n">
        <f aca="false">IFERROR(D3043*E3043,0)</f>
        <v>69.45</v>
      </c>
      <c r="G3043" s="16" t="str">
        <f aca="false">INDEX(SETORES!$B:$B,MATCH(A3043,SETORES!$A:$A,0))</f>
        <v>Clientes</v>
      </c>
      <c r="H3043" s="16" t="s">
        <v>259</v>
      </c>
    </row>
    <row r="3044" customFormat="false" ht="14.25" hidden="false" customHeight="false" outlineLevel="0" collapsed="false">
      <c r="A3044" s="16" t="s">
        <v>87</v>
      </c>
      <c r="B3044" s="16" t="s">
        <v>162</v>
      </c>
      <c r="C3044" s="16" t="s">
        <v>156</v>
      </c>
      <c r="D3044" s="38" t="n">
        <v>1</v>
      </c>
      <c r="E3044" s="39" t="n">
        <v>52.84</v>
      </c>
      <c r="F3044" s="22" t="n">
        <f aca="false">IFERROR(D3044*E3044,0)</f>
        <v>52.84</v>
      </c>
      <c r="G3044" s="16" t="str">
        <f aca="false">INDEX(SETORES!$B:$B,MATCH(A3044,SETORES!$A:$A,0))</f>
        <v>Clientes</v>
      </c>
      <c r="H3044" s="16" t="s">
        <v>259</v>
      </c>
    </row>
    <row r="3045" customFormat="false" ht="14.25" hidden="false" customHeight="false" outlineLevel="0" collapsed="false">
      <c r="A3045" s="16" t="s">
        <v>54</v>
      </c>
      <c r="B3045" s="16" t="s">
        <v>162</v>
      </c>
      <c r="C3045" s="16" t="s">
        <v>156</v>
      </c>
      <c r="D3045" s="38" t="n">
        <v>1</v>
      </c>
      <c r="E3045" s="39" t="n">
        <v>9.64</v>
      </c>
      <c r="F3045" s="22" t="n">
        <f aca="false">IFERROR(D3045*E3045,0)</f>
        <v>9.64</v>
      </c>
      <c r="G3045" s="16" t="str">
        <f aca="false">INDEX(SETORES!$B:$B,MATCH(A3045,SETORES!$A:$A,0))</f>
        <v>Clientes</v>
      </c>
      <c r="H3045" s="16" t="s">
        <v>259</v>
      </c>
    </row>
    <row r="3046" customFormat="false" ht="14.25" hidden="false" customHeight="false" outlineLevel="0" collapsed="false">
      <c r="A3046" s="16" t="s">
        <v>79</v>
      </c>
      <c r="B3046" s="16" t="s">
        <v>162</v>
      </c>
      <c r="C3046" s="16" t="s">
        <v>157</v>
      </c>
      <c r="D3046" s="38" t="n">
        <v>1</v>
      </c>
      <c r="E3046" s="39" t="n">
        <v>124.05</v>
      </c>
      <c r="F3046" s="22" t="n">
        <f aca="false">IFERROR(D3046*E3046,0)</f>
        <v>124.05</v>
      </c>
      <c r="G3046" s="16" t="str">
        <f aca="false">INDEX(SETORES!$B:$B,MATCH(A3046,SETORES!$A:$A,0))</f>
        <v>Funcionários</v>
      </c>
      <c r="H3046" s="16" t="s">
        <v>259</v>
      </c>
    </row>
    <row r="3047" customFormat="false" ht="14.25" hidden="false" customHeight="false" outlineLevel="0" collapsed="false">
      <c r="A3047" s="16" t="s">
        <v>81</v>
      </c>
      <c r="B3047" s="16" t="s">
        <v>162</v>
      </c>
      <c r="C3047" s="16" t="s">
        <v>156</v>
      </c>
      <c r="D3047" s="38" t="n">
        <v>1</v>
      </c>
      <c r="E3047" s="39" t="n">
        <v>528.1</v>
      </c>
      <c r="F3047" s="22" t="n">
        <f aca="false">IFERROR(D3047*E3047,0)</f>
        <v>528.1</v>
      </c>
      <c r="G3047" s="16" t="str">
        <f aca="false">INDEX(SETORES!$B:$B,MATCH(A3047,SETORES!$A:$A,0))</f>
        <v>Clientes</v>
      </c>
      <c r="H3047" s="16" t="s">
        <v>259</v>
      </c>
    </row>
    <row r="3048" customFormat="false" ht="14.25" hidden="false" customHeight="false" outlineLevel="0" collapsed="false">
      <c r="A3048" s="16" t="s">
        <v>34</v>
      </c>
      <c r="B3048" s="16" t="s">
        <v>155</v>
      </c>
      <c r="C3048" s="16" t="s">
        <v>258</v>
      </c>
      <c r="D3048" s="38" t="n">
        <v>1</v>
      </c>
      <c r="E3048" s="39" t="n">
        <v>329.56</v>
      </c>
      <c r="F3048" s="22" t="n">
        <f aca="false">IFERROR(D3048*E3048,0)</f>
        <v>329.56</v>
      </c>
      <c r="G3048" s="16" t="str">
        <f aca="false">INDEX(SETORES!$B:$B,MATCH(A3048,SETORES!$A:$A,0))</f>
        <v>Clientes</v>
      </c>
      <c r="H3048" s="16" t="s">
        <v>259</v>
      </c>
    </row>
    <row r="3049" customFormat="false" ht="14.25" hidden="false" customHeight="false" outlineLevel="0" collapsed="false">
      <c r="A3049" s="16" t="s">
        <v>35</v>
      </c>
      <c r="B3049" s="16" t="s">
        <v>155</v>
      </c>
      <c r="C3049" s="16" t="s">
        <v>258</v>
      </c>
      <c r="D3049" s="38" t="n">
        <v>1</v>
      </c>
      <c r="E3049" s="39" t="n">
        <v>96.93</v>
      </c>
      <c r="F3049" s="22" t="n">
        <f aca="false">IFERROR(D3049*E3049,0)</f>
        <v>96.93</v>
      </c>
      <c r="G3049" s="16" t="str">
        <f aca="false">INDEX(SETORES!$B:$B,MATCH(A3049,SETORES!$A:$A,0))</f>
        <v>Clientes</v>
      </c>
      <c r="H3049" s="16" t="s">
        <v>259</v>
      </c>
    </row>
    <row r="3050" customFormat="false" ht="14.25" hidden="false" customHeight="false" outlineLevel="0" collapsed="false">
      <c r="A3050" s="16" t="s">
        <v>38</v>
      </c>
      <c r="B3050" s="16" t="s">
        <v>155</v>
      </c>
      <c r="C3050" s="16" t="s">
        <v>258</v>
      </c>
      <c r="D3050" s="38" t="n">
        <v>1</v>
      </c>
      <c r="E3050" s="39" t="n">
        <v>252.02</v>
      </c>
      <c r="F3050" s="22" t="n">
        <f aca="false">IFERROR(D3050*E3050,0)</f>
        <v>252.02</v>
      </c>
      <c r="G3050" s="16" t="str">
        <f aca="false">INDEX(SETORES!$B:$B,MATCH(A3050,SETORES!$A:$A,0))</f>
        <v>Clientes</v>
      </c>
      <c r="H3050" s="16" t="s">
        <v>259</v>
      </c>
    </row>
    <row r="3051" customFormat="false" ht="14.25" hidden="false" customHeight="false" outlineLevel="0" collapsed="false">
      <c r="A3051" s="16" t="s">
        <v>43</v>
      </c>
      <c r="B3051" s="16" t="s">
        <v>155</v>
      </c>
      <c r="C3051" s="16" t="s">
        <v>258</v>
      </c>
      <c r="D3051" s="38" t="n">
        <v>1</v>
      </c>
      <c r="E3051" s="39" t="n">
        <v>96.93</v>
      </c>
      <c r="F3051" s="22" t="n">
        <f aca="false">IFERROR(D3051*E3051,0)</f>
        <v>96.93</v>
      </c>
      <c r="G3051" s="16" t="str">
        <f aca="false">INDEX(SETORES!$B:$B,MATCH(A3051,SETORES!$A:$A,0))</f>
        <v>Clientes</v>
      </c>
      <c r="H3051" s="16" t="s">
        <v>259</v>
      </c>
    </row>
    <row r="3052" customFormat="false" ht="14.25" hidden="false" customHeight="false" outlineLevel="0" collapsed="false">
      <c r="A3052" s="16" t="s">
        <v>40</v>
      </c>
      <c r="B3052" s="16" t="s">
        <v>155</v>
      </c>
      <c r="C3052" s="16" t="s">
        <v>258</v>
      </c>
      <c r="D3052" s="38" t="n">
        <v>1</v>
      </c>
      <c r="E3052" s="39" t="n">
        <v>116.32</v>
      </c>
      <c r="F3052" s="22" t="n">
        <f aca="false">IFERROR(D3052*E3052,0)</f>
        <v>116.32</v>
      </c>
      <c r="G3052" s="16" t="str">
        <f aca="false">INDEX(SETORES!$B:$B,MATCH(A3052,SETORES!$A:$A,0))</f>
        <v>Clientes</v>
      </c>
      <c r="H3052" s="16" t="s">
        <v>259</v>
      </c>
    </row>
    <row r="3053" customFormat="false" ht="14.25" hidden="false" customHeight="false" outlineLevel="0" collapsed="false">
      <c r="A3053" s="16" t="s">
        <v>33</v>
      </c>
      <c r="B3053" s="16" t="s">
        <v>155</v>
      </c>
      <c r="C3053" s="16" t="s">
        <v>258</v>
      </c>
      <c r="D3053" s="38" t="n">
        <v>1</v>
      </c>
      <c r="E3053" s="39" t="n">
        <v>174.47</v>
      </c>
      <c r="F3053" s="22" t="n">
        <f aca="false">IFERROR(D3053*E3053,0)</f>
        <v>174.47</v>
      </c>
      <c r="G3053" s="16" t="str">
        <f aca="false">INDEX(SETORES!$B:$B,MATCH(A3053,SETORES!$A:$A,0))</f>
        <v>Funcionários</v>
      </c>
      <c r="H3053" s="16" t="s">
        <v>259</v>
      </c>
    </row>
    <row r="3054" customFormat="false" ht="14.25" hidden="false" customHeight="false" outlineLevel="0" collapsed="false">
      <c r="A3054" s="16" t="s">
        <v>42</v>
      </c>
      <c r="B3054" s="16" t="s">
        <v>155</v>
      </c>
      <c r="C3054" s="16" t="s">
        <v>258</v>
      </c>
      <c r="D3054" s="38" t="n">
        <v>1</v>
      </c>
      <c r="E3054" s="39" t="n">
        <v>38.77</v>
      </c>
      <c r="F3054" s="22" t="n">
        <f aca="false">IFERROR(D3054*E3054,0)</f>
        <v>38.77</v>
      </c>
      <c r="G3054" s="16" t="str">
        <f aca="false">INDEX(SETORES!$B:$B,MATCH(A3054,SETORES!$A:$A,0))</f>
        <v>Clientes</v>
      </c>
      <c r="H3054" s="16" t="s">
        <v>259</v>
      </c>
    </row>
    <row r="3055" customFormat="false" ht="14.25" hidden="false" customHeight="false" outlineLevel="0" collapsed="false">
      <c r="A3055" s="16" t="s">
        <v>45</v>
      </c>
      <c r="B3055" s="16" t="s">
        <v>155</v>
      </c>
      <c r="C3055" s="16" t="s">
        <v>258</v>
      </c>
      <c r="D3055" s="38" t="n">
        <v>1</v>
      </c>
      <c r="E3055" s="39" t="n">
        <v>174.47</v>
      </c>
      <c r="F3055" s="22" t="n">
        <f aca="false">IFERROR(D3055*E3055,0)</f>
        <v>174.47</v>
      </c>
      <c r="G3055" s="16" t="str">
        <f aca="false">INDEX(SETORES!$B:$B,MATCH(A3055,SETORES!$A:$A,0))</f>
        <v>Clientes</v>
      </c>
      <c r="H3055" s="16" t="s">
        <v>259</v>
      </c>
    </row>
    <row r="3056" customFormat="false" ht="14.25" hidden="false" customHeight="false" outlineLevel="0" collapsed="false">
      <c r="A3056" s="16" t="s">
        <v>50</v>
      </c>
      <c r="B3056" s="16" t="s">
        <v>155</v>
      </c>
      <c r="C3056" s="16" t="s">
        <v>258</v>
      </c>
      <c r="D3056" s="38" t="n">
        <v>1</v>
      </c>
      <c r="E3056" s="39" t="n">
        <v>310.17</v>
      </c>
      <c r="F3056" s="22" t="n">
        <f aca="false">IFERROR(D3056*E3056,0)</f>
        <v>310.17</v>
      </c>
      <c r="G3056" s="16" t="str">
        <f aca="false">INDEX(SETORES!$B:$B,MATCH(A3056,SETORES!$A:$A,0))</f>
        <v>Clientes</v>
      </c>
      <c r="H3056" s="16" t="s">
        <v>259</v>
      </c>
    </row>
    <row r="3057" customFormat="false" ht="14.25" hidden="false" customHeight="false" outlineLevel="0" collapsed="false">
      <c r="A3057" s="16" t="s">
        <v>36</v>
      </c>
      <c r="B3057" s="16" t="s">
        <v>155</v>
      </c>
      <c r="C3057" s="16" t="s">
        <v>258</v>
      </c>
      <c r="D3057" s="38" t="n">
        <v>1</v>
      </c>
      <c r="E3057" s="39" t="n">
        <v>155.09</v>
      </c>
      <c r="F3057" s="22" t="n">
        <f aca="false">IFERROR(D3057*E3057,0)</f>
        <v>155.09</v>
      </c>
      <c r="G3057" s="16" t="str">
        <f aca="false">INDEX(SETORES!$B:$B,MATCH(A3057,SETORES!$A:$A,0))</f>
        <v>Clientes</v>
      </c>
      <c r="H3057" s="16" t="s">
        <v>259</v>
      </c>
    </row>
    <row r="3058" customFormat="false" ht="14.25" hidden="false" customHeight="false" outlineLevel="0" collapsed="false">
      <c r="A3058" s="16" t="s">
        <v>48</v>
      </c>
      <c r="B3058" s="16" t="s">
        <v>155</v>
      </c>
      <c r="C3058" s="16" t="s">
        <v>258</v>
      </c>
      <c r="D3058" s="38" t="n">
        <v>1</v>
      </c>
      <c r="E3058" s="39" t="n">
        <v>310.17</v>
      </c>
      <c r="F3058" s="22" t="n">
        <f aca="false">IFERROR(D3058*E3058,0)</f>
        <v>310.17</v>
      </c>
      <c r="G3058" s="16" t="str">
        <f aca="false">INDEX(SETORES!$B:$B,MATCH(A3058,SETORES!$A:$A,0))</f>
        <v>Clientes</v>
      </c>
      <c r="H3058" s="16" t="s">
        <v>259</v>
      </c>
    </row>
    <row r="3059" customFormat="false" ht="14.25" hidden="false" customHeight="false" outlineLevel="0" collapsed="false">
      <c r="A3059" s="16" t="s">
        <v>31</v>
      </c>
      <c r="B3059" s="16" t="s">
        <v>155</v>
      </c>
      <c r="C3059" s="16" t="s">
        <v>258</v>
      </c>
      <c r="D3059" s="38" t="n">
        <v>1</v>
      </c>
      <c r="E3059" s="39" t="n">
        <v>58.16</v>
      </c>
      <c r="F3059" s="22" t="n">
        <f aca="false">IFERROR(D3059*E3059,0)</f>
        <v>58.16</v>
      </c>
      <c r="G3059" s="16" t="str">
        <f aca="false">INDEX(SETORES!$B:$B,MATCH(A3059,SETORES!$A:$A,0))</f>
        <v>Clientes</v>
      </c>
      <c r="H3059" s="16" t="s">
        <v>259</v>
      </c>
    </row>
    <row r="3060" customFormat="false" ht="14.25" hidden="false" customHeight="false" outlineLevel="0" collapsed="false">
      <c r="A3060" s="16" t="s">
        <v>37</v>
      </c>
      <c r="B3060" s="16" t="s">
        <v>155</v>
      </c>
      <c r="C3060" s="16" t="s">
        <v>258</v>
      </c>
      <c r="D3060" s="38" t="n">
        <v>1</v>
      </c>
      <c r="E3060" s="39" t="n">
        <v>814.21</v>
      </c>
      <c r="F3060" s="22" t="n">
        <f aca="false">IFERROR(D3060*E3060,0)</f>
        <v>814.21</v>
      </c>
      <c r="G3060" s="16" t="str">
        <f aca="false">INDEX(SETORES!$B:$B,MATCH(A3060,SETORES!$A:$A,0))</f>
        <v>Clientes</v>
      </c>
      <c r="H3060" s="16" t="s">
        <v>259</v>
      </c>
    </row>
    <row r="3061" customFormat="false" ht="14.25" hidden="false" customHeight="false" outlineLevel="0" collapsed="false">
      <c r="A3061" s="16" t="s">
        <v>49</v>
      </c>
      <c r="B3061" s="16" t="s">
        <v>155</v>
      </c>
      <c r="C3061" s="16" t="s">
        <v>258</v>
      </c>
      <c r="D3061" s="38" t="n">
        <v>1</v>
      </c>
      <c r="E3061" s="39" t="n">
        <v>77.54</v>
      </c>
      <c r="F3061" s="22" t="n">
        <f aca="false">IFERROR(D3061*E3061,0)</f>
        <v>77.54</v>
      </c>
      <c r="G3061" s="16" t="str">
        <f aca="false">INDEX(SETORES!$B:$B,MATCH(A3061,SETORES!$A:$A,0))</f>
        <v>Clientes</v>
      </c>
      <c r="H3061" s="16" t="s">
        <v>259</v>
      </c>
    </row>
    <row r="3062" customFormat="false" ht="14.25" hidden="false" customHeight="false" outlineLevel="0" collapsed="false">
      <c r="A3062" s="16" t="s">
        <v>32</v>
      </c>
      <c r="B3062" s="16" t="s">
        <v>155</v>
      </c>
      <c r="C3062" s="16" t="s">
        <v>258</v>
      </c>
      <c r="D3062" s="38" t="n">
        <v>1</v>
      </c>
      <c r="E3062" s="39" t="n">
        <v>116.32</v>
      </c>
      <c r="F3062" s="22" t="n">
        <f aca="false">IFERROR(D3062*E3062,0)</f>
        <v>116.32</v>
      </c>
      <c r="G3062" s="16" t="str">
        <f aca="false">INDEX(SETORES!$B:$B,MATCH(A3062,SETORES!$A:$A,0))</f>
        <v>Funcionários</v>
      </c>
      <c r="H3062" s="16" t="s">
        <v>259</v>
      </c>
    </row>
    <row r="3063" customFormat="false" ht="14.25" hidden="false" customHeight="false" outlineLevel="0" collapsed="false">
      <c r="A3063" s="16" t="s">
        <v>39</v>
      </c>
      <c r="B3063" s="16" t="s">
        <v>155</v>
      </c>
      <c r="C3063" s="16" t="s">
        <v>258</v>
      </c>
      <c r="D3063" s="38" t="n">
        <v>1</v>
      </c>
      <c r="E3063" s="39" t="n">
        <v>232.63</v>
      </c>
      <c r="F3063" s="22" t="n">
        <f aca="false">IFERROR(D3063*E3063,0)</f>
        <v>232.63</v>
      </c>
      <c r="G3063" s="16" t="str">
        <f aca="false">INDEX(SETORES!$B:$B,MATCH(A3063,SETORES!$A:$A,0))</f>
        <v>Clientes</v>
      </c>
      <c r="H3063" s="16" t="s">
        <v>259</v>
      </c>
    </row>
    <row r="3064" customFormat="false" ht="14.25" hidden="false" customHeight="false" outlineLevel="0" collapsed="false">
      <c r="A3064" s="16" t="s">
        <v>44</v>
      </c>
      <c r="B3064" s="16" t="s">
        <v>155</v>
      </c>
      <c r="C3064" s="16" t="s">
        <v>258</v>
      </c>
      <c r="D3064" s="38" t="n">
        <v>1</v>
      </c>
      <c r="E3064" s="39" t="n">
        <v>155.09</v>
      </c>
      <c r="F3064" s="22" t="n">
        <f aca="false">IFERROR(D3064*E3064,0)</f>
        <v>155.09</v>
      </c>
      <c r="G3064" s="16" t="str">
        <f aca="false">INDEX(SETORES!$B:$B,MATCH(A3064,SETORES!$A:$A,0))</f>
        <v>Funcionários</v>
      </c>
      <c r="H3064" s="16" t="s">
        <v>259</v>
      </c>
    </row>
    <row r="3065" customFormat="false" ht="14.25" hidden="false" customHeight="false" outlineLevel="0" collapsed="false">
      <c r="A3065" s="16" t="s">
        <v>52</v>
      </c>
      <c r="B3065" s="16" t="s">
        <v>155</v>
      </c>
      <c r="C3065" s="16" t="s">
        <v>258</v>
      </c>
      <c r="D3065" s="38" t="n">
        <v>1</v>
      </c>
      <c r="E3065" s="39" t="n">
        <v>155.09</v>
      </c>
      <c r="F3065" s="22" t="n">
        <f aca="false">IFERROR(D3065*E3065,0)</f>
        <v>155.09</v>
      </c>
      <c r="G3065" s="16" t="str">
        <f aca="false">INDEX(SETORES!$B:$B,MATCH(A3065,SETORES!$A:$A,0))</f>
        <v>Clientes</v>
      </c>
      <c r="H3065" s="16" t="s">
        <v>259</v>
      </c>
    </row>
    <row r="3066" customFormat="false" ht="14.25" hidden="false" customHeight="false" outlineLevel="0" collapsed="false">
      <c r="A3066" s="16" t="s">
        <v>53</v>
      </c>
      <c r="B3066" s="16" t="s">
        <v>155</v>
      </c>
      <c r="C3066" s="16" t="s">
        <v>258</v>
      </c>
      <c r="D3066" s="38" t="n">
        <v>1</v>
      </c>
      <c r="E3066" s="39" t="n">
        <v>639.74</v>
      </c>
      <c r="F3066" s="22" t="n">
        <f aca="false">IFERROR(D3066*E3066,0)</f>
        <v>639.74</v>
      </c>
      <c r="G3066" s="16" t="str">
        <f aca="false">INDEX(SETORES!$B:$B,MATCH(A3066,SETORES!$A:$A,0))</f>
        <v>Clientes</v>
      </c>
      <c r="H3066" s="16" t="s">
        <v>259</v>
      </c>
    </row>
    <row r="3067" customFormat="false" ht="14.25" hidden="false" customHeight="false" outlineLevel="0" collapsed="false">
      <c r="A3067" s="16" t="s">
        <v>51</v>
      </c>
      <c r="B3067" s="16" t="s">
        <v>155</v>
      </c>
      <c r="C3067" s="16" t="s">
        <v>258</v>
      </c>
      <c r="D3067" s="38" t="n">
        <v>1</v>
      </c>
      <c r="E3067" s="39" t="n">
        <v>213.25</v>
      </c>
      <c r="F3067" s="22" t="n">
        <f aca="false">IFERROR(D3067*E3067,0)</f>
        <v>213.25</v>
      </c>
      <c r="G3067" s="16" t="str">
        <f aca="false">INDEX(SETORES!$B:$B,MATCH(A3067,SETORES!$A:$A,0))</f>
        <v>Clientes</v>
      </c>
      <c r="H3067" s="16" t="s">
        <v>259</v>
      </c>
    </row>
    <row r="3068" customFormat="false" ht="14.25" hidden="false" customHeight="false" outlineLevel="0" collapsed="false">
      <c r="A3068" s="16" t="s">
        <v>78</v>
      </c>
      <c r="B3068" s="16" t="s">
        <v>155</v>
      </c>
      <c r="C3068" s="16" t="s">
        <v>258</v>
      </c>
      <c r="D3068" s="38" t="n">
        <v>1</v>
      </c>
      <c r="E3068" s="39" t="n">
        <v>213.25</v>
      </c>
      <c r="F3068" s="22" t="n">
        <f aca="false">IFERROR(D3068*E3068,0)</f>
        <v>213.25</v>
      </c>
      <c r="G3068" s="16" t="str">
        <f aca="false">INDEX(SETORES!$B:$B,MATCH(A3068,SETORES!$A:$A,0))</f>
        <v>Clientes</v>
      </c>
      <c r="H3068" s="16" t="s">
        <v>259</v>
      </c>
    </row>
    <row r="3069" customFormat="false" ht="14.25" hidden="false" customHeight="false" outlineLevel="0" collapsed="false">
      <c r="A3069" s="16" t="s">
        <v>79</v>
      </c>
      <c r="B3069" s="16" t="s">
        <v>155</v>
      </c>
      <c r="C3069" s="16" t="s">
        <v>258</v>
      </c>
      <c r="D3069" s="38" t="n">
        <v>1</v>
      </c>
      <c r="E3069" s="39" t="n">
        <v>77.54</v>
      </c>
      <c r="F3069" s="22" t="n">
        <f aca="false">IFERROR(D3069*E3069,0)</f>
        <v>77.54</v>
      </c>
      <c r="G3069" s="16" t="str">
        <f aca="false">INDEX(SETORES!$B:$B,MATCH(A3069,SETORES!$A:$A,0))</f>
        <v>Funcionários</v>
      </c>
      <c r="H3069" s="16" t="s">
        <v>259</v>
      </c>
    </row>
    <row r="3070" customFormat="false" ht="14.25" hidden="false" customHeight="false" outlineLevel="0" collapsed="false">
      <c r="A3070" s="16" t="s">
        <v>137</v>
      </c>
      <c r="B3070" s="16" t="s">
        <v>155</v>
      </c>
      <c r="C3070" s="16" t="s">
        <v>258</v>
      </c>
      <c r="D3070" s="38" t="n">
        <v>1</v>
      </c>
      <c r="E3070" s="39" t="n">
        <v>38.77</v>
      </c>
      <c r="F3070" s="22" t="n">
        <f aca="false">IFERROR(D3070*E3070,0)</f>
        <v>38.77</v>
      </c>
      <c r="G3070" s="16" t="str">
        <f aca="false">INDEX(SETORES!$B:$B,MATCH(A3070,SETORES!$A:$A,0))</f>
        <v>Clientes</v>
      </c>
      <c r="H3070" s="16" t="s">
        <v>259</v>
      </c>
    </row>
    <row r="3071" customFormat="false" ht="14.25" hidden="false" customHeight="false" outlineLevel="0" collapsed="false">
      <c r="A3071" s="16" t="s">
        <v>85</v>
      </c>
      <c r="B3071" s="16" t="s">
        <v>155</v>
      </c>
      <c r="C3071" s="16" t="s">
        <v>258</v>
      </c>
      <c r="D3071" s="38" t="n">
        <v>1</v>
      </c>
      <c r="E3071" s="39" t="n">
        <v>329.56</v>
      </c>
      <c r="F3071" s="22" t="n">
        <f aca="false">IFERROR(D3071*E3071,0)</f>
        <v>329.56</v>
      </c>
      <c r="G3071" s="16" t="str">
        <f aca="false">INDEX(SETORES!$B:$B,MATCH(A3071,SETORES!$A:$A,0))</f>
        <v>Clientes</v>
      </c>
      <c r="H3071" s="16" t="s">
        <v>259</v>
      </c>
    </row>
    <row r="3072" customFormat="false" ht="14.25" hidden="false" customHeight="false" outlineLevel="0" collapsed="false">
      <c r="A3072" s="16" t="s">
        <v>54</v>
      </c>
      <c r="B3072" s="16" t="s">
        <v>155</v>
      </c>
      <c r="C3072" s="16" t="s">
        <v>258</v>
      </c>
      <c r="D3072" s="38" t="n">
        <v>1</v>
      </c>
      <c r="E3072" s="39" t="n">
        <v>232.63</v>
      </c>
      <c r="F3072" s="22" t="n">
        <f aca="false">IFERROR(D3072*E3072,0)</f>
        <v>232.63</v>
      </c>
      <c r="G3072" s="16" t="str">
        <f aca="false">INDEX(SETORES!$B:$B,MATCH(A3072,SETORES!$A:$A,0))</f>
        <v>Clientes</v>
      </c>
      <c r="H3072" s="16" t="s">
        <v>259</v>
      </c>
    </row>
    <row r="3073" customFormat="false" ht="14.25" hidden="false" customHeight="false" outlineLevel="0" collapsed="false">
      <c r="A3073" s="16" t="s">
        <v>87</v>
      </c>
      <c r="B3073" s="16" t="s">
        <v>155</v>
      </c>
      <c r="C3073" s="16" t="s">
        <v>258</v>
      </c>
      <c r="D3073" s="38" t="n">
        <v>1</v>
      </c>
      <c r="E3073" s="39" t="n">
        <v>135.7</v>
      </c>
      <c r="F3073" s="22" t="n">
        <f aca="false">IFERROR(D3073*E3073,0)</f>
        <v>135.7</v>
      </c>
      <c r="G3073" s="16" t="str">
        <f aca="false">INDEX(SETORES!$B:$B,MATCH(A3073,SETORES!$A:$A,0))</f>
        <v>Clientes</v>
      </c>
      <c r="H3073" s="16" t="s">
        <v>259</v>
      </c>
    </row>
    <row r="3074" customFormat="false" ht="14.25" hidden="false" customHeight="false" outlineLevel="0" collapsed="false">
      <c r="A3074" s="16" t="s">
        <v>80</v>
      </c>
      <c r="B3074" s="16" t="s">
        <v>155</v>
      </c>
      <c r="C3074" s="16" t="s">
        <v>258</v>
      </c>
      <c r="D3074" s="38" t="n">
        <v>1</v>
      </c>
      <c r="E3074" s="39" t="n">
        <v>38.77</v>
      </c>
      <c r="F3074" s="22" t="n">
        <f aca="false">IFERROR(D3074*E3074,0)</f>
        <v>38.77</v>
      </c>
      <c r="G3074" s="16" t="str">
        <f aca="false">INDEX(SETORES!$B:$B,MATCH(A3074,SETORES!$A:$A,0))</f>
        <v>Clientes</v>
      </c>
      <c r="H3074" s="16" t="s">
        <v>259</v>
      </c>
    </row>
    <row r="3075" customFormat="false" ht="14.25" hidden="false" customHeight="false" outlineLevel="0" collapsed="false">
      <c r="A3075" s="16" t="s">
        <v>41</v>
      </c>
      <c r="B3075" s="16" t="s">
        <v>155</v>
      </c>
      <c r="C3075" s="16" t="s">
        <v>258</v>
      </c>
      <c r="D3075" s="38" t="n">
        <v>1</v>
      </c>
      <c r="E3075" s="39" t="n">
        <v>19.39</v>
      </c>
      <c r="F3075" s="22" t="n">
        <f aca="false">IFERROR(D3075*E3075,0)</f>
        <v>19.39</v>
      </c>
      <c r="G3075" s="16" t="str">
        <f aca="false">INDEX(SETORES!$B:$B,MATCH(A3075,SETORES!$A:$A,0))</f>
        <v>Clientes</v>
      </c>
      <c r="H3075" s="16" t="s">
        <v>259</v>
      </c>
    </row>
    <row r="3076" customFormat="false" ht="14.25" hidden="false" customHeight="false" outlineLevel="0" collapsed="false">
      <c r="A3076" s="16" t="s">
        <v>143</v>
      </c>
      <c r="B3076" s="16" t="s">
        <v>155</v>
      </c>
      <c r="C3076" s="16" t="s">
        <v>168</v>
      </c>
      <c r="D3076" s="38" t="n">
        <v>10</v>
      </c>
      <c r="E3076" s="39" t="n">
        <v>1.87</v>
      </c>
      <c r="F3076" s="22" t="n">
        <f aca="false">IFERROR(D3076*E3076,0)</f>
        <v>18.7</v>
      </c>
      <c r="G3076" s="16" t="str">
        <f aca="false">INDEX(SETORES!$B:$B,MATCH(A3076,SETORES!$A:$A,0))</f>
        <v>Clientes</v>
      </c>
      <c r="H3076" s="16" t="s">
        <v>259</v>
      </c>
    </row>
    <row r="3077" customFormat="false" ht="14.25" hidden="false" customHeight="false" outlineLevel="0" collapsed="false">
      <c r="A3077" s="16" t="s">
        <v>143</v>
      </c>
      <c r="B3077" s="16" t="s">
        <v>155</v>
      </c>
      <c r="C3077" s="16" t="s">
        <v>166</v>
      </c>
      <c r="D3077" s="38" t="n">
        <v>10</v>
      </c>
      <c r="E3077" s="39" t="n">
        <v>50</v>
      </c>
      <c r="F3077" s="22" t="n">
        <f aca="false">IFERROR(D3077*E3077,0)</f>
        <v>500</v>
      </c>
      <c r="G3077" s="16" t="str">
        <f aca="false">INDEX(SETORES!$B:$B,MATCH(A3077,SETORES!$A:$A,0))</f>
        <v>Clientes</v>
      </c>
      <c r="H3077" s="16" t="s">
        <v>259</v>
      </c>
    </row>
    <row r="3078" customFormat="false" ht="14.25" hidden="false" customHeight="false" outlineLevel="0" collapsed="false">
      <c r="A3078" s="16" t="s">
        <v>141</v>
      </c>
      <c r="B3078" s="16" t="s">
        <v>155</v>
      </c>
      <c r="C3078" s="16" t="s">
        <v>168</v>
      </c>
      <c r="D3078" s="38" t="n">
        <v>6</v>
      </c>
      <c r="E3078" s="39" t="n">
        <v>1.87</v>
      </c>
      <c r="F3078" s="22" t="n">
        <f aca="false">IFERROR(D3078*E3078,0)</f>
        <v>11.22</v>
      </c>
      <c r="G3078" s="16" t="str">
        <f aca="false">INDEX(SETORES!$B:$B,MATCH(A3078,SETORES!$A:$A,0))</f>
        <v>Clientes</v>
      </c>
      <c r="H3078" s="16" t="s">
        <v>259</v>
      </c>
    </row>
    <row r="3079" customFormat="false" ht="14.25" hidden="false" customHeight="false" outlineLevel="0" collapsed="false">
      <c r="A3079" s="16" t="s">
        <v>141</v>
      </c>
      <c r="B3079" s="16" t="s">
        <v>155</v>
      </c>
      <c r="C3079" s="16" t="s">
        <v>166</v>
      </c>
      <c r="D3079" s="38" t="n">
        <v>6</v>
      </c>
      <c r="E3079" s="39" t="n">
        <v>50</v>
      </c>
      <c r="F3079" s="22" t="n">
        <f aca="false">IFERROR(D3079*E3079,0)</f>
        <v>300</v>
      </c>
      <c r="G3079" s="16" t="str">
        <f aca="false">INDEX(SETORES!$B:$B,MATCH(A3079,SETORES!$A:$A,0))</f>
        <v>Clientes</v>
      </c>
      <c r="H3079" s="16" t="s">
        <v>259</v>
      </c>
    </row>
    <row r="3080" customFormat="false" ht="14.25" hidden="false" customHeight="false" outlineLevel="0" collapsed="false">
      <c r="A3080" s="1" t="s">
        <v>146</v>
      </c>
      <c r="B3080" s="1" t="s">
        <v>155</v>
      </c>
      <c r="C3080" s="1" t="s">
        <v>161</v>
      </c>
      <c r="D3080" s="1" t="n">
        <v>1</v>
      </c>
      <c r="E3080" s="1" t="n">
        <v>25653.46</v>
      </c>
      <c r="F3080" s="1" t="n">
        <f aca="false">IFERROR(D3080*E3080,0)</f>
        <v>25653.46</v>
      </c>
      <c r="G3080" s="1" t="str">
        <f aca="false">INDEX(SETORES!$B:$B,MATCH(A3080,SETORES!$A:$A,0))</f>
        <v>Clientes</v>
      </c>
      <c r="H3080" s="1" t="s">
        <v>259</v>
      </c>
    </row>
    <row r="3081" customFormat="false" ht="14.25" hidden="false" customHeight="false" outlineLevel="0" collapsed="false">
      <c r="A3081" s="1" t="s">
        <v>53</v>
      </c>
      <c r="B3081" s="1" t="s">
        <v>162</v>
      </c>
      <c r="C3081" s="1" t="s">
        <v>164</v>
      </c>
      <c r="D3081" s="1" t="n">
        <v>1</v>
      </c>
      <c r="E3081" s="1" t="n">
        <v>272</v>
      </c>
      <c r="F3081" s="1" t="n">
        <f aca="false">IFERROR(D3081*E3081,0)</f>
        <v>272</v>
      </c>
      <c r="G3081" s="1" t="str">
        <f aca="false">INDEX(SETORES!$B:$B,MATCH(A3081,SETORES!$A:$A,0))</f>
        <v>Clientes</v>
      </c>
      <c r="H3081" s="1" t="s">
        <v>259</v>
      </c>
    </row>
    <row r="3082" customFormat="false" ht="14.25" hidden="false" customHeight="false" outlineLevel="0" collapsed="false">
      <c r="A3082" s="1" t="s">
        <v>143</v>
      </c>
      <c r="B3082" s="1" t="s">
        <v>162</v>
      </c>
      <c r="C3082" s="1" t="s">
        <v>163</v>
      </c>
      <c r="D3082" s="1" t="n">
        <v>1</v>
      </c>
      <c r="E3082" s="1" t="n">
        <v>90</v>
      </c>
      <c r="F3082" s="1" t="n">
        <f aca="false">IFERROR(D3082*E3082,0)</f>
        <v>90</v>
      </c>
      <c r="G3082" s="1" t="str">
        <f aca="false">INDEX(SETORES!$B:$B,MATCH(A3082,SETORES!$A:$A,0))</f>
        <v>Clientes</v>
      </c>
      <c r="H3082" s="1" t="s">
        <v>259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26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260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261</v>
      </c>
      <c r="C3" s="6" t="s">
        <v>262</v>
      </c>
      <c r="D3" s="6" t="s">
        <v>263</v>
      </c>
      <c r="E3" s="6" t="s">
        <v>264</v>
      </c>
      <c r="F3" s="6" t="s">
        <v>265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75901.4497183717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75901.4497183717</v>
      </c>
      <c r="F4" s="11" t="n">
        <f aca="false">IFERROR(B4/B$12,0)</f>
        <v>0.03183872876644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150224.921509057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150224.921509057</v>
      </c>
      <c r="F5" s="16" t="n">
        <f aca="false">IFERROR(B5/B$12,0)</f>
        <v>0.0630155359039064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171339.525954803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171339.525954803</v>
      </c>
      <c r="F6" s="11" t="n">
        <f aca="false">IFERROR(B6/B$12,0)</f>
        <v>0.0718725757424496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43992.9028113255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43992.9028113255</v>
      </c>
      <c r="F7" s="16" t="n">
        <f aca="false">IFERROR(B7/B$12,0)</f>
        <v>0.0184539044439242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81019.03183859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81019.03183859</v>
      </c>
      <c r="F8" s="11" t="n">
        <f aca="false">IFERROR(B8/B$12,0)</f>
        <v>0.0339854243785816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54510.3222084641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54510.3222084641</v>
      </c>
      <c r="F9" s="16" t="n">
        <f aca="false">IFERROR(B9/B$12,0)</f>
        <v>0.0228656945316086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57505.6316468711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57505.6316468711</v>
      </c>
      <c r="F10" s="11" t="n">
        <f aca="false">IFERROR(B10/B$12,0)</f>
        <v>0.0241221507012187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1749440.89572406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1749440.89572406</v>
      </c>
      <c r="F11" s="16" t="n">
        <f aca="false">IFERROR(B11/B$12,0)</f>
        <v>0.733845985531871</v>
      </c>
      <c r="G11" s="46" t="s">
        <v>11</v>
      </c>
    </row>
    <row r="12" customFormat="false" ht="15" hidden="false" customHeight="true" outlineLevel="0" collapsed="false">
      <c r="A12" s="32" t="s">
        <v>135</v>
      </c>
      <c r="B12" s="34" t="n">
        <f aca="false">SUM(B4:B11)</f>
        <v>2383934.68141154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2383934.68141154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65453.9874731517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65453.9874731517</v>
      </c>
      <c r="F14" s="11" t="n">
        <f aca="false">IFERROR(B14/B$22,0)</f>
        <v>0.0316656660712602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132747.776237595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132747.776237595</v>
      </c>
      <c r="F15" s="16" t="n">
        <f aca="false">IFERROR(B15/B$22,0)</f>
        <v>0.0642214006559383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150291.524066124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150291.524066124</v>
      </c>
      <c r="F16" s="11" t="n">
        <f aca="false">IFERROR(B16/B$22,0)</f>
        <v>0.0727088050421794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38331.0742191861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38331.0742191861</v>
      </c>
      <c r="F17" s="16" t="n">
        <f aca="false">IFERROR(B17/B$22,0)</f>
        <v>0.0185440038603502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71139.5816795393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71139.5816795393</v>
      </c>
      <c r="F18" s="11" t="n">
        <f aca="false">IFERROR(B18/B$22,0)</f>
        <v>0.0344162720237243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47837.8313721228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47837.8313721228</v>
      </c>
      <c r="F19" s="16" t="n">
        <f aca="false">IFERROR(B19/B$22,0)</f>
        <v>0.0231432316392374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51195.5106927007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51195.5106927007</v>
      </c>
      <c r="F20" s="11" t="n">
        <f aca="false">IFERROR(B20/B$22,0)</f>
        <v>0.0247676269777706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1510036.05332955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1510036.05332955</v>
      </c>
      <c r="F21" s="16" t="n">
        <f aca="false">IFERROR(B21/B$22,0)</f>
        <v>0.73053299372954</v>
      </c>
      <c r="G21" s="46" t="s">
        <v>20</v>
      </c>
    </row>
    <row r="22" customFormat="false" ht="15" hidden="false" customHeight="true" outlineLevel="0" collapsed="false">
      <c r="A22" s="32" t="s">
        <v>133</v>
      </c>
      <c r="B22" s="34" t="n">
        <f aca="false">SUM(B14:B21)</f>
        <v>2067033.33906997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2067033.33906997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81468.1226785621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81468.1226785621</v>
      </c>
      <c r="F24" s="11" t="n">
        <f aca="false">IFERROR(B24/B$32,0)</f>
        <v>0.0316625135930947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147726.918401454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147726.918401454</v>
      </c>
      <c r="F25" s="16" t="n">
        <f aca="false">IFERROR(B25/B$32,0)</f>
        <v>0.0574139357599663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179881.518762959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179881.518762959</v>
      </c>
      <c r="F26" s="11" t="n">
        <f aca="false">IFERROR(B26/B$32,0)</f>
        <v>0.0699107926599792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45812.5702776052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45812.5702776052</v>
      </c>
      <c r="F27" s="16" t="n">
        <f aca="false">IFERROR(B27/B$32,0)</f>
        <v>0.017805014789312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85737.8628596014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85737.8628596014</v>
      </c>
      <c r="F28" s="11" t="n">
        <f aca="false">IFERROR(B28/B$32,0)</f>
        <v>0.0333219443259538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57512.3785154222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57512.3785154222</v>
      </c>
      <c r="F29" s="16" t="n">
        <f aca="false">IFERROR(B29/B$32,0)</f>
        <v>0.0223521348798055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61272.9180904378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61272.9180904378</v>
      </c>
      <c r="F30" s="11" t="n">
        <f aca="false">IFERROR(B30/B$32,0)</f>
        <v>0.0238136652489426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1913602.71880955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1913602.71880955</v>
      </c>
      <c r="F31" s="16" t="n">
        <f aca="false">IFERROR(B31/B$32,0)</f>
        <v>0.743719998742946</v>
      </c>
      <c r="G31" s="46" t="s">
        <v>21</v>
      </c>
    </row>
    <row r="32" customFormat="false" ht="15" hidden="false" customHeight="true" outlineLevel="0" collapsed="false">
      <c r="A32" s="32" t="s">
        <v>136</v>
      </c>
      <c r="B32" s="34" t="n">
        <f aca="false">SUM(B24:B31)</f>
        <v>2573015.00839559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2573015.00839559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74998.411488224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VAREJO'!$B:$B,A33,'COMERCIAL VAREJO'!$A:$A,G33,'COMERCIAL VAREJO'!$C:$C,"&lt;&gt;")</f>
        <v>0</v>
      </c>
      <c r="E33" s="21" t="n">
        <f aca="false">B33+C33+D33</f>
        <v>74998.411488224</v>
      </c>
      <c r="F33" s="11" t="n">
        <f aca="false">IFERROR(B33/B$32,0)</f>
        <v>0.029148066079486</v>
      </c>
      <c r="G33" s="45" t="s">
        <v>88</v>
      </c>
    </row>
    <row r="34" customFormat="false" ht="14.25" hidden="false" customHeight="true" outlineLevel="0" collapsed="false">
      <c r="A34" s="16" t="s">
        <v>12</v>
      </c>
      <c r="B34" s="16"/>
      <c r="C34" s="16"/>
      <c r="D34" s="16"/>
      <c r="E34" s="16"/>
      <c r="F34" s="16"/>
      <c r="G34" s="4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168269.922385326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VAREJO'!$B:$B,A35,'COMERCIAL VAREJO'!$A:$A,G35,'COMERCIAL VAREJO'!$C:$C,"&lt;&gt;")</f>
        <v>0</v>
      </c>
      <c r="E35" s="21" t="n">
        <f aca="false">B35+C35+D35</f>
        <v>168269.922385326</v>
      </c>
      <c r="F35" s="11" t="n">
        <f aca="false">IFERROR(B35/B$32,0)</f>
        <v>0.0653979560306765</v>
      </c>
      <c r="G35" s="45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42516.0620368432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VAREJO'!$B:$B,A36,'COMERCIAL VAREJO'!$A:$A,G36,'COMERCIAL VAREJO'!$C:$C,"&lt;&gt;")</f>
        <v>0</v>
      </c>
      <c r="E36" s="22" t="n">
        <f aca="false">B36+C36+D36</f>
        <v>42516.0620368432</v>
      </c>
      <c r="F36" s="16" t="n">
        <f aca="false">IFERROR(B36/B$32,0)</f>
        <v>0.0165238297865018</v>
      </c>
      <c r="G36" s="4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77422.2084576767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VAREJO'!$B:$B,A37,'COMERCIAL VAREJO'!$A:$A,G37,'COMERCIAL VAREJO'!$C:$C,"&lt;&gt;")</f>
        <v>0</v>
      </c>
      <c r="E37" s="21" t="n">
        <f aca="false">B37+C37+D37</f>
        <v>77422.2084576767</v>
      </c>
      <c r="F37" s="11" t="n">
        <f aca="false">IFERROR(B37/B$32,0)</f>
        <v>0.0300900726210507</v>
      </c>
      <c r="G37" s="45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53196.6988713417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VAREJO'!$B:$B,A38,'COMERCIAL VAREJO'!$A:$A,G38,'COMERCIAL VAREJO'!$C:$C,"&lt;&gt;")</f>
        <v>0</v>
      </c>
      <c r="E38" s="22" t="n">
        <f aca="false">B38+C38+D38</f>
        <v>53196.6988713417</v>
      </c>
      <c r="F38" s="16" t="n">
        <f aca="false">IFERROR(B38/B$32,0)</f>
        <v>0.0206748498153971</v>
      </c>
      <c r="G38" s="4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56425.9441614092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VAREJO'!$B:$B,A39,'COMERCIAL VAREJO'!$A:$A,G39,'COMERCIAL VAREJO'!$C:$C,"&lt;&gt;")</f>
        <v>0</v>
      </c>
      <c r="E39" s="21" t="n">
        <f aca="false">B39+C39+D39</f>
        <v>56425.9441614092</v>
      </c>
      <c r="F39" s="11" t="n">
        <f aca="false">IFERROR(B39/B$32,0)</f>
        <v>0.0219298931321017</v>
      </c>
      <c r="G39" s="45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1702524.42039677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VAREJO'!$B:$B,A40,'COMERCIAL VAREJO'!$A:$A,G40,'COMERCIAL VAREJO'!$C:$C,"&lt;&gt;")</f>
        <v>0</v>
      </c>
      <c r="E40" s="22" t="n">
        <f aca="false">B40+C40+D40</f>
        <v>1702524.42039677</v>
      </c>
      <c r="F40" s="16" t="n">
        <f aca="false">IFERROR(B40/B$32,0)</f>
        <v>0.661684605352682</v>
      </c>
      <c r="G40" s="46" t="s">
        <v>88</v>
      </c>
    </row>
    <row r="41" customFormat="false" ht="14.25" hidden="false" customHeight="true" outlineLevel="0" collapsed="false">
      <c r="A41" s="32" t="s">
        <v>145</v>
      </c>
      <c r="B41" s="34" t="n">
        <f aca="false">SUM(B33:B40)</f>
        <v>2175353.66779759</v>
      </c>
      <c r="C41" s="34" t="n">
        <f aca="false">SUM(C33:C40)</f>
        <v>0</v>
      </c>
      <c r="D41" s="34" t="n">
        <f aca="false">SUM(D33:D40)</f>
        <v>0</v>
      </c>
      <c r="E41" s="34" t="n">
        <f aca="false">SUM(E33:E40)</f>
        <v>2175353.66779759</v>
      </c>
      <c r="F41" s="32"/>
      <c r="G41" s="19"/>
    </row>
    <row r="44" customFormat="false" ht="14.25" hidden="false" customHeight="true" outlineLevel="0" collapsed="false">
      <c r="A44" s="1" t="s">
        <v>266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267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268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269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270</v>
      </c>
      <c r="B5" s="51" t="s">
        <v>3</v>
      </c>
      <c r="C5" s="51" t="s">
        <v>271</v>
      </c>
      <c r="D5" s="51" t="s">
        <v>272</v>
      </c>
      <c r="E5" s="51" t="s">
        <v>273</v>
      </c>
      <c r="F5" s="51" t="s">
        <v>274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275</v>
      </c>
      <c r="B6" s="52" t="s">
        <v>276</v>
      </c>
      <c r="C6" s="52" t="n">
        <v>39</v>
      </c>
      <c r="D6" s="52" t="n">
        <v>33</v>
      </c>
      <c r="E6" s="52" t="n">
        <v>2</v>
      </c>
      <c r="F6" s="52" t="s">
        <v>277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278</v>
      </c>
      <c r="B7" s="52" t="s">
        <v>276</v>
      </c>
      <c r="C7" s="52" t="n">
        <v>9</v>
      </c>
      <c r="D7" s="52" t="n">
        <v>9</v>
      </c>
      <c r="E7" s="52" t="n">
        <v>0</v>
      </c>
      <c r="F7" s="52" t="s">
        <v>279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280</v>
      </c>
      <c r="B8" s="52" t="s">
        <v>276</v>
      </c>
      <c r="C8" s="52" t="n">
        <v>7</v>
      </c>
      <c r="D8" s="52" t="n">
        <v>6</v>
      </c>
      <c r="E8" s="52" t="n">
        <v>1</v>
      </c>
      <c r="F8" s="52" t="s">
        <v>279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281</v>
      </c>
      <c r="B9" s="52" t="s">
        <v>276</v>
      </c>
      <c r="C9" s="52" t="n">
        <v>11</v>
      </c>
      <c r="D9" s="52" t="n">
        <v>8</v>
      </c>
      <c r="E9" s="52" t="n">
        <v>1</v>
      </c>
      <c r="F9" s="52" t="s">
        <v>282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281</v>
      </c>
      <c r="B10" s="52" t="s">
        <v>283</v>
      </c>
      <c r="C10" s="52" t="n">
        <v>2</v>
      </c>
      <c r="D10" s="52" t="n">
        <v>1</v>
      </c>
      <c r="E10" s="52" t="n">
        <v>1</v>
      </c>
      <c r="F10" s="52" t="s">
        <v>279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284</v>
      </c>
      <c r="B11" s="52" t="s">
        <v>276</v>
      </c>
      <c r="C11" s="52" t="n">
        <v>18</v>
      </c>
      <c r="D11" s="52" t="n">
        <v>14</v>
      </c>
      <c r="E11" s="52" t="n">
        <v>2</v>
      </c>
      <c r="F11" s="52" t="s">
        <v>282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284</v>
      </c>
      <c r="B12" s="52" t="s">
        <v>285</v>
      </c>
      <c r="C12" s="52" t="n">
        <v>2</v>
      </c>
      <c r="D12" s="52" t="n">
        <v>1</v>
      </c>
      <c r="E12" s="52" t="n">
        <v>1</v>
      </c>
      <c r="F12" s="52" t="s">
        <v>279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284</v>
      </c>
      <c r="B13" s="52" t="s">
        <v>286</v>
      </c>
      <c r="C13" s="52" t="n">
        <v>5</v>
      </c>
      <c r="D13" s="52" t="n">
        <v>5</v>
      </c>
      <c r="E13" s="52" t="n">
        <v>0</v>
      </c>
      <c r="F13" s="52" t="s">
        <v>279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287</v>
      </c>
      <c r="B14" s="52" t="s">
        <v>288</v>
      </c>
      <c r="C14" s="52" t="n">
        <v>8</v>
      </c>
      <c r="D14" s="52" t="n">
        <v>7</v>
      </c>
      <c r="E14" s="52" t="n">
        <v>0</v>
      </c>
      <c r="F14" s="52" t="s">
        <v>289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287</v>
      </c>
      <c r="B15" s="52" t="s">
        <v>290</v>
      </c>
      <c r="C15" s="52" t="n">
        <v>2</v>
      </c>
      <c r="D15" s="52" t="n">
        <v>1</v>
      </c>
      <c r="E15" s="52" t="n">
        <v>0</v>
      </c>
      <c r="F15" s="52" t="s">
        <v>289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287</v>
      </c>
      <c r="B16" s="52" t="s">
        <v>291</v>
      </c>
      <c r="C16" s="52" t="n">
        <v>11</v>
      </c>
      <c r="D16" s="52" t="n">
        <v>9</v>
      </c>
      <c r="E16" s="52" t="n">
        <v>1</v>
      </c>
      <c r="F16" s="52" t="s">
        <v>292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293</v>
      </c>
      <c r="B17" s="52" t="s">
        <v>294</v>
      </c>
      <c r="C17" s="52" t="n">
        <v>1</v>
      </c>
      <c r="D17" s="52" t="n">
        <v>0</v>
      </c>
      <c r="E17" s="52" t="n">
        <v>0</v>
      </c>
      <c r="F17" s="52" t="s">
        <v>289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295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150</v>
      </c>
      <c r="D20" s="51" t="s">
        <v>296</v>
      </c>
      <c r="E20" s="51" t="s">
        <v>270</v>
      </c>
      <c r="F20" s="51" t="s">
        <v>152</v>
      </c>
      <c r="G20" s="51" t="s">
        <v>297</v>
      </c>
      <c r="H20" s="51" t="s">
        <v>298</v>
      </c>
      <c r="I20" s="51" t="s">
        <v>299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276</v>
      </c>
      <c r="C21" s="52" t="s">
        <v>300</v>
      </c>
      <c r="D21" s="52" t="s">
        <v>197</v>
      </c>
      <c r="E21" s="52" t="s">
        <v>275</v>
      </c>
      <c r="F21" s="52" t="n">
        <v>1</v>
      </c>
      <c r="G21" s="53" t="n">
        <v>59982.0585470518</v>
      </c>
      <c r="H21" s="53" t="n">
        <v>59982.0585470518</v>
      </c>
      <c r="I21" s="52" t="s">
        <v>301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276</v>
      </c>
      <c r="C22" s="52" t="s">
        <v>300</v>
      </c>
      <c r="D22" s="52" t="s">
        <v>302</v>
      </c>
      <c r="E22" s="52" t="s">
        <v>275</v>
      </c>
      <c r="F22" s="52" t="n">
        <v>1</v>
      </c>
      <c r="G22" s="53" t="n">
        <v>1236.86</v>
      </c>
      <c r="H22" s="53" t="n">
        <v>1236.86</v>
      </c>
      <c r="I22" s="52" t="s">
        <v>303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276</v>
      </c>
      <c r="C23" s="52" t="s">
        <v>300</v>
      </c>
      <c r="D23" s="52" t="s">
        <v>170</v>
      </c>
      <c r="E23" s="52" t="s">
        <v>275</v>
      </c>
      <c r="F23" s="52" t="n">
        <v>39</v>
      </c>
      <c r="G23" s="53" t="n">
        <v>28.31</v>
      </c>
      <c r="H23" s="53" t="n">
        <v>1104.09</v>
      </c>
      <c r="I23" s="52" t="s">
        <v>304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276</v>
      </c>
      <c r="C24" s="52" t="s">
        <v>300</v>
      </c>
      <c r="D24" s="52" t="s">
        <v>171</v>
      </c>
      <c r="E24" s="52" t="s">
        <v>275</v>
      </c>
      <c r="F24" s="52" t="n">
        <v>39</v>
      </c>
      <c r="G24" s="53" t="n">
        <v>47.79</v>
      </c>
      <c r="H24" s="53" t="n">
        <v>1863.81</v>
      </c>
      <c r="I24" s="52" t="s">
        <v>304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276</v>
      </c>
      <c r="C25" s="52" t="s">
        <v>44</v>
      </c>
      <c r="D25" s="52" t="s">
        <v>169</v>
      </c>
      <c r="E25" s="52" t="s">
        <v>275</v>
      </c>
      <c r="F25" s="52" t="n">
        <v>39</v>
      </c>
      <c r="G25" s="53" t="n">
        <v>64.54</v>
      </c>
      <c r="H25" s="53" t="n">
        <v>2517.06</v>
      </c>
      <c r="I25" s="52" t="s">
        <v>304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276</v>
      </c>
      <c r="C26" s="52" t="s">
        <v>44</v>
      </c>
      <c r="D26" s="52" t="s">
        <v>199</v>
      </c>
      <c r="E26" s="52" t="s">
        <v>275</v>
      </c>
      <c r="F26" s="52" t="n">
        <v>1</v>
      </c>
      <c r="G26" s="53" t="n">
        <v>142.07</v>
      </c>
      <c r="H26" s="53" t="n">
        <v>142.07</v>
      </c>
      <c r="I26" s="52" t="s">
        <v>303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276</v>
      </c>
      <c r="C27" s="52" t="s">
        <v>305</v>
      </c>
      <c r="D27" s="52" t="s">
        <v>167</v>
      </c>
      <c r="E27" s="52" t="s">
        <v>275</v>
      </c>
      <c r="F27" s="52" t="n">
        <v>39</v>
      </c>
      <c r="G27" s="53" t="n">
        <v>10.05</v>
      </c>
      <c r="H27" s="53" t="n">
        <v>391.95</v>
      </c>
      <c r="I27" s="52" t="s">
        <v>304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276</v>
      </c>
      <c r="C28" s="52" t="s">
        <v>305</v>
      </c>
      <c r="D28" s="52" t="s">
        <v>168</v>
      </c>
      <c r="E28" s="52" t="s">
        <v>275</v>
      </c>
      <c r="F28" s="52" t="n">
        <v>39</v>
      </c>
      <c r="G28" s="53" t="n">
        <v>2.07</v>
      </c>
      <c r="H28" s="53" t="n">
        <v>80.73</v>
      </c>
      <c r="I28" s="52" t="s">
        <v>304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276</v>
      </c>
      <c r="C29" s="52" t="s">
        <v>306</v>
      </c>
      <c r="D29" s="52" t="s">
        <v>200</v>
      </c>
      <c r="E29" s="52" t="s">
        <v>275</v>
      </c>
      <c r="F29" s="52" t="n">
        <v>1</v>
      </c>
      <c r="G29" s="53" t="n">
        <v>764.48</v>
      </c>
      <c r="H29" s="53" t="n">
        <v>764.48</v>
      </c>
      <c r="I29" s="52" t="s">
        <v>303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276</v>
      </c>
      <c r="C30" s="52" t="s">
        <v>306</v>
      </c>
      <c r="D30" s="52" t="s">
        <v>202</v>
      </c>
      <c r="E30" s="52" t="s">
        <v>275</v>
      </c>
      <c r="F30" s="52" t="n">
        <v>1</v>
      </c>
      <c r="G30" s="53" t="n">
        <v>1150.7</v>
      </c>
      <c r="H30" s="53" t="n">
        <v>1150.7</v>
      </c>
      <c r="I30" s="52" t="s">
        <v>303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276</v>
      </c>
      <c r="C31" s="52" t="s">
        <v>307</v>
      </c>
      <c r="D31" s="52" t="s">
        <v>198</v>
      </c>
      <c r="E31" s="52" t="s">
        <v>275</v>
      </c>
      <c r="F31" s="52" t="n">
        <v>42</v>
      </c>
      <c r="G31" s="53" t="n">
        <v>30</v>
      </c>
      <c r="H31" s="53" t="n">
        <f aca="false">F31*G31</f>
        <v>1260</v>
      </c>
      <c r="I31" s="52" t="s">
        <v>304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276</v>
      </c>
      <c r="C32" s="52" t="s">
        <v>308</v>
      </c>
      <c r="D32" s="52" t="s">
        <v>203</v>
      </c>
      <c r="E32" s="52" t="s">
        <v>275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309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276</v>
      </c>
      <c r="C33" s="52" t="s">
        <v>300</v>
      </c>
      <c r="D33" s="52" t="s">
        <v>197</v>
      </c>
      <c r="E33" s="52" t="s">
        <v>278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310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276</v>
      </c>
      <c r="C34" s="52" t="s">
        <v>300</v>
      </c>
      <c r="D34" s="52" t="s">
        <v>302</v>
      </c>
      <c r="E34" s="52" t="s">
        <v>278</v>
      </c>
      <c r="F34" s="52" t="n">
        <v>1</v>
      </c>
      <c r="G34" s="53" t="n">
        <v>285.43</v>
      </c>
      <c r="H34" s="53" t="n">
        <v>285.43</v>
      </c>
      <c r="I34" s="52" t="s">
        <v>311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276</v>
      </c>
      <c r="C35" s="52" t="s">
        <v>300</v>
      </c>
      <c r="D35" s="52" t="s">
        <v>170</v>
      </c>
      <c r="E35" s="52" t="s">
        <v>278</v>
      </c>
      <c r="F35" s="52" t="n">
        <v>9</v>
      </c>
      <c r="G35" s="53" t="n">
        <v>28.31</v>
      </c>
      <c r="H35" s="53" t="n">
        <f aca="false">F35*G35</f>
        <v>254.79</v>
      </c>
      <c r="I35" s="52" t="s">
        <v>304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276</v>
      </c>
      <c r="C36" s="52" t="s">
        <v>300</v>
      </c>
      <c r="D36" s="52" t="s">
        <v>171</v>
      </c>
      <c r="E36" s="52" t="s">
        <v>278</v>
      </c>
      <c r="F36" s="52" t="n">
        <v>9</v>
      </c>
      <c r="G36" s="53" t="n">
        <v>47.79</v>
      </c>
      <c r="H36" s="53" t="n">
        <f aca="false">F36*G36</f>
        <v>430.11</v>
      </c>
      <c r="I36" s="52" t="s">
        <v>304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276</v>
      </c>
      <c r="C37" s="52" t="s">
        <v>44</v>
      </c>
      <c r="D37" s="52" t="s">
        <v>169</v>
      </c>
      <c r="E37" s="52" t="s">
        <v>278</v>
      </c>
      <c r="F37" s="52" t="n">
        <v>9</v>
      </c>
      <c r="G37" s="53" t="n">
        <v>64.54</v>
      </c>
      <c r="H37" s="53" t="n">
        <f aca="false">F37*G37</f>
        <v>580.86</v>
      </c>
      <c r="I37" s="52" t="s">
        <v>304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276</v>
      </c>
      <c r="C38" s="52" t="s">
        <v>44</v>
      </c>
      <c r="D38" s="52" t="s">
        <v>199</v>
      </c>
      <c r="E38" s="52" t="s">
        <v>278</v>
      </c>
      <c r="F38" s="52" t="n">
        <v>1</v>
      </c>
      <c r="G38" s="53" t="n">
        <v>32.79</v>
      </c>
      <c r="H38" s="53" t="n">
        <v>32.79</v>
      </c>
      <c r="I38" s="52" t="s">
        <v>311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276</v>
      </c>
      <c r="C39" s="52" t="s">
        <v>305</v>
      </c>
      <c r="D39" s="52" t="s">
        <v>167</v>
      </c>
      <c r="E39" s="52" t="s">
        <v>278</v>
      </c>
      <c r="F39" s="52" t="n">
        <v>9</v>
      </c>
      <c r="G39" s="53" t="n">
        <v>10.05</v>
      </c>
      <c r="H39" s="53" t="n">
        <f aca="false">F39*G39</f>
        <v>90.45</v>
      </c>
      <c r="I39" s="52" t="s">
        <v>304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276</v>
      </c>
      <c r="C40" s="52" t="s">
        <v>305</v>
      </c>
      <c r="D40" s="52" t="s">
        <v>168</v>
      </c>
      <c r="E40" s="52" t="s">
        <v>278</v>
      </c>
      <c r="F40" s="52" t="n">
        <v>9</v>
      </c>
      <c r="G40" s="53" t="n">
        <v>2.07</v>
      </c>
      <c r="H40" s="53" t="n">
        <f aca="false">F40*G40</f>
        <v>18.63</v>
      </c>
      <c r="I40" s="52" t="s">
        <v>304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276</v>
      </c>
      <c r="C41" s="52" t="s">
        <v>306</v>
      </c>
      <c r="D41" s="52" t="s">
        <v>200</v>
      </c>
      <c r="E41" s="52" t="s">
        <v>278</v>
      </c>
      <c r="F41" s="52" t="n">
        <v>1</v>
      </c>
      <c r="G41" s="53" t="n">
        <v>176.42</v>
      </c>
      <c r="H41" s="53" t="n">
        <v>176.42</v>
      </c>
      <c r="I41" s="52" t="s">
        <v>311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276</v>
      </c>
      <c r="C42" s="52" t="s">
        <v>306</v>
      </c>
      <c r="D42" s="52" t="s">
        <v>202</v>
      </c>
      <c r="E42" s="52" t="s">
        <v>278</v>
      </c>
      <c r="F42" s="52" t="n">
        <v>1</v>
      </c>
      <c r="G42" s="53" t="n">
        <v>265.55</v>
      </c>
      <c r="H42" s="53" t="n">
        <v>265.55</v>
      </c>
      <c r="I42" s="52" t="s">
        <v>311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276</v>
      </c>
      <c r="C43" s="52" t="s">
        <v>307</v>
      </c>
      <c r="D43" s="52" t="s">
        <v>198</v>
      </c>
      <c r="E43" s="52" t="s">
        <v>278</v>
      </c>
      <c r="F43" s="52" t="n">
        <v>9</v>
      </c>
      <c r="G43" s="53" t="n">
        <v>30</v>
      </c>
      <c r="H43" s="53" t="n">
        <f aca="false">F43*G43</f>
        <v>270</v>
      </c>
      <c r="I43" s="52" t="s">
        <v>304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276</v>
      </c>
      <c r="C44" s="52" t="s">
        <v>300</v>
      </c>
      <c r="D44" s="52" t="s">
        <v>197</v>
      </c>
      <c r="E44" s="52" t="s">
        <v>280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312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276</v>
      </c>
      <c r="C45" s="52" t="s">
        <v>300</v>
      </c>
      <c r="D45" s="52" t="s">
        <v>302</v>
      </c>
      <c r="E45" s="52" t="s">
        <v>280</v>
      </c>
      <c r="F45" s="52" t="n">
        <v>1</v>
      </c>
      <c r="G45" s="53" t="n">
        <v>222</v>
      </c>
      <c r="H45" s="53" t="n">
        <v>222</v>
      </c>
      <c r="I45" s="52" t="s">
        <v>313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276</v>
      </c>
      <c r="C46" s="52" t="s">
        <v>300</v>
      </c>
      <c r="D46" s="52" t="s">
        <v>170</v>
      </c>
      <c r="E46" s="52" t="s">
        <v>280</v>
      </c>
      <c r="F46" s="52" t="n">
        <v>7</v>
      </c>
      <c r="G46" s="53" t="n">
        <v>28.31</v>
      </c>
      <c r="H46" s="53" t="n">
        <f aca="false">F46*G46</f>
        <v>198.17</v>
      </c>
      <c r="I46" s="52" t="s">
        <v>304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276</v>
      </c>
      <c r="C47" s="52" t="s">
        <v>300</v>
      </c>
      <c r="D47" s="52" t="s">
        <v>171</v>
      </c>
      <c r="E47" s="52" t="s">
        <v>280</v>
      </c>
      <c r="F47" s="52" t="n">
        <v>7</v>
      </c>
      <c r="G47" s="53" t="n">
        <v>47.79</v>
      </c>
      <c r="H47" s="53" t="n">
        <f aca="false">F47*G47</f>
        <v>334.53</v>
      </c>
      <c r="I47" s="52" t="s">
        <v>304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276</v>
      </c>
      <c r="C48" s="52" t="s">
        <v>44</v>
      </c>
      <c r="D48" s="52" t="s">
        <v>169</v>
      </c>
      <c r="E48" s="52" t="s">
        <v>280</v>
      </c>
      <c r="F48" s="52" t="n">
        <v>7</v>
      </c>
      <c r="G48" s="53" t="n">
        <v>64.54</v>
      </c>
      <c r="H48" s="53" t="n">
        <f aca="false">F48*G48</f>
        <v>451.78</v>
      </c>
      <c r="I48" s="52" t="s">
        <v>304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276</v>
      </c>
      <c r="C49" s="52" t="s">
        <v>44</v>
      </c>
      <c r="D49" s="52" t="s">
        <v>199</v>
      </c>
      <c r="E49" s="52" t="s">
        <v>280</v>
      </c>
      <c r="F49" s="52" t="n">
        <v>1</v>
      </c>
      <c r="G49" s="53" t="n">
        <v>25.5</v>
      </c>
      <c r="H49" s="53" t="n">
        <v>25.5</v>
      </c>
      <c r="I49" s="52" t="s">
        <v>313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276</v>
      </c>
      <c r="C50" s="52" t="s">
        <v>305</v>
      </c>
      <c r="D50" s="52" t="s">
        <v>167</v>
      </c>
      <c r="E50" s="52" t="s">
        <v>280</v>
      </c>
      <c r="F50" s="52" t="n">
        <v>7</v>
      </c>
      <c r="G50" s="53" t="n">
        <v>10.05</v>
      </c>
      <c r="H50" s="53" t="n">
        <f aca="false">F50*G50</f>
        <v>70.35</v>
      </c>
      <c r="I50" s="52" t="s">
        <v>304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276</v>
      </c>
      <c r="C51" s="52" t="s">
        <v>305</v>
      </c>
      <c r="D51" s="52" t="s">
        <v>168</v>
      </c>
      <c r="E51" s="52" t="s">
        <v>280</v>
      </c>
      <c r="F51" s="52" t="n">
        <v>7</v>
      </c>
      <c r="G51" s="53" t="n">
        <v>2.07</v>
      </c>
      <c r="H51" s="53" t="n">
        <f aca="false">F51*G51</f>
        <v>14.49</v>
      </c>
      <c r="I51" s="52" t="s">
        <v>304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276</v>
      </c>
      <c r="C52" s="52" t="s">
        <v>306</v>
      </c>
      <c r="D52" s="52" t="s">
        <v>200</v>
      </c>
      <c r="E52" s="52" t="s">
        <v>280</v>
      </c>
      <c r="F52" s="52" t="n">
        <v>1</v>
      </c>
      <c r="G52" s="53" t="n">
        <v>137.22</v>
      </c>
      <c r="H52" s="53" t="n">
        <v>137.22</v>
      </c>
      <c r="I52" s="52" t="s">
        <v>313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276</v>
      </c>
      <c r="C53" s="52" t="s">
        <v>306</v>
      </c>
      <c r="D53" s="52" t="s">
        <v>202</v>
      </c>
      <c r="E53" s="52" t="s">
        <v>280</v>
      </c>
      <c r="F53" s="52" t="n">
        <v>1</v>
      </c>
      <c r="G53" s="53" t="n">
        <v>206.54</v>
      </c>
      <c r="H53" s="53" t="n">
        <v>206.54</v>
      </c>
      <c r="I53" s="52" t="s">
        <v>313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276</v>
      </c>
      <c r="C54" s="52" t="s">
        <v>307</v>
      </c>
      <c r="D54" s="52" t="s">
        <v>198</v>
      </c>
      <c r="E54" s="52" t="s">
        <v>280</v>
      </c>
      <c r="F54" s="52" t="n">
        <v>7</v>
      </c>
      <c r="G54" s="53" t="n">
        <v>30</v>
      </c>
      <c r="H54" s="53" t="n">
        <f aca="false">F54*G54</f>
        <v>210</v>
      </c>
      <c r="I54" s="52" t="s">
        <v>304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276</v>
      </c>
      <c r="C55" s="52" t="s">
        <v>308</v>
      </c>
      <c r="D55" s="52" t="s">
        <v>203</v>
      </c>
      <c r="E55" s="52" t="s">
        <v>280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314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276</v>
      </c>
      <c r="C56" s="52" t="s">
        <v>300</v>
      </c>
      <c r="D56" s="52" t="s">
        <v>197</v>
      </c>
      <c r="E56" s="52" t="s">
        <v>281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315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276</v>
      </c>
      <c r="C57" s="52" t="s">
        <v>300</v>
      </c>
      <c r="D57" s="52" t="s">
        <v>302</v>
      </c>
      <c r="E57" s="52" t="s">
        <v>281</v>
      </c>
      <c r="F57" s="52" t="n">
        <v>1</v>
      </c>
      <c r="G57" s="53" t="n">
        <v>348.86</v>
      </c>
      <c r="H57" s="53" t="n">
        <v>348.86</v>
      </c>
      <c r="I57" s="52" t="s">
        <v>316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276</v>
      </c>
      <c r="C58" s="52" t="s">
        <v>300</v>
      </c>
      <c r="D58" s="52" t="s">
        <v>170</v>
      </c>
      <c r="E58" s="52" t="s">
        <v>281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304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276</v>
      </c>
      <c r="C59" s="52" t="s">
        <v>300</v>
      </c>
      <c r="D59" s="52" t="s">
        <v>171</v>
      </c>
      <c r="E59" s="52" t="s">
        <v>281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304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276</v>
      </c>
      <c r="C60" s="52" t="s">
        <v>44</v>
      </c>
      <c r="D60" s="52" t="s">
        <v>169</v>
      </c>
      <c r="E60" s="52" t="s">
        <v>281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304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276</v>
      </c>
      <c r="C61" s="52" t="s">
        <v>44</v>
      </c>
      <c r="D61" s="52" t="s">
        <v>199</v>
      </c>
      <c r="E61" s="52" t="s">
        <v>281</v>
      </c>
      <c r="F61" s="52" t="n">
        <v>1</v>
      </c>
      <c r="G61" s="53" t="n">
        <v>40.07</v>
      </c>
      <c r="H61" s="53" t="n">
        <v>40.07</v>
      </c>
      <c r="I61" s="52" t="s">
        <v>316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276</v>
      </c>
      <c r="C62" s="52" t="s">
        <v>305</v>
      </c>
      <c r="D62" s="52" t="s">
        <v>167</v>
      </c>
      <c r="E62" s="52" t="s">
        <v>281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304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276</v>
      </c>
      <c r="C63" s="52" t="s">
        <v>305</v>
      </c>
      <c r="D63" s="52" t="s">
        <v>168</v>
      </c>
      <c r="E63" s="52" t="s">
        <v>281</v>
      </c>
      <c r="F63" s="52" t="n">
        <v>11</v>
      </c>
      <c r="G63" s="53" t="n">
        <v>2.07</v>
      </c>
      <c r="H63" s="53" t="n">
        <f aca="false">F63*G63</f>
        <v>22.77</v>
      </c>
      <c r="I63" s="52" t="s">
        <v>304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276</v>
      </c>
      <c r="C64" s="52" t="s">
        <v>306</v>
      </c>
      <c r="D64" s="52" t="s">
        <v>200</v>
      </c>
      <c r="E64" s="52" t="s">
        <v>281</v>
      </c>
      <c r="F64" s="52" t="n">
        <v>1</v>
      </c>
      <c r="G64" s="53" t="n">
        <v>215.62</v>
      </c>
      <c r="H64" s="53" t="n">
        <v>215.62</v>
      </c>
      <c r="I64" s="52" t="s">
        <v>316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276</v>
      </c>
      <c r="C65" s="52" t="s">
        <v>306</v>
      </c>
      <c r="D65" s="52" t="s">
        <v>202</v>
      </c>
      <c r="E65" s="52" t="s">
        <v>281</v>
      </c>
      <c r="F65" s="52" t="n">
        <v>1</v>
      </c>
      <c r="G65" s="53" t="n">
        <v>324.56</v>
      </c>
      <c r="H65" s="53" t="n">
        <v>324.56</v>
      </c>
      <c r="I65" s="52" t="s">
        <v>316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276</v>
      </c>
      <c r="C66" s="52" t="s">
        <v>307</v>
      </c>
      <c r="D66" s="52" t="s">
        <v>198</v>
      </c>
      <c r="E66" s="52" t="s">
        <v>281</v>
      </c>
      <c r="F66" s="52" t="n">
        <v>11</v>
      </c>
      <c r="G66" s="53" t="n">
        <v>30</v>
      </c>
      <c r="H66" s="53" t="n">
        <f aca="false">F66*G66</f>
        <v>330</v>
      </c>
      <c r="I66" s="52" t="s">
        <v>304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276</v>
      </c>
      <c r="C67" s="52" t="s">
        <v>308</v>
      </c>
      <c r="D67" s="52" t="s">
        <v>203</v>
      </c>
      <c r="E67" s="52" t="s">
        <v>281</v>
      </c>
      <c r="F67" s="52" t="n">
        <v>1</v>
      </c>
      <c r="G67" s="53" t="n">
        <v>0</v>
      </c>
      <c r="H67" s="53" t="n">
        <f aca="false">F67*G67</f>
        <v>0</v>
      </c>
      <c r="I67" s="52" t="s">
        <v>317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283</v>
      </c>
      <c r="C68" s="52" t="s">
        <v>300</v>
      </c>
      <c r="D68" s="52" t="s">
        <v>197</v>
      </c>
      <c r="E68" s="52" t="s">
        <v>281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318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283</v>
      </c>
      <c r="C69" s="52" t="s">
        <v>300</v>
      </c>
      <c r="D69" s="52" t="s">
        <v>170</v>
      </c>
      <c r="E69" s="52" t="s">
        <v>281</v>
      </c>
      <c r="F69" s="52" t="n">
        <v>2</v>
      </c>
      <c r="G69" s="53" t="n">
        <v>28.31</v>
      </c>
      <c r="H69" s="53" t="n">
        <f aca="false">F69*G69</f>
        <v>56.62</v>
      </c>
      <c r="I69" s="52" t="s">
        <v>304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283</v>
      </c>
      <c r="C70" s="52" t="s">
        <v>300</v>
      </c>
      <c r="D70" s="52" t="s">
        <v>171</v>
      </c>
      <c r="E70" s="52" t="s">
        <v>281</v>
      </c>
      <c r="F70" s="52" t="n">
        <v>2</v>
      </c>
      <c r="G70" s="53" t="n">
        <v>47.79</v>
      </c>
      <c r="H70" s="53" t="n">
        <f aca="false">F70*G70</f>
        <v>95.58</v>
      </c>
      <c r="I70" s="52" t="s">
        <v>304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283</v>
      </c>
      <c r="C71" s="52" t="s">
        <v>44</v>
      </c>
      <c r="D71" s="52" t="s">
        <v>169</v>
      </c>
      <c r="E71" s="52" t="s">
        <v>281</v>
      </c>
      <c r="F71" s="52" t="n">
        <v>2</v>
      </c>
      <c r="G71" s="53" t="n">
        <v>64.54</v>
      </c>
      <c r="H71" s="53" t="n">
        <f aca="false">F71*G71</f>
        <v>129.08</v>
      </c>
      <c r="I71" s="52" t="s">
        <v>304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283</v>
      </c>
      <c r="C72" s="52" t="s">
        <v>305</v>
      </c>
      <c r="D72" s="52" t="s">
        <v>167</v>
      </c>
      <c r="E72" s="52" t="s">
        <v>281</v>
      </c>
      <c r="F72" s="52" t="n">
        <v>2</v>
      </c>
      <c r="G72" s="53" t="n">
        <v>10.05</v>
      </c>
      <c r="H72" s="53" t="n">
        <f aca="false">F72*G72</f>
        <v>20.1</v>
      </c>
      <c r="I72" s="52" t="s">
        <v>304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283</v>
      </c>
      <c r="C73" s="52" t="s">
        <v>305</v>
      </c>
      <c r="D73" s="52" t="s">
        <v>168</v>
      </c>
      <c r="E73" s="52" t="s">
        <v>281</v>
      </c>
      <c r="F73" s="52" t="n">
        <v>2</v>
      </c>
      <c r="G73" s="53" t="n">
        <v>2.07</v>
      </c>
      <c r="H73" s="53" t="n">
        <f aca="false">F73*G73</f>
        <v>4.14</v>
      </c>
      <c r="I73" s="52" t="s">
        <v>304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283</v>
      </c>
      <c r="C74" s="52" t="s">
        <v>307</v>
      </c>
      <c r="D74" s="52" t="s">
        <v>198</v>
      </c>
      <c r="E74" s="52" t="s">
        <v>281</v>
      </c>
      <c r="F74" s="52" t="n">
        <v>2</v>
      </c>
      <c r="G74" s="53" t="n">
        <v>30</v>
      </c>
      <c r="H74" s="53" t="n">
        <f aca="false">F74*G74</f>
        <v>60</v>
      </c>
      <c r="I74" s="52" t="s">
        <v>304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283</v>
      </c>
      <c r="C75" s="52" t="s">
        <v>308</v>
      </c>
      <c r="D75" s="52" t="s">
        <v>203</v>
      </c>
      <c r="E75" s="52" t="s">
        <v>281</v>
      </c>
      <c r="F75" s="52" t="n">
        <v>1</v>
      </c>
      <c r="G75" s="53" t="n">
        <v>696.8</v>
      </c>
      <c r="H75" s="53" t="n">
        <f aca="false">F75*G75</f>
        <v>696.8</v>
      </c>
      <c r="I75" s="52" t="s">
        <v>314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276</v>
      </c>
      <c r="C76" s="52" t="s">
        <v>300</v>
      </c>
      <c r="D76" s="52" t="s">
        <v>197</v>
      </c>
      <c r="E76" s="52" t="s">
        <v>284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319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276</v>
      </c>
      <c r="C77" s="52" t="s">
        <v>300</v>
      </c>
      <c r="D77" s="52" t="s">
        <v>302</v>
      </c>
      <c r="E77" s="52" t="s">
        <v>284</v>
      </c>
      <c r="F77" s="52" t="n">
        <v>1</v>
      </c>
      <c r="G77" s="53" t="n">
        <v>570.86</v>
      </c>
      <c r="H77" s="53" t="n">
        <v>570.86</v>
      </c>
      <c r="I77" s="52" t="s">
        <v>320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276</v>
      </c>
      <c r="C78" s="52" t="s">
        <v>300</v>
      </c>
      <c r="D78" s="52" t="s">
        <v>170</v>
      </c>
      <c r="E78" s="52" t="s">
        <v>284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304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276</v>
      </c>
      <c r="C79" s="52" t="s">
        <v>300</v>
      </c>
      <c r="D79" s="52" t="s">
        <v>171</v>
      </c>
      <c r="E79" s="52" t="s">
        <v>284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304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276</v>
      </c>
      <c r="C80" s="52" t="s">
        <v>44</v>
      </c>
      <c r="D80" s="52" t="s">
        <v>169</v>
      </c>
      <c r="E80" s="52" t="s">
        <v>284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304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276</v>
      </c>
      <c r="C81" s="52" t="s">
        <v>44</v>
      </c>
      <c r="D81" s="52" t="s">
        <v>199</v>
      </c>
      <c r="E81" s="52" t="s">
        <v>284</v>
      </c>
      <c r="F81" s="52" t="n">
        <v>1</v>
      </c>
      <c r="G81" s="53" t="n">
        <v>65.57</v>
      </c>
      <c r="H81" s="53" t="n">
        <v>65.57</v>
      </c>
      <c r="I81" s="52" t="s">
        <v>320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276</v>
      </c>
      <c r="C82" s="52" t="s">
        <v>305</v>
      </c>
      <c r="D82" s="52" t="s">
        <v>167</v>
      </c>
      <c r="E82" s="52" t="s">
        <v>284</v>
      </c>
      <c r="F82" s="52" t="n">
        <v>18</v>
      </c>
      <c r="G82" s="53" t="n">
        <v>10.05</v>
      </c>
      <c r="H82" s="53" t="n">
        <f aca="false">F82*G82</f>
        <v>180.9</v>
      </c>
      <c r="I82" s="52" t="s">
        <v>304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276</v>
      </c>
      <c r="C83" s="52" t="s">
        <v>305</v>
      </c>
      <c r="D83" s="52" t="s">
        <v>168</v>
      </c>
      <c r="E83" s="52" t="s">
        <v>284</v>
      </c>
      <c r="F83" s="52" t="n">
        <v>18</v>
      </c>
      <c r="G83" s="53" t="n">
        <v>2.07</v>
      </c>
      <c r="H83" s="53" t="n">
        <f aca="false">F83*G83</f>
        <v>37.26</v>
      </c>
      <c r="I83" s="52" t="s">
        <v>304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276</v>
      </c>
      <c r="C84" s="52" t="s">
        <v>306</v>
      </c>
      <c r="D84" s="52" t="s">
        <v>200</v>
      </c>
      <c r="E84" s="52" t="s">
        <v>284</v>
      </c>
      <c r="F84" s="52" t="n">
        <v>1</v>
      </c>
      <c r="G84" s="53" t="n">
        <v>352.84</v>
      </c>
      <c r="H84" s="53" t="n">
        <v>352.84</v>
      </c>
      <c r="I84" s="52" t="s">
        <v>320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276</v>
      </c>
      <c r="C85" s="52" t="s">
        <v>306</v>
      </c>
      <c r="D85" s="52" t="s">
        <v>202</v>
      </c>
      <c r="E85" s="52" t="s">
        <v>284</v>
      </c>
      <c r="F85" s="52" t="n">
        <v>1</v>
      </c>
      <c r="G85" s="53" t="n">
        <v>531.09</v>
      </c>
      <c r="H85" s="53" t="n">
        <v>531.09</v>
      </c>
      <c r="I85" s="52" t="s">
        <v>320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276</v>
      </c>
      <c r="C86" s="52" t="s">
        <v>307</v>
      </c>
      <c r="D86" s="52" t="s">
        <v>198</v>
      </c>
      <c r="E86" s="52" t="s">
        <v>284</v>
      </c>
      <c r="F86" s="52" t="n">
        <v>18</v>
      </c>
      <c r="G86" s="53" t="n">
        <v>30</v>
      </c>
      <c r="H86" s="53" t="n">
        <f aca="false">F86*G86</f>
        <v>540</v>
      </c>
      <c r="I86" s="52" t="s">
        <v>304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276</v>
      </c>
      <c r="C87" s="52" t="s">
        <v>308</v>
      </c>
      <c r="D87" s="52" t="s">
        <v>203</v>
      </c>
      <c r="E87" s="52" t="s">
        <v>284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321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285</v>
      </c>
      <c r="C88" s="52" t="s">
        <v>300</v>
      </c>
      <c r="D88" s="52" t="s">
        <v>197</v>
      </c>
      <c r="E88" s="52" t="s">
        <v>284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318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285</v>
      </c>
      <c r="C89" s="52" t="s">
        <v>300</v>
      </c>
      <c r="D89" s="52" t="s">
        <v>170</v>
      </c>
      <c r="E89" s="52" t="s">
        <v>284</v>
      </c>
      <c r="F89" s="52" t="n">
        <v>2</v>
      </c>
      <c r="G89" s="53" t="n">
        <v>28.31</v>
      </c>
      <c r="H89" s="53" t="n">
        <f aca="false">F89*G89</f>
        <v>56.62</v>
      </c>
      <c r="I89" s="52" t="s">
        <v>304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285</v>
      </c>
      <c r="C90" s="52" t="s">
        <v>300</v>
      </c>
      <c r="D90" s="52" t="s">
        <v>171</v>
      </c>
      <c r="E90" s="52" t="s">
        <v>284</v>
      </c>
      <c r="F90" s="52" t="n">
        <v>2</v>
      </c>
      <c r="G90" s="53" t="n">
        <v>47.79</v>
      </c>
      <c r="H90" s="53" t="n">
        <f aca="false">F90*G90</f>
        <v>95.58</v>
      </c>
      <c r="I90" s="52" t="s">
        <v>304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285</v>
      </c>
      <c r="C91" s="52" t="s">
        <v>44</v>
      </c>
      <c r="D91" s="52" t="s">
        <v>169</v>
      </c>
      <c r="E91" s="52" t="s">
        <v>284</v>
      </c>
      <c r="F91" s="52" t="n">
        <v>2</v>
      </c>
      <c r="G91" s="53" t="n">
        <v>64.54</v>
      </c>
      <c r="H91" s="53" t="n">
        <f aca="false">F91*G91</f>
        <v>129.08</v>
      </c>
      <c r="I91" s="52" t="s">
        <v>304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285</v>
      </c>
      <c r="C92" s="52" t="s">
        <v>305</v>
      </c>
      <c r="D92" s="52" t="s">
        <v>167</v>
      </c>
      <c r="E92" s="52" t="s">
        <v>284</v>
      </c>
      <c r="F92" s="52" t="n">
        <v>2</v>
      </c>
      <c r="G92" s="53" t="n">
        <v>10.05</v>
      </c>
      <c r="H92" s="53" t="n">
        <f aca="false">F92*G92</f>
        <v>20.1</v>
      </c>
      <c r="I92" s="52" t="s">
        <v>304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285</v>
      </c>
      <c r="C93" s="52" t="s">
        <v>305</v>
      </c>
      <c r="D93" s="52" t="s">
        <v>168</v>
      </c>
      <c r="E93" s="52" t="s">
        <v>284</v>
      </c>
      <c r="F93" s="52" t="n">
        <v>2</v>
      </c>
      <c r="G93" s="53" t="n">
        <v>2.07</v>
      </c>
      <c r="H93" s="53" t="n">
        <f aca="false">F93*G93</f>
        <v>4.14</v>
      </c>
      <c r="I93" s="52" t="s">
        <v>304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285</v>
      </c>
      <c r="C94" s="52" t="s">
        <v>307</v>
      </c>
      <c r="D94" s="52" t="s">
        <v>198</v>
      </c>
      <c r="E94" s="52" t="s">
        <v>284</v>
      </c>
      <c r="F94" s="52" t="n">
        <v>2</v>
      </c>
      <c r="G94" s="53" t="n">
        <v>30</v>
      </c>
      <c r="H94" s="53" t="n">
        <f aca="false">F94*G94</f>
        <v>60</v>
      </c>
      <c r="I94" s="52" t="s">
        <v>304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285</v>
      </c>
      <c r="C95" s="52" t="s">
        <v>308</v>
      </c>
      <c r="D95" s="52" t="s">
        <v>203</v>
      </c>
      <c r="E95" s="52" t="s">
        <v>284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314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286</v>
      </c>
      <c r="C96" s="52" t="s">
        <v>300</v>
      </c>
      <c r="D96" s="52" t="s">
        <v>197</v>
      </c>
      <c r="E96" s="52" t="s">
        <v>284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322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286</v>
      </c>
      <c r="C97" s="52" t="s">
        <v>300</v>
      </c>
      <c r="D97" s="52" t="s">
        <v>170</v>
      </c>
      <c r="E97" s="52" t="s">
        <v>284</v>
      </c>
      <c r="F97" s="52" t="n">
        <v>5</v>
      </c>
      <c r="G97" s="53" t="n">
        <v>28.31</v>
      </c>
      <c r="H97" s="53" t="n">
        <f aca="false">F97*G97</f>
        <v>141.55</v>
      </c>
      <c r="I97" s="52" t="s">
        <v>304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286</v>
      </c>
      <c r="C98" s="52" t="s">
        <v>300</v>
      </c>
      <c r="D98" s="52" t="s">
        <v>171</v>
      </c>
      <c r="E98" s="52" t="s">
        <v>284</v>
      </c>
      <c r="F98" s="52" t="n">
        <v>5</v>
      </c>
      <c r="G98" s="53" t="n">
        <v>47.79</v>
      </c>
      <c r="H98" s="53" t="n">
        <f aca="false">F98*G98</f>
        <v>238.95</v>
      </c>
      <c r="I98" s="52" t="s">
        <v>304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286</v>
      </c>
      <c r="C99" s="52" t="s">
        <v>44</v>
      </c>
      <c r="D99" s="52" t="s">
        <v>169</v>
      </c>
      <c r="E99" s="52" t="s">
        <v>284</v>
      </c>
      <c r="F99" s="52" t="n">
        <v>5</v>
      </c>
      <c r="G99" s="53" t="n">
        <v>64.54</v>
      </c>
      <c r="H99" s="53" t="n">
        <f aca="false">F99*G99</f>
        <v>322.7</v>
      </c>
      <c r="I99" s="52" t="s">
        <v>304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286</v>
      </c>
      <c r="C100" s="52" t="s">
        <v>305</v>
      </c>
      <c r="D100" s="52" t="s">
        <v>167</v>
      </c>
      <c r="E100" s="52" t="s">
        <v>284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304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286</v>
      </c>
      <c r="C101" s="52" t="s">
        <v>305</v>
      </c>
      <c r="D101" s="52" t="s">
        <v>168</v>
      </c>
      <c r="E101" s="52" t="s">
        <v>284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304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286</v>
      </c>
      <c r="C102" s="52" t="s">
        <v>306</v>
      </c>
      <c r="D102" s="52" t="s">
        <v>202</v>
      </c>
      <c r="E102" s="52" t="s">
        <v>284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323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286</v>
      </c>
      <c r="C103" s="52" t="s">
        <v>307</v>
      </c>
      <c r="D103" s="52" t="s">
        <v>198</v>
      </c>
      <c r="E103" s="52" t="s">
        <v>284</v>
      </c>
      <c r="F103" s="52" t="n">
        <v>5</v>
      </c>
      <c r="G103" s="53" t="n">
        <v>30</v>
      </c>
      <c r="H103" s="53" t="n">
        <f aca="false">F103*G103</f>
        <v>150</v>
      </c>
      <c r="I103" s="52" t="s">
        <v>304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286</v>
      </c>
      <c r="C104" s="52" t="s">
        <v>308</v>
      </c>
      <c r="D104" s="52" t="s">
        <v>203</v>
      </c>
      <c r="E104" s="52" t="s">
        <v>284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314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288</v>
      </c>
      <c r="C105" s="52" t="s">
        <v>300</v>
      </c>
      <c r="D105" s="52" t="s">
        <v>197</v>
      </c>
      <c r="E105" s="52" t="s">
        <v>287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324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288</v>
      </c>
      <c r="C106" s="52" t="s">
        <v>300</v>
      </c>
      <c r="D106" s="52" t="s">
        <v>170</v>
      </c>
      <c r="E106" s="52" t="s">
        <v>287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304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288</v>
      </c>
      <c r="C107" s="52" t="s">
        <v>300</v>
      </c>
      <c r="D107" s="52" t="s">
        <v>171</v>
      </c>
      <c r="E107" s="52" t="s">
        <v>287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304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288</v>
      </c>
      <c r="C108" s="52" t="s">
        <v>44</v>
      </c>
      <c r="D108" s="52" t="s">
        <v>169</v>
      </c>
      <c r="E108" s="52" t="s">
        <v>287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304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288</v>
      </c>
      <c r="C109" s="52" t="s">
        <v>44</v>
      </c>
      <c r="D109" s="52" t="s">
        <v>199</v>
      </c>
      <c r="E109" s="52" t="s">
        <v>287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325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288</v>
      </c>
      <c r="C110" s="52" t="s">
        <v>305</v>
      </c>
      <c r="D110" s="52" t="s">
        <v>167</v>
      </c>
      <c r="E110" s="52" t="s">
        <v>287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304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288</v>
      </c>
      <c r="C111" s="52" t="s">
        <v>305</v>
      </c>
      <c r="D111" s="52" t="s">
        <v>168</v>
      </c>
      <c r="E111" s="52" t="s">
        <v>287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304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288</v>
      </c>
      <c r="C112" s="52" t="s">
        <v>306</v>
      </c>
      <c r="D112" s="52" t="s">
        <v>200</v>
      </c>
      <c r="E112" s="52" t="s">
        <v>287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325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288</v>
      </c>
      <c r="C113" s="52" t="s">
        <v>306</v>
      </c>
      <c r="D113" s="52" t="s">
        <v>202</v>
      </c>
      <c r="E113" s="52" t="s">
        <v>287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325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288</v>
      </c>
      <c r="C114" s="52" t="s">
        <v>307</v>
      </c>
      <c r="D114" s="52" t="s">
        <v>198</v>
      </c>
      <c r="E114" s="52" t="s">
        <v>287</v>
      </c>
      <c r="F114" s="52" t="n">
        <v>8</v>
      </c>
      <c r="G114" s="53" t="n">
        <v>30</v>
      </c>
      <c r="H114" s="53" t="n">
        <f aca="false">F114*G114</f>
        <v>240</v>
      </c>
      <c r="I114" s="52" t="s">
        <v>304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291</v>
      </c>
      <c r="C115" s="52" t="s">
        <v>300</v>
      </c>
      <c r="D115" s="52" t="s">
        <v>197</v>
      </c>
      <c r="E115" s="52" t="s">
        <v>287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326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291</v>
      </c>
      <c r="C116" s="52" t="s">
        <v>300</v>
      </c>
      <c r="D116" s="52" t="s">
        <v>302</v>
      </c>
      <c r="E116" s="52" t="s">
        <v>287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316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291</v>
      </c>
      <c r="C117" s="52" t="s">
        <v>300</v>
      </c>
      <c r="D117" s="52" t="s">
        <v>170</v>
      </c>
      <c r="E117" s="52" t="s">
        <v>287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304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291</v>
      </c>
      <c r="C118" s="52" t="s">
        <v>300</v>
      </c>
      <c r="D118" s="52" t="s">
        <v>171</v>
      </c>
      <c r="E118" s="52" t="s">
        <v>287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304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291</v>
      </c>
      <c r="C119" s="52" t="s">
        <v>44</v>
      </c>
      <c r="D119" s="52" t="s">
        <v>169</v>
      </c>
      <c r="E119" s="52" t="s">
        <v>287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304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291</v>
      </c>
      <c r="C120" s="52" t="s">
        <v>44</v>
      </c>
      <c r="D120" s="52" t="s">
        <v>199</v>
      </c>
      <c r="E120" s="52" t="s">
        <v>287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316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291</v>
      </c>
      <c r="C121" s="52" t="s">
        <v>305</v>
      </c>
      <c r="D121" s="52" t="s">
        <v>167</v>
      </c>
      <c r="E121" s="52" t="s">
        <v>287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304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291</v>
      </c>
      <c r="C122" s="52" t="s">
        <v>305</v>
      </c>
      <c r="D122" s="52" t="s">
        <v>168</v>
      </c>
      <c r="E122" s="52" t="s">
        <v>287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304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291</v>
      </c>
      <c r="C123" s="52" t="s">
        <v>307</v>
      </c>
      <c r="D123" s="52" t="s">
        <v>198</v>
      </c>
      <c r="E123" s="52" t="s">
        <v>287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304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291</v>
      </c>
      <c r="C124" s="52" t="s">
        <v>308</v>
      </c>
      <c r="D124" s="52" t="s">
        <v>203</v>
      </c>
      <c r="E124" s="52" t="s">
        <v>287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314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294</v>
      </c>
      <c r="C125" s="52" t="s">
        <v>300</v>
      </c>
      <c r="D125" s="52" t="s">
        <v>197</v>
      </c>
      <c r="E125" s="52" t="s">
        <v>293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327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294</v>
      </c>
      <c r="C126" s="52" t="s">
        <v>300</v>
      </c>
      <c r="D126" s="52" t="s">
        <v>170</v>
      </c>
      <c r="E126" s="52" t="s">
        <v>293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304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294</v>
      </c>
      <c r="C127" s="52" t="s">
        <v>300</v>
      </c>
      <c r="D127" s="52" t="s">
        <v>171</v>
      </c>
      <c r="E127" s="52" t="s">
        <v>293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304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294</v>
      </c>
      <c r="C128" s="52" t="s">
        <v>44</v>
      </c>
      <c r="D128" s="52" t="s">
        <v>169</v>
      </c>
      <c r="E128" s="52" t="s">
        <v>293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304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294</v>
      </c>
      <c r="C129" s="52" t="s">
        <v>305</v>
      </c>
      <c r="D129" s="52" t="s">
        <v>167</v>
      </c>
      <c r="E129" s="52" t="s">
        <v>293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304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294</v>
      </c>
      <c r="C130" s="52" t="s">
        <v>305</v>
      </c>
      <c r="D130" s="52" t="s">
        <v>168</v>
      </c>
      <c r="E130" s="52" t="s">
        <v>293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304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294</v>
      </c>
      <c r="C131" s="52" t="s">
        <v>307</v>
      </c>
      <c r="D131" s="52" t="s">
        <v>198</v>
      </c>
      <c r="E131" s="52" t="s">
        <v>293</v>
      </c>
      <c r="F131" s="52" t="n">
        <v>1</v>
      </c>
      <c r="G131" s="53" t="n">
        <v>30</v>
      </c>
      <c r="H131" s="53" t="n">
        <f aca="false">F131*G131</f>
        <v>30</v>
      </c>
      <c r="I131" s="52" t="s">
        <v>304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276</v>
      </c>
      <c r="C132" s="52" t="s">
        <v>300</v>
      </c>
      <c r="D132" s="52" t="s">
        <v>197</v>
      </c>
      <c r="E132" s="52" t="s">
        <v>275</v>
      </c>
      <c r="F132" s="52" t="n">
        <v>1</v>
      </c>
      <c r="G132" s="53" t="n">
        <v>70601.0801777777</v>
      </c>
      <c r="H132" s="53" t="n">
        <v>70601.0801777777</v>
      </c>
      <c r="I132" s="52" t="s">
        <v>328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276</v>
      </c>
      <c r="C133" s="52" t="s">
        <v>300</v>
      </c>
      <c r="D133" s="52" t="s">
        <v>302</v>
      </c>
      <c r="E133" s="52" t="s">
        <v>275</v>
      </c>
      <c r="F133" s="52" t="n">
        <v>1</v>
      </c>
      <c r="G133" s="53" t="n">
        <v>2724.43</v>
      </c>
      <c r="H133" s="53" t="n">
        <v>2724.43</v>
      </c>
      <c r="I133" s="52" t="s">
        <v>303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276</v>
      </c>
      <c r="C134" s="52" t="s">
        <v>300</v>
      </c>
      <c r="D134" s="52" t="s">
        <v>170</v>
      </c>
      <c r="E134" s="52" t="s">
        <v>275</v>
      </c>
      <c r="F134" s="52" t="n">
        <v>39</v>
      </c>
      <c r="G134" s="53" t="n">
        <v>28.31</v>
      </c>
      <c r="H134" s="53" t="n">
        <v>1104.09</v>
      </c>
      <c r="I134" s="52" t="s">
        <v>304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276</v>
      </c>
      <c r="C135" s="52" t="s">
        <v>300</v>
      </c>
      <c r="D135" s="52" t="s">
        <v>171</v>
      </c>
      <c r="E135" s="52" t="s">
        <v>275</v>
      </c>
      <c r="F135" s="52" t="n">
        <v>39</v>
      </c>
      <c r="G135" s="53" t="n">
        <v>47.79</v>
      </c>
      <c r="H135" s="53" t="n">
        <v>1863.81</v>
      </c>
      <c r="I135" s="52" t="s">
        <v>304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276</v>
      </c>
      <c r="C136" s="52" t="s">
        <v>44</v>
      </c>
      <c r="D136" s="52" t="s">
        <v>199</v>
      </c>
      <c r="E136" s="52" t="s">
        <v>275</v>
      </c>
      <c r="F136" s="52" t="n">
        <v>1</v>
      </c>
      <c r="G136" s="53" t="n">
        <v>373.29</v>
      </c>
      <c r="H136" s="53" t="n">
        <v>373.29</v>
      </c>
      <c r="I136" s="52" t="s">
        <v>303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276</v>
      </c>
      <c r="C137" s="52" t="s">
        <v>44</v>
      </c>
      <c r="D137" s="52" t="s">
        <v>169</v>
      </c>
      <c r="E137" s="52" t="s">
        <v>275</v>
      </c>
      <c r="F137" s="52" t="n">
        <v>39</v>
      </c>
      <c r="G137" s="53" t="n">
        <v>64.57</v>
      </c>
      <c r="H137" s="53" t="n">
        <v>2518.23</v>
      </c>
      <c r="I137" s="52" t="s">
        <v>304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276</v>
      </c>
      <c r="C138" s="52" t="s">
        <v>305</v>
      </c>
      <c r="D138" s="52" t="s">
        <v>167</v>
      </c>
      <c r="E138" s="52" t="s">
        <v>275</v>
      </c>
      <c r="F138" s="52" t="n">
        <v>39</v>
      </c>
      <c r="G138" s="53" t="n">
        <v>10.05</v>
      </c>
      <c r="H138" s="53" t="n">
        <v>391.95</v>
      </c>
      <c r="I138" s="52" t="s">
        <v>304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276</v>
      </c>
      <c r="C139" s="52" t="s">
        <v>305</v>
      </c>
      <c r="D139" s="52" t="s">
        <v>168</v>
      </c>
      <c r="E139" s="52" t="s">
        <v>275</v>
      </c>
      <c r="F139" s="52" t="n">
        <v>39</v>
      </c>
      <c r="G139" s="53" t="n">
        <v>2.07</v>
      </c>
      <c r="H139" s="53" t="n">
        <v>80.73</v>
      </c>
      <c r="I139" s="52" t="s">
        <v>304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276</v>
      </c>
      <c r="C140" s="52" t="s">
        <v>306</v>
      </c>
      <c r="D140" s="52" t="s">
        <v>200</v>
      </c>
      <c r="E140" s="52" t="s">
        <v>275</v>
      </c>
      <c r="F140" s="52" t="n">
        <v>1</v>
      </c>
      <c r="G140" s="53" t="n">
        <v>71.78</v>
      </c>
      <c r="H140" s="53" t="n">
        <v>71.78</v>
      </c>
      <c r="I140" s="52" t="s">
        <v>303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276</v>
      </c>
      <c r="C141" s="52" t="s">
        <v>306</v>
      </c>
      <c r="D141" s="52" t="s">
        <v>201</v>
      </c>
      <c r="E141" s="52" t="s">
        <v>275</v>
      </c>
      <c r="F141" s="52" t="n">
        <v>1</v>
      </c>
      <c r="G141" s="53" t="n">
        <v>-105.55</v>
      </c>
      <c r="H141" s="53" t="n">
        <v>-105.55</v>
      </c>
      <c r="I141" s="52" t="s">
        <v>303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276</v>
      </c>
      <c r="C142" s="52" t="s">
        <v>306</v>
      </c>
      <c r="D142" s="52" t="s">
        <v>202</v>
      </c>
      <c r="E142" s="52" t="s">
        <v>275</v>
      </c>
      <c r="F142" s="52" t="n">
        <v>1</v>
      </c>
      <c r="G142" s="53" t="n">
        <v>111.85</v>
      </c>
      <c r="H142" s="53" t="n">
        <v>111.85</v>
      </c>
      <c r="I142" s="52" t="s">
        <v>303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276</v>
      </c>
      <c r="C143" s="52" t="s">
        <v>307</v>
      </c>
      <c r="D143" s="52" t="s">
        <v>198</v>
      </c>
      <c r="E143" s="52" t="s">
        <v>275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304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276</v>
      </c>
      <c r="C144" s="52" t="s">
        <v>329</v>
      </c>
      <c r="D144" s="52" t="s">
        <v>330</v>
      </c>
      <c r="E144" s="52" t="s">
        <v>275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331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276</v>
      </c>
      <c r="C145" s="52" t="s">
        <v>308</v>
      </c>
      <c r="D145" s="52" t="s">
        <v>203</v>
      </c>
      <c r="E145" s="52" t="s">
        <v>275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332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276</v>
      </c>
      <c r="C146" s="52" t="s">
        <v>300</v>
      </c>
      <c r="D146" s="52" t="s">
        <v>197</v>
      </c>
      <c r="E146" s="52" t="s">
        <v>278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310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276</v>
      </c>
      <c r="C147" s="52" t="s">
        <v>300</v>
      </c>
      <c r="D147" s="52" t="s">
        <v>302</v>
      </c>
      <c r="E147" s="52" t="s">
        <v>278</v>
      </c>
      <c r="F147" s="52" t="n">
        <v>1</v>
      </c>
      <c r="G147" s="53" t="n">
        <v>628.71</v>
      </c>
      <c r="H147" s="53" t="n">
        <v>628.71</v>
      </c>
      <c r="I147" s="52" t="s">
        <v>311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276</v>
      </c>
      <c r="C148" s="52" t="s">
        <v>300</v>
      </c>
      <c r="D148" s="52" t="s">
        <v>170</v>
      </c>
      <c r="E148" s="52" t="s">
        <v>278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304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276</v>
      </c>
      <c r="C149" s="52" t="s">
        <v>300</v>
      </c>
      <c r="D149" s="52" t="s">
        <v>171</v>
      </c>
      <c r="E149" s="52" t="s">
        <v>278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304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276</v>
      </c>
      <c r="C150" s="52" t="s">
        <v>44</v>
      </c>
      <c r="D150" s="52" t="s">
        <v>199</v>
      </c>
      <c r="E150" s="52" t="s">
        <v>278</v>
      </c>
      <c r="F150" s="52" t="n">
        <v>1</v>
      </c>
      <c r="G150" s="53" t="n">
        <v>86.14</v>
      </c>
      <c r="H150" s="53" t="n">
        <v>86.14</v>
      </c>
      <c r="I150" s="52" t="s">
        <v>311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276</v>
      </c>
      <c r="C151" s="52" t="s">
        <v>44</v>
      </c>
      <c r="D151" s="52" t="s">
        <v>169</v>
      </c>
      <c r="E151" s="52" t="s">
        <v>278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304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276</v>
      </c>
      <c r="C152" s="52" t="s">
        <v>305</v>
      </c>
      <c r="D152" s="52" t="s">
        <v>167</v>
      </c>
      <c r="E152" s="52" t="s">
        <v>278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304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276</v>
      </c>
      <c r="C153" s="52" t="s">
        <v>305</v>
      </c>
      <c r="D153" s="52" t="s">
        <v>168</v>
      </c>
      <c r="E153" s="52" t="s">
        <v>278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304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276</v>
      </c>
      <c r="C154" s="52" t="s">
        <v>306</v>
      </c>
      <c r="D154" s="52" t="s">
        <v>200</v>
      </c>
      <c r="E154" s="52" t="s">
        <v>278</v>
      </c>
      <c r="F154" s="52" t="n">
        <v>1</v>
      </c>
      <c r="G154" s="53" t="n">
        <v>16.56</v>
      </c>
      <c r="H154" s="53" t="n">
        <v>16.56</v>
      </c>
      <c r="I154" s="52" t="s">
        <v>311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276</v>
      </c>
      <c r="C155" s="52" t="s">
        <v>306</v>
      </c>
      <c r="D155" s="52" t="s">
        <v>201</v>
      </c>
      <c r="E155" s="52" t="s">
        <v>278</v>
      </c>
      <c r="F155" s="52" t="n">
        <v>1</v>
      </c>
      <c r="G155" s="53" t="n">
        <v>-24.36</v>
      </c>
      <c r="H155" s="53" t="n">
        <v>-24.36</v>
      </c>
      <c r="I155" s="52" t="s">
        <v>311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276</v>
      </c>
      <c r="C156" s="52" t="s">
        <v>306</v>
      </c>
      <c r="D156" s="52" t="s">
        <v>202</v>
      </c>
      <c r="E156" s="52" t="s">
        <v>278</v>
      </c>
      <c r="F156" s="52" t="n">
        <v>1</v>
      </c>
      <c r="G156" s="53" t="n">
        <v>25.81</v>
      </c>
      <c r="H156" s="53" t="n">
        <v>25.81</v>
      </c>
      <c r="I156" s="52" t="s">
        <v>311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276</v>
      </c>
      <c r="C157" s="52" t="s">
        <v>307</v>
      </c>
      <c r="D157" s="52" t="s">
        <v>198</v>
      </c>
      <c r="E157" s="52" t="s">
        <v>278</v>
      </c>
      <c r="F157" s="52" t="n">
        <v>9</v>
      </c>
      <c r="G157" s="53" t="n">
        <v>30</v>
      </c>
      <c r="H157" s="53" t="n">
        <f aca="false">F157*G157</f>
        <v>270</v>
      </c>
      <c r="I157" s="52" t="s">
        <v>304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276</v>
      </c>
      <c r="C158" s="52" t="s">
        <v>300</v>
      </c>
      <c r="D158" s="52" t="s">
        <v>197</v>
      </c>
      <c r="E158" s="52" t="s">
        <v>280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312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276</v>
      </c>
      <c r="C159" s="52" t="s">
        <v>300</v>
      </c>
      <c r="D159" s="52" t="s">
        <v>333</v>
      </c>
      <c r="E159" s="52" t="s">
        <v>280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334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276</v>
      </c>
      <c r="C160" s="52" t="s">
        <v>300</v>
      </c>
      <c r="D160" s="52" t="s">
        <v>302</v>
      </c>
      <c r="E160" s="52" t="s">
        <v>280</v>
      </c>
      <c r="F160" s="52" t="n">
        <v>1</v>
      </c>
      <c r="G160" s="53" t="n">
        <v>489</v>
      </c>
      <c r="H160" s="53" t="n">
        <v>489</v>
      </c>
      <c r="I160" s="52" t="s">
        <v>313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276</v>
      </c>
      <c r="C161" s="52" t="s">
        <v>300</v>
      </c>
      <c r="D161" s="52" t="s">
        <v>170</v>
      </c>
      <c r="E161" s="52" t="s">
        <v>280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304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276</v>
      </c>
      <c r="C162" s="52" t="s">
        <v>300</v>
      </c>
      <c r="D162" s="52" t="s">
        <v>171</v>
      </c>
      <c r="E162" s="52" t="s">
        <v>280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304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276</v>
      </c>
      <c r="C163" s="52" t="s">
        <v>44</v>
      </c>
      <c r="D163" s="52" t="s">
        <v>199</v>
      </c>
      <c r="E163" s="52" t="s">
        <v>280</v>
      </c>
      <c r="F163" s="52" t="n">
        <v>1</v>
      </c>
      <c r="G163" s="53" t="n">
        <v>67</v>
      </c>
      <c r="H163" s="53" t="n">
        <v>67</v>
      </c>
      <c r="I163" s="52" t="s">
        <v>313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276</v>
      </c>
      <c r="C164" s="52" t="s">
        <v>44</v>
      </c>
      <c r="D164" s="52" t="s">
        <v>169</v>
      </c>
      <c r="E164" s="52" t="s">
        <v>280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304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276</v>
      </c>
      <c r="C165" s="52" t="s">
        <v>305</v>
      </c>
      <c r="D165" s="52" t="s">
        <v>167</v>
      </c>
      <c r="E165" s="52" t="s">
        <v>280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304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276</v>
      </c>
      <c r="C166" s="52" t="s">
        <v>305</v>
      </c>
      <c r="D166" s="52" t="s">
        <v>168</v>
      </c>
      <c r="E166" s="52" t="s">
        <v>280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304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276</v>
      </c>
      <c r="C167" s="52" t="s">
        <v>306</v>
      </c>
      <c r="D167" s="52" t="s">
        <v>200</v>
      </c>
      <c r="E167" s="52" t="s">
        <v>280</v>
      </c>
      <c r="F167" s="52" t="n">
        <v>1</v>
      </c>
      <c r="G167" s="53" t="n">
        <v>12.88</v>
      </c>
      <c r="H167" s="53" t="n">
        <v>12.88</v>
      </c>
      <c r="I167" s="52" t="s">
        <v>313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276</v>
      </c>
      <c r="C168" s="52" t="s">
        <v>306</v>
      </c>
      <c r="D168" s="52" t="s">
        <v>201</v>
      </c>
      <c r="E168" s="52" t="s">
        <v>280</v>
      </c>
      <c r="F168" s="52" t="n">
        <v>1</v>
      </c>
      <c r="G168" s="53" t="n">
        <v>-18.95</v>
      </c>
      <c r="H168" s="53" t="n">
        <v>-18.95</v>
      </c>
      <c r="I168" s="52" t="s">
        <v>313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276</v>
      </c>
      <c r="C169" s="52" t="s">
        <v>306</v>
      </c>
      <c r="D169" s="52" t="s">
        <v>202</v>
      </c>
      <c r="E169" s="52" t="s">
        <v>280</v>
      </c>
      <c r="F169" s="52" t="n">
        <v>1</v>
      </c>
      <c r="G169" s="53" t="n">
        <v>20.07</v>
      </c>
      <c r="H169" s="53" t="n">
        <v>20.07</v>
      </c>
      <c r="I169" s="52" t="s">
        <v>313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276</v>
      </c>
      <c r="C170" s="52" t="s">
        <v>307</v>
      </c>
      <c r="D170" s="52" t="s">
        <v>198</v>
      </c>
      <c r="E170" s="52" t="s">
        <v>280</v>
      </c>
      <c r="F170" s="52" t="n">
        <v>7</v>
      </c>
      <c r="G170" s="53" t="n">
        <v>30</v>
      </c>
      <c r="H170" s="53" t="n">
        <f aca="false">F170*G170</f>
        <v>210</v>
      </c>
      <c r="I170" s="52" t="s">
        <v>304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276</v>
      </c>
      <c r="C171" s="52" t="s">
        <v>329</v>
      </c>
      <c r="D171" s="52" t="s">
        <v>330</v>
      </c>
      <c r="E171" s="52" t="s">
        <v>280</v>
      </c>
      <c r="F171" s="52" t="n">
        <v>1</v>
      </c>
      <c r="G171" s="53" t="n">
        <v>50</v>
      </c>
      <c r="H171" s="53" t="n">
        <f aca="false">F171*G171</f>
        <v>50</v>
      </c>
      <c r="I171" s="52" t="s">
        <v>331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276</v>
      </c>
      <c r="C172" s="52" t="s">
        <v>308</v>
      </c>
      <c r="D172" s="52" t="s">
        <v>203</v>
      </c>
      <c r="E172" s="52" t="s">
        <v>280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314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276</v>
      </c>
      <c r="C173" s="52" t="s">
        <v>300</v>
      </c>
      <c r="D173" s="52" t="s">
        <v>197</v>
      </c>
      <c r="E173" s="52" t="s">
        <v>281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335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276</v>
      </c>
      <c r="C174" s="52" t="s">
        <v>300</v>
      </c>
      <c r="D174" s="52" t="s">
        <v>302</v>
      </c>
      <c r="E174" s="52" t="s">
        <v>281</v>
      </c>
      <c r="F174" s="52" t="n">
        <v>1</v>
      </c>
      <c r="G174" s="53" t="n">
        <v>768.43</v>
      </c>
      <c r="H174" s="53" t="n">
        <v>768.43</v>
      </c>
      <c r="I174" s="52" t="s">
        <v>316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276</v>
      </c>
      <c r="C175" s="52" t="s">
        <v>300</v>
      </c>
      <c r="D175" s="52" t="s">
        <v>170</v>
      </c>
      <c r="E175" s="52" t="s">
        <v>281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304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276</v>
      </c>
      <c r="C176" s="52" t="s">
        <v>300</v>
      </c>
      <c r="D176" s="52" t="s">
        <v>171</v>
      </c>
      <c r="E176" s="52" t="s">
        <v>281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304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276</v>
      </c>
      <c r="C177" s="52" t="s">
        <v>44</v>
      </c>
      <c r="D177" s="52" t="s">
        <v>199</v>
      </c>
      <c r="E177" s="52" t="s">
        <v>281</v>
      </c>
      <c r="F177" s="52" t="n">
        <v>1</v>
      </c>
      <c r="G177" s="53" t="n">
        <v>105.29</v>
      </c>
      <c r="H177" s="53" t="n">
        <v>105.29</v>
      </c>
      <c r="I177" s="52" t="s">
        <v>316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276</v>
      </c>
      <c r="C178" s="52" t="s">
        <v>44</v>
      </c>
      <c r="D178" s="52" t="s">
        <v>169</v>
      </c>
      <c r="E178" s="52" t="s">
        <v>281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304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276</v>
      </c>
      <c r="C179" s="52" t="s">
        <v>305</v>
      </c>
      <c r="D179" s="52" t="s">
        <v>167</v>
      </c>
      <c r="E179" s="52" t="s">
        <v>281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304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276</v>
      </c>
      <c r="C180" s="52" t="s">
        <v>305</v>
      </c>
      <c r="D180" s="52" t="s">
        <v>168</v>
      </c>
      <c r="E180" s="52" t="s">
        <v>281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304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276</v>
      </c>
      <c r="C181" s="52" t="s">
        <v>306</v>
      </c>
      <c r="D181" s="52" t="s">
        <v>200</v>
      </c>
      <c r="E181" s="52" t="s">
        <v>281</v>
      </c>
      <c r="F181" s="52" t="n">
        <v>1</v>
      </c>
      <c r="G181" s="53" t="n">
        <v>20.25</v>
      </c>
      <c r="H181" s="53" t="n">
        <v>20.25</v>
      </c>
      <c r="I181" s="52" t="s">
        <v>316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276</v>
      </c>
      <c r="C182" s="52" t="s">
        <v>306</v>
      </c>
      <c r="D182" s="52" t="s">
        <v>201</v>
      </c>
      <c r="E182" s="52" t="s">
        <v>281</v>
      </c>
      <c r="F182" s="52" t="n">
        <v>1</v>
      </c>
      <c r="G182" s="53" t="n">
        <v>-29.77</v>
      </c>
      <c r="H182" s="53" t="n">
        <v>-29.77</v>
      </c>
      <c r="I182" s="52" t="s">
        <v>316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276</v>
      </c>
      <c r="C183" s="52" t="s">
        <v>306</v>
      </c>
      <c r="D183" s="52" t="s">
        <v>202</v>
      </c>
      <c r="E183" s="52" t="s">
        <v>281</v>
      </c>
      <c r="F183" s="52" t="n">
        <v>1</v>
      </c>
      <c r="G183" s="53" t="n">
        <v>31.55</v>
      </c>
      <c r="H183" s="53" t="n">
        <v>31.55</v>
      </c>
      <c r="I183" s="52" t="s">
        <v>316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276</v>
      </c>
      <c r="C184" s="52" t="s">
        <v>307</v>
      </c>
      <c r="D184" s="52" t="s">
        <v>198</v>
      </c>
      <c r="E184" s="52" t="s">
        <v>281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304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276</v>
      </c>
      <c r="C185" s="52" t="s">
        <v>329</v>
      </c>
      <c r="D185" s="52" t="s">
        <v>330</v>
      </c>
      <c r="E185" s="52" t="s">
        <v>281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331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276</v>
      </c>
      <c r="C186" s="52" t="s">
        <v>308</v>
      </c>
      <c r="D186" s="52" t="s">
        <v>203</v>
      </c>
      <c r="E186" s="52" t="s">
        <v>281</v>
      </c>
      <c r="F186" s="52" t="n">
        <v>1</v>
      </c>
      <c r="G186" s="53" t="n">
        <v>0</v>
      </c>
      <c r="H186" s="53" t="n">
        <f aca="false">F186*G186</f>
        <v>0</v>
      </c>
      <c r="I186" s="52" t="s">
        <v>336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283</v>
      </c>
      <c r="C187" s="52" t="s">
        <v>300</v>
      </c>
      <c r="D187" s="52" t="s">
        <v>197</v>
      </c>
      <c r="E187" s="52" t="s">
        <v>281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318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283</v>
      </c>
      <c r="C188" s="52" t="s">
        <v>300</v>
      </c>
      <c r="D188" s="52" t="s">
        <v>333</v>
      </c>
      <c r="E188" s="52" t="s">
        <v>281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334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283</v>
      </c>
      <c r="C189" s="52" t="s">
        <v>300</v>
      </c>
      <c r="D189" s="52" t="s">
        <v>170</v>
      </c>
      <c r="E189" s="52" t="s">
        <v>281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304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283</v>
      </c>
      <c r="C190" s="52" t="s">
        <v>300</v>
      </c>
      <c r="D190" s="52" t="s">
        <v>171</v>
      </c>
      <c r="E190" s="52" t="s">
        <v>281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304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283</v>
      </c>
      <c r="C191" s="52" t="s">
        <v>44</v>
      </c>
      <c r="D191" s="52" t="s">
        <v>169</v>
      </c>
      <c r="E191" s="52" t="s">
        <v>281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304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283</v>
      </c>
      <c r="C192" s="52" t="s">
        <v>305</v>
      </c>
      <c r="D192" s="52" t="s">
        <v>167</v>
      </c>
      <c r="E192" s="52" t="s">
        <v>281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304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283</v>
      </c>
      <c r="C193" s="52" t="s">
        <v>305</v>
      </c>
      <c r="D193" s="52" t="s">
        <v>168</v>
      </c>
      <c r="E193" s="52" t="s">
        <v>281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304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283</v>
      </c>
      <c r="C194" s="52" t="s">
        <v>306</v>
      </c>
      <c r="D194" s="52" t="s">
        <v>337</v>
      </c>
      <c r="E194" s="52" t="s">
        <v>281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338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283</v>
      </c>
      <c r="C195" s="52" t="s">
        <v>307</v>
      </c>
      <c r="D195" s="52" t="s">
        <v>198</v>
      </c>
      <c r="E195" s="52" t="s">
        <v>281</v>
      </c>
      <c r="F195" s="52" t="n">
        <v>2</v>
      </c>
      <c r="G195" s="53" t="n">
        <v>30</v>
      </c>
      <c r="H195" s="53" t="n">
        <f aca="false">F195*G195</f>
        <v>60</v>
      </c>
      <c r="I195" s="52" t="s">
        <v>304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283</v>
      </c>
      <c r="C196" s="52" t="s">
        <v>329</v>
      </c>
      <c r="D196" s="52" t="s">
        <v>339</v>
      </c>
      <c r="E196" s="52" t="s">
        <v>281</v>
      </c>
      <c r="F196" s="52" t="n">
        <v>1</v>
      </c>
      <c r="G196" s="53" t="n">
        <v>50</v>
      </c>
      <c r="H196" s="53" t="n">
        <f aca="false">F196*G196</f>
        <v>50</v>
      </c>
      <c r="I196" s="52" t="s">
        <v>331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283</v>
      </c>
      <c r="C197" s="52" t="s">
        <v>308</v>
      </c>
      <c r="D197" s="52" t="s">
        <v>203</v>
      </c>
      <c r="E197" s="52" t="s">
        <v>281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314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276</v>
      </c>
      <c r="C198" s="52" t="s">
        <v>300</v>
      </c>
      <c r="D198" s="52" t="s">
        <v>197</v>
      </c>
      <c r="E198" s="52" t="s">
        <v>284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340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276</v>
      </c>
      <c r="C199" s="52" t="s">
        <v>300</v>
      </c>
      <c r="D199" s="52" t="s">
        <v>333</v>
      </c>
      <c r="E199" s="52" t="s">
        <v>284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334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276</v>
      </c>
      <c r="C200" s="52" t="s">
        <v>300</v>
      </c>
      <c r="D200" s="52" t="s">
        <v>302</v>
      </c>
      <c r="E200" s="52" t="s">
        <v>284</v>
      </c>
      <c r="F200" s="52" t="n">
        <v>1</v>
      </c>
      <c r="G200" s="53" t="n">
        <v>1257.43</v>
      </c>
      <c r="H200" s="53" t="n">
        <v>1257.43</v>
      </c>
      <c r="I200" s="52" t="s">
        <v>320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276</v>
      </c>
      <c r="C201" s="52" t="s">
        <v>300</v>
      </c>
      <c r="D201" s="52" t="s">
        <v>170</v>
      </c>
      <c r="E201" s="52" t="s">
        <v>284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304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276</v>
      </c>
      <c r="C202" s="52" t="s">
        <v>300</v>
      </c>
      <c r="D202" s="52" t="s">
        <v>171</v>
      </c>
      <c r="E202" s="52" t="s">
        <v>284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304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276</v>
      </c>
      <c r="C203" s="52" t="s">
        <v>44</v>
      </c>
      <c r="D203" s="52" t="s">
        <v>199</v>
      </c>
      <c r="E203" s="52" t="s">
        <v>284</v>
      </c>
      <c r="F203" s="52" t="n">
        <v>1</v>
      </c>
      <c r="G203" s="53" t="n">
        <v>172.29</v>
      </c>
      <c r="H203" s="53" t="n">
        <v>172.29</v>
      </c>
      <c r="I203" s="52" t="s">
        <v>320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276</v>
      </c>
      <c r="C204" s="52" t="s">
        <v>44</v>
      </c>
      <c r="D204" s="52" t="s">
        <v>169</v>
      </c>
      <c r="E204" s="52" t="s">
        <v>284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304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276</v>
      </c>
      <c r="C205" s="52" t="s">
        <v>305</v>
      </c>
      <c r="D205" s="52" t="s">
        <v>167</v>
      </c>
      <c r="E205" s="52" t="s">
        <v>284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304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276</v>
      </c>
      <c r="C206" s="52" t="s">
        <v>305</v>
      </c>
      <c r="D206" s="52" t="s">
        <v>168</v>
      </c>
      <c r="E206" s="52" t="s">
        <v>284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304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276</v>
      </c>
      <c r="C207" s="52" t="s">
        <v>306</v>
      </c>
      <c r="D207" s="52" t="s">
        <v>200</v>
      </c>
      <c r="E207" s="52" t="s">
        <v>284</v>
      </c>
      <c r="F207" s="52" t="n">
        <v>1</v>
      </c>
      <c r="G207" s="53" t="n">
        <v>33.13</v>
      </c>
      <c r="H207" s="53" t="n">
        <v>33.13</v>
      </c>
      <c r="I207" s="52" t="s">
        <v>320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276</v>
      </c>
      <c r="C208" s="52" t="s">
        <v>306</v>
      </c>
      <c r="D208" s="52" t="s">
        <v>201</v>
      </c>
      <c r="E208" s="52" t="s">
        <v>284</v>
      </c>
      <c r="F208" s="52" t="n">
        <v>1</v>
      </c>
      <c r="G208" s="53" t="n">
        <v>-48.72</v>
      </c>
      <c r="H208" s="53" t="n">
        <v>-48.72</v>
      </c>
      <c r="I208" s="52" t="s">
        <v>320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276</v>
      </c>
      <c r="C209" s="52" t="s">
        <v>306</v>
      </c>
      <c r="D209" s="52" t="s">
        <v>202</v>
      </c>
      <c r="E209" s="52" t="s">
        <v>284</v>
      </c>
      <c r="F209" s="52" t="n">
        <v>1</v>
      </c>
      <c r="G209" s="53" t="n">
        <v>51.62</v>
      </c>
      <c r="H209" s="53" t="n">
        <v>51.62</v>
      </c>
      <c r="I209" s="52" t="s">
        <v>320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276</v>
      </c>
      <c r="C210" s="52" t="s">
        <v>307</v>
      </c>
      <c r="D210" s="52" t="s">
        <v>198</v>
      </c>
      <c r="E210" s="52" t="s">
        <v>284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304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276</v>
      </c>
      <c r="C211" s="52" t="s">
        <v>329</v>
      </c>
      <c r="D211" s="52" t="s">
        <v>330</v>
      </c>
      <c r="E211" s="52" t="s">
        <v>284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331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276</v>
      </c>
      <c r="C212" s="52" t="s">
        <v>308</v>
      </c>
      <c r="D212" s="52" t="s">
        <v>203</v>
      </c>
      <c r="E212" s="52" t="s">
        <v>284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341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285</v>
      </c>
      <c r="C213" s="52" t="s">
        <v>300</v>
      </c>
      <c r="D213" s="52" t="s">
        <v>197</v>
      </c>
      <c r="E213" s="52" t="s">
        <v>284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318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285</v>
      </c>
      <c r="C214" s="52" t="s">
        <v>300</v>
      </c>
      <c r="D214" s="52" t="s">
        <v>333</v>
      </c>
      <c r="E214" s="52" t="s">
        <v>284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334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285</v>
      </c>
      <c r="C215" s="52" t="s">
        <v>300</v>
      </c>
      <c r="D215" s="52" t="s">
        <v>170</v>
      </c>
      <c r="E215" s="52" t="s">
        <v>284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304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285</v>
      </c>
      <c r="C216" s="52" t="s">
        <v>300</v>
      </c>
      <c r="D216" s="52" t="s">
        <v>171</v>
      </c>
      <c r="E216" s="52" t="s">
        <v>284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304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285</v>
      </c>
      <c r="C217" s="52" t="s">
        <v>44</v>
      </c>
      <c r="D217" s="52" t="s">
        <v>169</v>
      </c>
      <c r="E217" s="52" t="s">
        <v>284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304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285</v>
      </c>
      <c r="C218" s="52" t="s">
        <v>305</v>
      </c>
      <c r="D218" s="52" t="s">
        <v>167</v>
      </c>
      <c r="E218" s="52" t="s">
        <v>284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304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285</v>
      </c>
      <c r="C219" s="52" t="s">
        <v>305</v>
      </c>
      <c r="D219" s="52" t="s">
        <v>168</v>
      </c>
      <c r="E219" s="52" t="s">
        <v>284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304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285</v>
      </c>
      <c r="C220" s="52" t="s">
        <v>307</v>
      </c>
      <c r="D220" s="52" t="s">
        <v>198</v>
      </c>
      <c r="E220" s="52" t="s">
        <v>284</v>
      </c>
      <c r="F220" s="52" t="n">
        <v>2</v>
      </c>
      <c r="G220" s="53" t="n">
        <v>30</v>
      </c>
      <c r="H220" s="53" t="n">
        <f aca="false">F220*G220</f>
        <v>60</v>
      </c>
      <c r="I220" s="52" t="s">
        <v>304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285</v>
      </c>
      <c r="C221" s="52" t="s">
        <v>308</v>
      </c>
      <c r="D221" s="52" t="s">
        <v>203</v>
      </c>
      <c r="E221" s="52" t="s">
        <v>284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314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286</v>
      </c>
      <c r="C222" s="52" t="s">
        <v>300</v>
      </c>
      <c r="D222" s="52" t="s">
        <v>197</v>
      </c>
      <c r="E222" s="52" t="s">
        <v>284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322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286</v>
      </c>
      <c r="C223" s="52" t="s">
        <v>300</v>
      </c>
      <c r="D223" s="52" t="s">
        <v>170</v>
      </c>
      <c r="E223" s="52" t="s">
        <v>284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304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286</v>
      </c>
      <c r="C224" s="52" t="s">
        <v>300</v>
      </c>
      <c r="D224" s="52" t="s">
        <v>171</v>
      </c>
      <c r="E224" s="52" t="s">
        <v>284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304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286</v>
      </c>
      <c r="C225" s="52" t="s">
        <v>44</v>
      </c>
      <c r="D225" s="52" t="s">
        <v>169</v>
      </c>
      <c r="E225" s="52" t="s">
        <v>284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304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286</v>
      </c>
      <c r="C226" s="52" t="s">
        <v>305</v>
      </c>
      <c r="D226" s="52" t="s">
        <v>167</v>
      </c>
      <c r="E226" s="52" t="s">
        <v>284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304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286</v>
      </c>
      <c r="C227" s="52" t="s">
        <v>305</v>
      </c>
      <c r="D227" s="52" t="s">
        <v>168</v>
      </c>
      <c r="E227" s="52" t="s">
        <v>284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304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286</v>
      </c>
      <c r="C228" s="52" t="s">
        <v>307</v>
      </c>
      <c r="D228" s="52" t="s">
        <v>198</v>
      </c>
      <c r="E228" s="52" t="s">
        <v>284</v>
      </c>
      <c r="F228" s="52" t="n">
        <v>5</v>
      </c>
      <c r="G228" s="53" t="n">
        <v>30</v>
      </c>
      <c r="H228" s="53" t="n">
        <f aca="false">F228*G228</f>
        <v>150</v>
      </c>
      <c r="I228" s="52" t="s">
        <v>304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286</v>
      </c>
      <c r="C229" s="52" t="s">
        <v>308</v>
      </c>
      <c r="D229" s="52" t="s">
        <v>203</v>
      </c>
      <c r="E229" s="52" t="s">
        <v>284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314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288</v>
      </c>
      <c r="C230" s="52" t="s">
        <v>300</v>
      </c>
      <c r="D230" s="52" t="s">
        <v>197</v>
      </c>
      <c r="E230" s="52" t="s">
        <v>287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324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288</v>
      </c>
      <c r="C231" s="52" t="s">
        <v>300</v>
      </c>
      <c r="D231" s="52" t="s">
        <v>170</v>
      </c>
      <c r="E231" s="52" t="s">
        <v>287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304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288</v>
      </c>
      <c r="C232" s="52" t="s">
        <v>300</v>
      </c>
      <c r="D232" s="52" t="s">
        <v>171</v>
      </c>
      <c r="E232" s="52" t="s">
        <v>287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304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288</v>
      </c>
      <c r="C233" s="52" t="s">
        <v>44</v>
      </c>
      <c r="D233" s="52" t="s">
        <v>169</v>
      </c>
      <c r="E233" s="52" t="s">
        <v>287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304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288</v>
      </c>
      <c r="C234" s="52" t="s">
        <v>305</v>
      </c>
      <c r="D234" s="52" t="s">
        <v>167</v>
      </c>
      <c r="E234" s="52" t="s">
        <v>287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304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288</v>
      </c>
      <c r="C235" s="52" t="s">
        <v>305</v>
      </c>
      <c r="D235" s="52" t="s">
        <v>168</v>
      </c>
      <c r="E235" s="52" t="s">
        <v>287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304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288</v>
      </c>
      <c r="C236" s="52" t="s">
        <v>306</v>
      </c>
      <c r="D236" s="52" t="s">
        <v>200</v>
      </c>
      <c r="E236" s="52" t="s">
        <v>287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325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288</v>
      </c>
      <c r="C237" s="52" t="s">
        <v>306</v>
      </c>
      <c r="D237" s="52" t="s">
        <v>202</v>
      </c>
      <c r="E237" s="52" t="s">
        <v>287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325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288</v>
      </c>
      <c r="C238" s="52" t="s">
        <v>307</v>
      </c>
      <c r="D238" s="52" t="s">
        <v>198</v>
      </c>
      <c r="E238" s="52" t="s">
        <v>287</v>
      </c>
      <c r="F238" s="52" t="n">
        <v>8</v>
      </c>
      <c r="G238" s="53" t="n">
        <v>30</v>
      </c>
      <c r="H238" s="53" t="n">
        <f aca="false">F238*G238</f>
        <v>240</v>
      </c>
      <c r="I238" s="52" t="s">
        <v>304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291</v>
      </c>
      <c r="C239" s="52" t="s">
        <v>300</v>
      </c>
      <c r="D239" s="52" t="s">
        <v>197</v>
      </c>
      <c r="E239" s="52" t="s">
        <v>287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326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291</v>
      </c>
      <c r="C240" s="52" t="s">
        <v>300</v>
      </c>
      <c r="D240" s="52" t="s">
        <v>333</v>
      </c>
      <c r="E240" s="52" t="s">
        <v>287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334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291</v>
      </c>
      <c r="C241" s="52" t="s">
        <v>300</v>
      </c>
      <c r="D241" s="52" t="s">
        <v>302</v>
      </c>
      <c r="E241" s="52" t="s">
        <v>287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316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291</v>
      </c>
      <c r="C242" s="52" t="s">
        <v>300</v>
      </c>
      <c r="D242" s="52" t="s">
        <v>170</v>
      </c>
      <c r="E242" s="52" t="s">
        <v>287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304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291</v>
      </c>
      <c r="C243" s="52" t="s">
        <v>300</v>
      </c>
      <c r="D243" s="52" t="s">
        <v>171</v>
      </c>
      <c r="E243" s="52" t="s">
        <v>287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304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291</v>
      </c>
      <c r="C244" s="52" t="s">
        <v>44</v>
      </c>
      <c r="D244" s="52" t="s">
        <v>169</v>
      </c>
      <c r="E244" s="52" t="s">
        <v>287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304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291</v>
      </c>
      <c r="C245" s="52" t="s">
        <v>305</v>
      </c>
      <c r="D245" s="52" t="s">
        <v>167</v>
      </c>
      <c r="E245" s="52" t="s">
        <v>287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304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291</v>
      </c>
      <c r="C246" s="52" t="s">
        <v>305</v>
      </c>
      <c r="D246" s="52" t="s">
        <v>168</v>
      </c>
      <c r="E246" s="52" t="s">
        <v>287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304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291</v>
      </c>
      <c r="C247" s="52" t="s">
        <v>306</v>
      </c>
      <c r="D247" s="52" t="s">
        <v>337</v>
      </c>
      <c r="E247" s="52" t="s">
        <v>287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316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291</v>
      </c>
      <c r="C248" s="52" t="s">
        <v>307</v>
      </c>
      <c r="D248" s="52" t="s">
        <v>198</v>
      </c>
      <c r="E248" s="52" t="s">
        <v>287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304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291</v>
      </c>
      <c r="C249" s="52" t="s">
        <v>329</v>
      </c>
      <c r="D249" s="52" t="s">
        <v>342</v>
      </c>
      <c r="E249" s="52" t="s">
        <v>287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331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291</v>
      </c>
      <c r="C250" s="52" t="s">
        <v>308</v>
      </c>
      <c r="D250" s="52" t="s">
        <v>203</v>
      </c>
      <c r="E250" s="52" t="s">
        <v>287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314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294</v>
      </c>
      <c r="C251" s="52" t="s">
        <v>300</v>
      </c>
      <c r="D251" s="52" t="s">
        <v>197</v>
      </c>
      <c r="E251" s="52" t="s">
        <v>293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327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294</v>
      </c>
      <c r="C252" s="52" t="s">
        <v>300</v>
      </c>
      <c r="D252" s="52" t="s">
        <v>170</v>
      </c>
      <c r="E252" s="52" t="s">
        <v>293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304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294</v>
      </c>
      <c r="C253" s="52" t="s">
        <v>300</v>
      </c>
      <c r="D253" s="52" t="s">
        <v>171</v>
      </c>
      <c r="E253" s="52" t="s">
        <v>293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304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294</v>
      </c>
      <c r="C254" s="52" t="s">
        <v>44</v>
      </c>
      <c r="D254" s="52" t="s">
        <v>169</v>
      </c>
      <c r="E254" s="52" t="s">
        <v>293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304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294</v>
      </c>
      <c r="C255" s="52" t="s">
        <v>305</v>
      </c>
      <c r="D255" s="52" t="s">
        <v>167</v>
      </c>
      <c r="E255" s="52" t="s">
        <v>293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304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294</v>
      </c>
      <c r="C256" s="52" t="s">
        <v>305</v>
      </c>
      <c r="D256" s="52" t="s">
        <v>168</v>
      </c>
      <c r="E256" s="52" t="s">
        <v>293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304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294</v>
      </c>
      <c r="C257" s="52" t="s">
        <v>307</v>
      </c>
      <c r="D257" s="52" t="s">
        <v>198</v>
      </c>
      <c r="E257" s="52" t="s">
        <v>293</v>
      </c>
      <c r="F257" s="52" t="n">
        <v>1</v>
      </c>
      <c r="G257" s="53" t="n">
        <v>30</v>
      </c>
      <c r="H257" s="53" t="n">
        <f aca="false">F257*G257</f>
        <v>30</v>
      </c>
      <c r="I257" s="52" t="s">
        <v>304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276</v>
      </c>
      <c r="C258" s="52" t="s">
        <v>300</v>
      </c>
      <c r="D258" s="52" t="s">
        <v>197</v>
      </c>
      <c r="E258" s="52" t="s">
        <v>275</v>
      </c>
      <c r="F258" s="52" t="n">
        <v>1</v>
      </c>
      <c r="G258" s="53" t="n">
        <v>81072.3365155553</v>
      </c>
      <c r="H258" s="53" t="n">
        <v>81072.3365155553</v>
      </c>
      <c r="I258" s="52" t="s">
        <v>343</v>
      </c>
    </row>
    <row r="259" customFormat="false" ht="14.25" hidden="false" customHeight="true" outlineLevel="0" collapsed="false">
      <c r="A259" s="52" t="s">
        <v>21</v>
      </c>
      <c r="B259" s="52" t="s">
        <v>276</v>
      </c>
      <c r="C259" s="52" t="s">
        <v>300</v>
      </c>
      <c r="D259" s="52" t="s">
        <v>302</v>
      </c>
      <c r="E259" s="52" t="s">
        <v>275</v>
      </c>
      <c r="F259" s="52" t="n">
        <v>1</v>
      </c>
      <c r="G259" s="53" t="n">
        <v>3360.29</v>
      </c>
      <c r="H259" s="53" t="n">
        <v>3360.29</v>
      </c>
      <c r="I259" s="52" t="s">
        <v>344</v>
      </c>
    </row>
    <row r="260" customFormat="false" ht="14.25" hidden="false" customHeight="true" outlineLevel="0" collapsed="false">
      <c r="A260" s="52" t="s">
        <v>21</v>
      </c>
      <c r="B260" s="52" t="s">
        <v>276</v>
      </c>
      <c r="C260" s="52" t="s">
        <v>300</v>
      </c>
      <c r="D260" s="52" t="s">
        <v>170</v>
      </c>
      <c r="E260" s="52" t="s">
        <v>275</v>
      </c>
      <c r="F260" s="52" t="n">
        <v>47</v>
      </c>
      <c r="G260" s="53" t="n">
        <v>26</v>
      </c>
      <c r="H260" s="53" t="n">
        <v>1222</v>
      </c>
      <c r="I260" s="52" t="s">
        <v>345</v>
      </c>
    </row>
    <row r="261" customFormat="false" ht="14.25" hidden="false" customHeight="true" outlineLevel="0" collapsed="false">
      <c r="A261" s="52" t="s">
        <v>21</v>
      </c>
      <c r="B261" s="52" t="s">
        <v>276</v>
      </c>
      <c r="C261" s="52" t="s">
        <v>300</v>
      </c>
      <c r="D261" s="52" t="s">
        <v>171</v>
      </c>
      <c r="E261" s="52" t="s">
        <v>275</v>
      </c>
      <c r="F261" s="52" t="n">
        <v>47</v>
      </c>
      <c r="G261" s="53" t="n">
        <v>42.77</v>
      </c>
      <c r="H261" s="53" t="n">
        <v>2010.19</v>
      </c>
      <c r="I261" s="52" t="s">
        <v>345</v>
      </c>
    </row>
    <row r="262" customFormat="false" ht="14.25" hidden="false" customHeight="true" outlineLevel="0" collapsed="false">
      <c r="A262" s="52" t="s">
        <v>21</v>
      </c>
      <c r="B262" s="52" t="s">
        <v>276</v>
      </c>
      <c r="C262" s="52" t="s">
        <v>44</v>
      </c>
      <c r="D262" s="52" t="s">
        <v>169</v>
      </c>
      <c r="E262" s="52" t="s">
        <v>275</v>
      </c>
      <c r="F262" s="52" t="n">
        <v>47</v>
      </c>
      <c r="G262" s="53" t="n">
        <v>63.75</v>
      </c>
      <c r="H262" s="53" t="n">
        <v>2996.25</v>
      </c>
      <c r="I262" s="52" t="s">
        <v>345</v>
      </c>
    </row>
    <row r="263" customFormat="false" ht="14.25" hidden="false" customHeight="true" outlineLevel="0" collapsed="false">
      <c r="A263" s="52" t="s">
        <v>21</v>
      </c>
      <c r="B263" s="52" t="s">
        <v>276</v>
      </c>
      <c r="C263" s="52" t="s">
        <v>44</v>
      </c>
      <c r="D263" s="52" t="s">
        <v>199</v>
      </c>
      <c r="E263" s="52" t="s">
        <v>275</v>
      </c>
      <c r="F263" s="52" t="n">
        <v>1</v>
      </c>
      <c r="G263" s="53" t="n">
        <v>451.39</v>
      </c>
      <c r="H263" s="53" t="n">
        <v>451.39</v>
      </c>
      <c r="I263" s="52" t="s">
        <v>344</v>
      </c>
    </row>
    <row r="264" customFormat="false" ht="14.25" hidden="false" customHeight="true" outlineLevel="0" collapsed="false">
      <c r="A264" s="52" t="s">
        <v>21</v>
      </c>
      <c r="B264" s="52" t="s">
        <v>276</v>
      </c>
      <c r="C264" s="52" t="s">
        <v>306</v>
      </c>
      <c r="D264" s="52" t="s">
        <v>200</v>
      </c>
      <c r="E264" s="52" t="s">
        <v>275</v>
      </c>
      <c r="F264" s="52" t="n">
        <v>1</v>
      </c>
      <c r="G264" s="53" t="n">
        <v>865.91</v>
      </c>
      <c r="H264" s="53" t="n">
        <v>865.91</v>
      </c>
      <c r="I264" s="52" t="s">
        <v>344</v>
      </c>
    </row>
    <row r="265" customFormat="false" ht="14.25" hidden="false" customHeight="true" outlineLevel="0" collapsed="false">
      <c r="A265" s="52" t="s">
        <v>21</v>
      </c>
      <c r="B265" s="52" t="s">
        <v>276</v>
      </c>
      <c r="C265" s="52" t="s">
        <v>306</v>
      </c>
      <c r="D265" s="52" t="s">
        <v>202</v>
      </c>
      <c r="E265" s="52" t="s">
        <v>275</v>
      </c>
      <c r="F265" s="52" t="n">
        <v>1</v>
      </c>
      <c r="G265" s="53" t="n">
        <v>251.02</v>
      </c>
      <c r="H265" s="53" t="n">
        <v>251.02</v>
      </c>
      <c r="I265" s="52" t="s">
        <v>344</v>
      </c>
    </row>
    <row r="266" customFormat="false" ht="14.25" hidden="false" customHeight="true" outlineLevel="0" collapsed="false">
      <c r="A266" s="52" t="s">
        <v>21</v>
      </c>
      <c r="B266" s="52" t="s">
        <v>276</v>
      </c>
      <c r="C266" s="52" t="s">
        <v>307</v>
      </c>
      <c r="D266" s="52" t="s">
        <v>198</v>
      </c>
      <c r="E266" s="52" t="s">
        <v>275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345</v>
      </c>
    </row>
    <row r="267" customFormat="false" ht="15" hidden="false" customHeight="true" outlineLevel="0" collapsed="false">
      <c r="A267" s="52" t="s">
        <v>21</v>
      </c>
      <c r="B267" s="52" t="s">
        <v>276</v>
      </c>
      <c r="C267" s="52" t="s">
        <v>305</v>
      </c>
      <c r="D267" s="52" t="s">
        <v>167</v>
      </c>
      <c r="E267" s="52" t="s">
        <v>275</v>
      </c>
      <c r="F267" s="52" t="n">
        <v>47</v>
      </c>
      <c r="G267" s="53" t="n">
        <v>9.85</v>
      </c>
      <c r="H267" s="53" t="n">
        <v>462.95</v>
      </c>
      <c r="I267" s="52" t="s">
        <v>345</v>
      </c>
    </row>
    <row r="268" customFormat="false" ht="14.25" hidden="false" customHeight="true" outlineLevel="0" collapsed="false">
      <c r="A268" s="52" t="s">
        <v>21</v>
      </c>
      <c r="B268" s="52" t="s">
        <v>276</v>
      </c>
      <c r="C268" s="52" t="s">
        <v>305</v>
      </c>
      <c r="D268" s="52" t="s">
        <v>168</v>
      </c>
      <c r="E268" s="52" t="s">
        <v>275</v>
      </c>
      <c r="F268" s="52" t="n">
        <v>47</v>
      </c>
      <c r="G268" s="53" t="n">
        <v>2.04</v>
      </c>
      <c r="H268" s="53" t="n">
        <v>95.88</v>
      </c>
      <c r="I268" s="52" t="s">
        <v>345</v>
      </c>
    </row>
    <row r="269" customFormat="false" ht="14.25" hidden="false" customHeight="true" outlineLevel="0" collapsed="false">
      <c r="A269" s="52" t="s">
        <v>21</v>
      </c>
      <c r="B269" s="52" t="s">
        <v>276</v>
      </c>
      <c r="C269" s="52" t="s">
        <v>308</v>
      </c>
      <c r="D269" s="52" t="s">
        <v>203</v>
      </c>
      <c r="E269" s="52" t="s">
        <v>275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346</v>
      </c>
    </row>
    <row r="270" customFormat="false" ht="14.25" hidden="false" customHeight="true" outlineLevel="0" collapsed="false">
      <c r="A270" s="52" t="s">
        <v>21</v>
      </c>
      <c r="B270" s="52" t="s">
        <v>276</v>
      </c>
      <c r="C270" s="52" t="s">
        <v>300</v>
      </c>
      <c r="D270" s="52" t="s">
        <v>333</v>
      </c>
      <c r="E270" s="52" t="s">
        <v>275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347</v>
      </c>
    </row>
    <row r="271" customFormat="false" ht="14.25" hidden="false" customHeight="true" outlineLevel="0" collapsed="false">
      <c r="A271" s="52" t="s">
        <v>21</v>
      </c>
      <c r="B271" s="52" t="s">
        <v>276</v>
      </c>
      <c r="C271" s="52" t="s">
        <v>300</v>
      </c>
      <c r="D271" s="52" t="s">
        <v>197</v>
      </c>
      <c r="E271" s="52" t="s">
        <v>278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348</v>
      </c>
    </row>
    <row r="272" customFormat="false" ht="14.25" hidden="false" customHeight="true" outlineLevel="0" collapsed="false">
      <c r="A272" s="52" t="s">
        <v>21</v>
      </c>
      <c r="B272" s="52" t="s">
        <v>276</v>
      </c>
      <c r="C272" s="52" t="s">
        <v>300</v>
      </c>
      <c r="D272" s="52" t="s">
        <v>302</v>
      </c>
      <c r="E272" s="52" t="s">
        <v>278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349</v>
      </c>
    </row>
    <row r="273" customFormat="false" ht="14.25" hidden="false" customHeight="true" outlineLevel="0" collapsed="false">
      <c r="A273" s="52" t="s">
        <v>21</v>
      </c>
      <c r="B273" s="52" t="s">
        <v>276</v>
      </c>
      <c r="C273" s="52" t="s">
        <v>300</v>
      </c>
      <c r="D273" s="52" t="s">
        <v>170</v>
      </c>
      <c r="E273" s="52" t="s">
        <v>278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345</v>
      </c>
    </row>
    <row r="274" customFormat="false" ht="14.25" hidden="false" customHeight="true" outlineLevel="0" collapsed="false">
      <c r="A274" s="52" t="s">
        <v>21</v>
      </c>
      <c r="B274" s="52" t="s">
        <v>276</v>
      </c>
      <c r="C274" s="52" t="s">
        <v>300</v>
      </c>
      <c r="D274" s="52" t="s">
        <v>171</v>
      </c>
      <c r="E274" s="52" t="s">
        <v>278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345</v>
      </c>
    </row>
    <row r="275" customFormat="false" ht="14.25" hidden="false" customHeight="true" outlineLevel="0" collapsed="false">
      <c r="A275" s="52" t="s">
        <v>21</v>
      </c>
      <c r="B275" s="52" t="s">
        <v>276</v>
      </c>
      <c r="C275" s="52" t="s">
        <v>44</v>
      </c>
      <c r="D275" s="52" t="s">
        <v>169</v>
      </c>
      <c r="E275" s="52" t="s">
        <v>278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345</v>
      </c>
    </row>
    <row r="276" customFormat="false" ht="14.25" hidden="false" customHeight="true" outlineLevel="0" collapsed="false">
      <c r="A276" s="52" t="s">
        <v>21</v>
      </c>
      <c r="B276" s="52" t="s">
        <v>276</v>
      </c>
      <c r="C276" s="52" t="s">
        <v>44</v>
      </c>
      <c r="D276" s="52" t="s">
        <v>199</v>
      </c>
      <c r="E276" s="52" t="s">
        <v>278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349</v>
      </c>
    </row>
    <row r="277" customFormat="false" ht="14.25" hidden="false" customHeight="true" outlineLevel="0" collapsed="false">
      <c r="A277" s="52" t="s">
        <v>21</v>
      </c>
      <c r="B277" s="52" t="s">
        <v>276</v>
      </c>
      <c r="C277" s="52" t="s">
        <v>306</v>
      </c>
      <c r="D277" s="52" t="s">
        <v>200</v>
      </c>
      <c r="E277" s="52" t="s">
        <v>278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349</v>
      </c>
    </row>
    <row r="278" customFormat="false" ht="15" hidden="false" customHeight="true" outlineLevel="0" collapsed="false">
      <c r="A278" s="52" t="s">
        <v>21</v>
      </c>
      <c r="B278" s="52" t="s">
        <v>276</v>
      </c>
      <c r="C278" s="52" t="s">
        <v>306</v>
      </c>
      <c r="D278" s="52" t="s">
        <v>202</v>
      </c>
      <c r="E278" s="52" t="s">
        <v>278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349</v>
      </c>
    </row>
    <row r="279" customFormat="false" ht="14.25" hidden="false" customHeight="true" outlineLevel="0" collapsed="false">
      <c r="A279" s="52" t="s">
        <v>21</v>
      </c>
      <c r="B279" s="52" t="s">
        <v>276</v>
      </c>
      <c r="C279" s="52" t="s">
        <v>307</v>
      </c>
      <c r="D279" s="52" t="s">
        <v>198</v>
      </c>
      <c r="E279" s="52" t="s">
        <v>278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345</v>
      </c>
    </row>
    <row r="280" customFormat="false" ht="14.25" hidden="false" customHeight="true" outlineLevel="0" collapsed="false">
      <c r="A280" s="52" t="s">
        <v>21</v>
      </c>
      <c r="B280" s="52" t="s">
        <v>276</v>
      </c>
      <c r="C280" s="52" t="s">
        <v>305</v>
      </c>
      <c r="D280" s="52" t="s">
        <v>167</v>
      </c>
      <c r="E280" s="52" t="s">
        <v>278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345</v>
      </c>
    </row>
    <row r="281" customFormat="false" ht="14.25" hidden="false" customHeight="true" outlineLevel="0" collapsed="false">
      <c r="A281" s="52" t="s">
        <v>21</v>
      </c>
      <c r="B281" s="52" t="s">
        <v>276</v>
      </c>
      <c r="C281" s="52" t="s">
        <v>305</v>
      </c>
      <c r="D281" s="52" t="s">
        <v>168</v>
      </c>
      <c r="E281" s="52" t="s">
        <v>278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345</v>
      </c>
    </row>
    <row r="282" customFormat="false" ht="14.25" hidden="false" customHeight="true" outlineLevel="0" collapsed="false">
      <c r="A282" s="52" t="s">
        <v>21</v>
      </c>
      <c r="B282" s="52" t="s">
        <v>276</v>
      </c>
      <c r="C282" s="52" t="s">
        <v>300</v>
      </c>
      <c r="D282" s="52" t="s">
        <v>197</v>
      </c>
      <c r="E282" s="52" t="s">
        <v>280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350</v>
      </c>
    </row>
    <row r="283" customFormat="false" ht="14.25" hidden="false" customHeight="true" outlineLevel="0" collapsed="false">
      <c r="A283" s="52" t="s">
        <v>21</v>
      </c>
      <c r="B283" s="52" t="s">
        <v>276</v>
      </c>
      <c r="C283" s="52" t="s">
        <v>300</v>
      </c>
      <c r="D283" s="52" t="s">
        <v>302</v>
      </c>
      <c r="E283" s="52" t="s">
        <v>280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351</v>
      </c>
    </row>
    <row r="284" customFormat="false" ht="14.25" hidden="false" customHeight="true" outlineLevel="0" collapsed="false">
      <c r="A284" s="52" t="s">
        <v>21</v>
      </c>
      <c r="B284" s="52" t="s">
        <v>276</v>
      </c>
      <c r="C284" s="52" t="s">
        <v>300</v>
      </c>
      <c r="D284" s="52" t="s">
        <v>170</v>
      </c>
      <c r="E284" s="52" t="s">
        <v>280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345</v>
      </c>
    </row>
    <row r="285" customFormat="false" ht="14.25" hidden="false" customHeight="true" outlineLevel="0" collapsed="false">
      <c r="A285" s="52" t="s">
        <v>21</v>
      </c>
      <c r="B285" s="52" t="s">
        <v>276</v>
      </c>
      <c r="C285" s="52" t="s">
        <v>300</v>
      </c>
      <c r="D285" s="52" t="s">
        <v>171</v>
      </c>
      <c r="E285" s="52" t="s">
        <v>280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345</v>
      </c>
    </row>
    <row r="286" customFormat="false" ht="14.25" hidden="false" customHeight="true" outlineLevel="0" collapsed="false">
      <c r="A286" s="52" t="s">
        <v>21</v>
      </c>
      <c r="B286" s="52" t="s">
        <v>276</v>
      </c>
      <c r="C286" s="52" t="s">
        <v>44</v>
      </c>
      <c r="D286" s="52" t="s">
        <v>169</v>
      </c>
      <c r="E286" s="52" t="s">
        <v>280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345</v>
      </c>
    </row>
    <row r="287" customFormat="false" ht="14.25" hidden="false" customHeight="true" outlineLevel="0" collapsed="false">
      <c r="A287" s="52" t="s">
        <v>21</v>
      </c>
      <c r="B287" s="52" t="s">
        <v>276</v>
      </c>
      <c r="C287" s="52" t="s">
        <v>44</v>
      </c>
      <c r="D287" s="52" t="s">
        <v>199</v>
      </c>
      <c r="E287" s="52" t="s">
        <v>280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351</v>
      </c>
    </row>
    <row r="288" customFormat="false" ht="14.25" hidden="false" customHeight="true" outlineLevel="0" collapsed="false">
      <c r="A288" s="52" t="s">
        <v>21</v>
      </c>
      <c r="B288" s="52" t="s">
        <v>276</v>
      </c>
      <c r="C288" s="52" t="s">
        <v>306</v>
      </c>
      <c r="D288" s="52" t="s">
        <v>200</v>
      </c>
      <c r="E288" s="52" t="s">
        <v>280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351</v>
      </c>
    </row>
    <row r="289" customFormat="false" ht="14.25" hidden="false" customHeight="true" outlineLevel="0" collapsed="false">
      <c r="A289" s="52" t="s">
        <v>21</v>
      </c>
      <c r="B289" s="52" t="s">
        <v>276</v>
      </c>
      <c r="C289" s="52" t="s">
        <v>306</v>
      </c>
      <c r="D289" s="52" t="s">
        <v>202</v>
      </c>
      <c r="E289" s="52" t="s">
        <v>280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351</v>
      </c>
    </row>
    <row r="290" customFormat="false" ht="14.25" hidden="false" customHeight="true" outlineLevel="0" collapsed="false">
      <c r="A290" s="52" t="s">
        <v>21</v>
      </c>
      <c r="B290" s="52" t="s">
        <v>276</v>
      </c>
      <c r="C290" s="52" t="s">
        <v>307</v>
      </c>
      <c r="D290" s="52" t="s">
        <v>198</v>
      </c>
      <c r="E290" s="52" t="s">
        <v>280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345</v>
      </c>
    </row>
    <row r="291" customFormat="false" ht="14.25" hidden="false" customHeight="true" outlineLevel="0" collapsed="false">
      <c r="A291" s="52" t="s">
        <v>21</v>
      </c>
      <c r="B291" s="52" t="s">
        <v>276</v>
      </c>
      <c r="C291" s="52" t="s">
        <v>305</v>
      </c>
      <c r="D291" s="52" t="s">
        <v>167</v>
      </c>
      <c r="E291" s="52" t="s">
        <v>280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345</v>
      </c>
    </row>
    <row r="292" customFormat="false" ht="14.25" hidden="false" customHeight="true" outlineLevel="0" collapsed="false">
      <c r="A292" s="52" t="s">
        <v>21</v>
      </c>
      <c r="B292" s="52" t="s">
        <v>276</v>
      </c>
      <c r="C292" s="52" t="s">
        <v>305</v>
      </c>
      <c r="D292" s="52" t="s">
        <v>168</v>
      </c>
      <c r="E292" s="52" t="s">
        <v>280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345</v>
      </c>
    </row>
    <row r="293" customFormat="false" ht="14.25" hidden="false" customHeight="true" outlineLevel="0" collapsed="false">
      <c r="A293" s="52" t="s">
        <v>21</v>
      </c>
      <c r="B293" s="52" t="s">
        <v>276</v>
      </c>
      <c r="C293" s="52" t="s">
        <v>308</v>
      </c>
      <c r="D293" s="52" t="s">
        <v>203</v>
      </c>
      <c r="E293" s="52" t="s">
        <v>280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314</v>
      </c>
    </row>
    <row r="294" customFormat="false" ht="14.25" hidden="false" customHeight="true" outlineLevel="0" collapsed="false">
      <c r="A294" s="52" t="s">
        <v>21</v>
      </c>
      <c r="B294" s="52" t="s">
        <v>276</v>
      </c>
      <c r="C294" s="52" t="s">
        <v>300</v>
      </c>
      <c r="D294" s="52" t="s">
        <v>197</v>
      </c>
      <c r="E294" s="52" t="s">
        <v>281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352</v>
      </c>
    </row>
    <row r="295" customFormat="false" ht="15" hidden="false" customHeight="true" outlineLevel="0" collapsed="false">
      <c r="A295" s="52" t="s">
        <v>21</v>
      </c>
      <c r="B295" s="52" t="s">
        <v>276</v>
      </c>
      <c r="C295" s="52" t="s">
        <v>300</v>
      </c>
      <c r="D295" s="52" t="s">
        <v>302</v>
      </c>
      <c r="E295" s="52" t="s">
        <v>281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353</v>
      </c>
    </row>
    <row r="296" customFormat="false" ht="14.25" hidden="false" customHeight="true" outlineLevel="0" collapsed="false">
      <c r="A296" s="52" t="s">
        <v>21</v>
      </c>
      <c r="B296" s="52" t="s">
        <v>276</v>
      </c>
      <c r="C296" s="52" t="s">
        <v>300</v>
      </c>
      <c r="D296" s="52" t="s">
        <v>170</v>
      </c>
      <c r="E296" s="52" t="s">
        <v>281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345</v>
      </c>
    </row>
    <row r="297" customFormat="false" ht="14.25" hidden="false" customHeight="true" outlineLevel="0" collapsed="false">
      <c r="A297" s="52" t="s">
        <v>21</v>
      </c>
      <c r="B297" s="52" t="s">
        <v>276</v>
      </c>
      <c r="C297" s="52" t="s">
        <v>300</v>
      </c>
      <c r="D297" s="52" t="s">
        <v>171</v>
      </c>
      <c r="E297" s="52" t="s">
        <v>281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345</v>
      </c>
    </row>
    <row r="298" customFormat="false" ht="14.25" hidden="false" customHeight="true" outlineLevel="0" collapsed="false">
      <c r="A298" s="52" t="s">
        <v>21</v>
      </c>
      <c r="B298" s="52" t="s">
        <v>276</v>
      </c>
      <c r="C298" s="52" t="s">
        <v>44</v>
      </c>
      <c r="D298" s="52" t="s">
        <v>169</v>
      </c>
      <c r="E298" s="52" t="s">
        <v>281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345</v>
      </c>
    </row>
    <row r="299" customFormat="false" ht="14.25" hidden="false" customHeight="true" outlineLevel="0" collapsed="false">
      <c r="A299" s="52" t="s">
        <v>21</v>
      </c>
      <c r="B299" s="52" t="s">
        <v>276</v>
      </c>
      <c r="C299" s="52" t="s">
        <v>44</v>
      </c>
      <c r="D299" s="52" t="s">
        <v>199</v>
      </c>
      <c r="E299" s="52" t="s">
        <v>281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353</v>
      </c>
    </row>
    <row r="300" customFormat="false" ht="14.25" hidden="false" customHeight="true" outlineLevel="0" collapsed="false">
      <c r="A300" s="52" t="s">
        <v>21</v>
      </c>
      <c r="B300" s="52" t="s">
        <v>276</v>
      </c>
      <c r="C300" s="52" t="s">
        <v>306</v>
      </c>
      <c r="D300" s="52" t="s">
        <v>200</v>
      </c>
      <c r="E300" s="52" t="s">
        <v>281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353</v>
      </c>
    </row>
    <row r="301" customFormat="false" ht="14.25" hidden="false" customHeight="true" outlineLevel="0" collapsed="false">
      <c r="A301" s="52" t="s">
        <v>21</v>
      </c>
      <c r="B301" s="52" t="s">
        <v>276</v>
      </c>
      <c r="C301" s="52" t="s">
        <v>306</v>
      </c>
      <c r="D301" s="52" t="s">
        <v>202</v>
      </c>
      <c r="E301" s="52" t="s">
        <v>281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353</v>
      </c>
    </row>
    <row r="302" customFormat="false" ht="14.25" hidden="false" customHeight="true" outlineLevel="0" collapsed="false">
      <c r="A302" s="52" t="s">
        <v>21</v>
      </c>
      <c r="B302" s="52" t="s">
        <v>276</v>
      </c>
      <c r="C302" s="52" t="s">
        <v>307</v>
      </c>
      <c r="D302" s="52" t="s">
        <v>198</v>
      </c>
      <c r="E302" s="52" t="s">
        <v>281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345</v>
      </c>
    </row>
    <row r="303" customFormat="false" ht="14.25" hidden="false" customHeight="true" outlineLevel="0" collapsed="false">
      <c r="A303" s="52" t="s">
        <v>21</v>
      </c>
      <c r="B303" s="52" t="s">
        <v>276</v>
      </c>
      <c r="C303" s="52" t="s">
        <v>305</v>
      </c>
      <c r="D303" s="52" t="s">
        <v>167</v>
      </c>
      <c r="E303" s="52" t="s">
        <v>281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345</v>
      </c>
    </row>
    <row r="304" customFormat="false" ht="14.25" hidden="false" customHeight="true" outlineLevel="0" collapsed="false">
      <c r="A304" s="52" t="s">
        <v>21</v>
      </c>
      <c r="B304" s="52" t="s">
        <v>276</v>
      </c>
      <c r="C304" s="52" t="s">
        <v>305</v>
      </c>
      <c r="D304" s="52" t="s">
        <v>168</v>
      </c>
      <c r="E304" s="52" t="s">
        <v>281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345</v>
      </c>
    </row>
    <row r="305" customFormat="false" ht="14.25" hidden="false" customHeight="true" outlineLevel="0" collapsed="false">
      <c r="A305" s="52" t="s">
        <v>21</v>
      </c>
      <c r="B305" s="52" t="s">
        <v>276</v>
      </c>
      <c r="C305" s="52" t="s">
        <v>300</v>
      </c>
      <c r="D305" s="52" t="s">
        <v>333</v>
      </c>
      <c r="E305" s="52" t="s">
        <v>281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347</v>
      </c>
    </row>
    <row r="306" customFormat="false" ht="14.25" hidden="false" customHeight="true" outlineLevel="0" collapsed="false">
      <c r="A306" s="52" t="s">
        <v>21</v>
      </c>
      <c r="B306" s="52" t="s">
        <v>276</v>
      </c>
      <c r="C306" s="52" t="s">
        <v>300</v>
      </c>
      <c r="D306" s="52" t="s">
        <v>197</v>
      </c>
      <c r="E306" s="52" t="s">
        <v>284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354</v>
      </c>
    </row>
    <row r="307" customFormat="false" ht="14.25" hidden="false" customHeight="true" outlineLevel="0" collapsed="false">
      <c r="A307" s="52" t="s">
        <v>21</v>
      </c>
      <c r="B307" s="1" t="s">
        <v>276</v>
      </c>
      <c r="C307" s="1" t="s">
        <v>300</v>
      </c>
      <c r="D307" s="1" t="s">
        <v>302</v>
      </c>
      <c r="E307" s="1" t="s">
        <v>284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355</v>
      </c>
    </row>
    <row r="308" customFormat="false" ht="14.25" hidden="false" customHeight="true" outlineLevel="0" collapsed="false">
      <c r="A308" s="52" t="s">
        <v>21</v>
      </c>
      <c r="B308" s="52" t="s">
        <v>276</v>
      </c>
      <c r="C308" s="52" t="s">
        <v>300</v>
      </c>
      <c r="D308" s="52" t="s">
        <v>170</v>
      </c>
      <c r="E308" s="52" t="s">
        <v>284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345</v>
      </c>
    </row>
    <row r="309" customFormat="false" ht="14.25" hidden="false" customHeight="true" outlineLevel="0" collapsed="false">
      <c r="A309" s="52" t="s">
        <v>21</v>
      </c>
      <c r="B309" s="1" t="s">
        <v>276</v>
      </c>
      <c r="C309" s="1" t="s">
        <v>300</v>
      </c>
      <c r="D309" s="1" t="s">
        <v>171</v>
      </c>
      <c r="E309" s="1" t="s">
        <v>284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345</v>
      </c>
    </row>
    <row r="310" customFormat="false" ht="14.25" hidden="false" customHeight="true" outlineLevel="0" collapsed="false">
      <c r="A310" s="52" t="s">
        <v>21</v>
      </c>
      <c r="B310" s="52" t="s">
        <v>276</v>
      </c>
      <c r="C310" s="52" t="s">
        <v>44</v>
      </c>
      <c r="D310" s="52" t="s">
        <v>169</v>
      </c>
      <c r="E310" s="52" t="s">
        <v>284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345</v>
      </c>
    </row>
    <row r="311" customFormat="false" ht="14.25" hidden="false" customHeight="true" outlineLevel="0" collapsed="false">
      <c r="A311" s="52" t="s">
        <v>21</v>
      </c>
      <c r="B311" s="52" t="s">
        <v>276</v>
      </c>
      <c r="C311" s="52" t="s">
        <v>44</v>
      </c>
      <c r="D311" s="52" t="s">
        <v>199</v>
      </c>
      <c r="E311" s="52" t="s">
        <v>284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355</v>
      </c>
    </row>
    <row r="312" customFormat="false" ht="14.25" hidden="false" customHeight="true" outlineLevel="0" collapsed="false">
      <c r="A312" s="52" t="s">
        <v>21</v>
      </c>
      <c r="B312" s="52" t="s">
        <v>276</v>
      </c>
      <c r="C312" s="52" t="s">
        <v>306</v>
      </c>
      <c r="D312" s="52" t="s">
        <v>200</v>
      </c>
      <c r="E312" s="52" t="s">
        <v>284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355</v>
      </c>
    </row>
    <row r="313" customFormat="false" ht="14.25" hidden="false" customHeight="true" outlineLevel="0" collapsed="false">
      <c r="A313" s="52" t="s">
        <v>21</v>
      </c>
      <c r="B313" s="52" t="s">
        <v>276</v>
      </c>
      <c r="C313" s="52" t="s">
        <v>306</v>
      </c>
      <c r="D313" s="52" t="s">
        <v>202</v>
      </c>
      <c r="E313" s="52" t="s">
        <v>284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355</v>
      </c>
    </row>
    <row r="314" customFormat="false" ht="14.25" hidden="false" customHeight="true" outlineLevel="0" collapsed="false">
      <c r="A314" s="52" t="s">
        <v>21</v>
      </c>
      <c r="B314" s="52" t="s">
        <v>276</v>
      </c>
      <c r="C314" s="52" t="s">
        <v>307</v>
      </c>
      <c r="D314" s="52" t="s">
        <v>198</v>
      </c>
      <c r="E314" s="52" t="s">
        <v>284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345</v>
      </c>
    </row>
    <row r="315" customFormat="false" ht="14.25" hidden="false" customHeight="true" outlineLevel="0" collapsed="false">
      <c r="A315" s="52" t="s">
        <v>21</v>
      </c>
      <c r="B315" s="52" t="s">
        <v>276</v>
      </c>
      <c r="C315" s="52" t="s">
        <v>305</v>
      </c>
      <c r="D315" s="52" t="s">
        <v>167</v>
      </c>
      <c r="E315" s="52" t="s">
        <v>284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345</v>
      </c>
    </row>
    <row r="316" customFormat="false" ht="14.25" hidden="false" customHeight="true" outlineLevel="0" collapsed="false">
      <c r="A316" s="52" t="s">
        <v>21</v>
      </c>
      <c r="B316" s="52" t="s">
        <v>276</v>
      </c>
      <c r="C316" s="52" t="s">
        <v>305</v>
      </c>
      <c r="D316" s="52" t="s">
        <v>168</v>
      </c>
      <c r="E316" s="52" t="s">
        <v>284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345</v>
      </c>
    </row>
    <row r="317" customFormat="false" ht="14.25" hidden="false" customHeight="true" outlineLevel="0" collapsed="false">
      <c r="A317" s="52" t="s">
        <v>21</v>
      </c>
      <c r="B317" s="52" t="s">
        <v>276</v>
      </c>
      <c r="C317" s="52" t="s">
        <v>308</v>
      </c>
      <c r="D317" s="52" t="s">
        <v>203</v>
      </c>
      <c r="E317" s="52" t="s">
        <v>284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356</v>
      </c>
    </row>
    <row r="318" customFormat="false" ht="14.25" hidden="false" customHeight="true" outlineLevel="0" collapsed="false">
      <c r="A318" s="52" t="s">
        <v>21</v>
      </c>
      <c r="B318" s="52" t="s">
        <v>288</v>
      </c>
      <c r="C318" s="52" t="s">
        <v>300</v>
      </c>
      <c r="D318" s="52" t="s">
        <v>197</v>
      </c>
      <c r="E318" s="52" t="s">
        <v>287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357</v>
      </c>
    </row>
    <row r="319" customFormat="false" ht="14.25" hidden="false" customHeight="true" outlineLevel="0" collapsed="false">
      <c r="A319" s="52" t="s">
        <v>21</v>
      </c>
      <c r="B319" s="52" t="s">
        <v>288</v>
      </c>
      <c r="C319" s="52" t="s">
        <v>300</v>
      </c>
      <c r="D319" s="52" t="s">
        <v>170</v>
      </c>
      <c r="E319" s="52" t="s">
        <v>287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345</v>
      </c>
    </row>
    <row r="320" customFormat="false" ht="14.25" hidden="false" customHeight="true" outlineLevel="0" collapsed="false">
      <c r="A320" s="52" t="s">
        <v>21</v>
      </c>
      <c r="B320" s="52" t="s">
        <v>288</v>
      </c>
      <c r="C320" s="52" t="s">
        <v>300</v>
      </c>
      <c r="D320" s="52" t="s">
        <v>171</v>
      </c>
      <c r="E320" s="52" t="s">
        <v>287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345</v>
      </c>
    </row>
    <row r="321" customFormat="false" ht="14.25" hidden="false" customHeight="true" outlineLevel="0" collapsed="false">
      <c r="A321" s="52" t="s">
        <v>21</v>
      </c>
      <c r="B321" s="52" t="s">
        <v>288</v>
      </c>
      <c r="C321" s="52" t="s">
        <v>44</v>
      </c>
      <c r="D321" s="52" t="s">
        <v>169</v>
      </c>
      <c r="E321" s="52" t="s">
        <v>287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345</v>
      </c>
    </row>
    <row r="322" customFormat="false" ht="14.25" hidden="false" customHeight="true" outlineLevel="0" collapsed="false">
      <c r="A322" s="52" t="s">
        <v>21</v>
      </c>
      <c r="B322" s="52" t="s">
        <v>288</v>
      </c>
      <c r="C322" s="52" t="s">
        <v>44</v>
      </c>
      <c r="D322" s="52" t="s">
        <v>199</v>
      </c>
      <c r="E322" s="52" t="s">
        <v>287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358</v>
      </c>
    </row>
    <row r="323" customFormat="false" ht="14.25" hidden="false" customHeight="true" outlineLevel="0" collapsed="false">
      <c r="A323" s="52" t="s">
        <v>21</v>
      </c>
      <c r="B323" s="52" t="s">
        <v>288</v>
      </c>
      <c r="C323" s="52" t="s">
        <v>307</v>
      </c>
      <c r="D323" s="52" t="s">
        <v>198</v>
      </c>
      <c r="E323" s="52" t="s">
        <v>287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345</v>
      </c>
    </row>
    <row r="324" customFormat="false" ht="15" hidden="false" customHeight="true" outlineLevel="0" collapsed="false">
      <c r="A324" s="52" t="s">
        <v>21</v>
      </c>
      <c r="B324" s="52" t="s">
        <v>288</v>
      </c>
      <c r="C324" s="52" t="s">
        <v>305</v>
      </c>
      <c r="D324" s="52" t="s">
        <v>167</v>
      </c>
      <c r="E324" s="52" t="s">
        <v>287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345</v>
      </c>
    </row>
    <row r="325" customFormat="false" ht="14.25" hidden="false" customHeight="true" outlineLevel="0" collapsed="false">
      <c r="A325" s="52" t="s">
        <v>21</v>
      </c>
      <c r="B325" s="52" t="s">
        <v>288</v>
      </c>
      <c r="C325" s="52" t="s">
        <v>305</v>
      </c>
      <c r="D325" s="52" t="s">
        <v>168</v>
      </c>
      <c r="E325" s="52" t="s">
        <v>287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345</v>
      </c>
    </row>
    <row r="326" customFormat="false" ht="14.25" hidden="false" customHeight="true" outlineLevel="0" collapsed="false">
      <c r="A326" s="52" t="s">
        <v>21</v>
      </c>
      <c r="B326" s="52" t="s">
        <v>288</v>
      </c>
      <c r="C326" s="52" t="s">
        <v>308</v>
      </c>
      <c r="D326" s="52" t="s">
        <v>203</v>
      </c>
      <c r="E326" s="52" t="s">
        <v>287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314</v>
      </c>
    </row>
    <row r="327" customFormat="false" ht="14.25" hidden="false" customHeight="true" outlineLevel="0" collapsed="false">
      <c r="A327" s="52" t="s">
        <v>21</v>
      </c>
      <c r="B327" s="52" t="s">
        <v>288</v>
      </c>
      <c r="C327" s="52" t="s">
        <v>300</v>
      </c>
      <c r="D327" s="52" t="s">
        <v>333</v>
      </c>
      <c r="E327" s="52" t="s">
        <v>287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347</v>
      </c>
    </row>
    <row r="328" customFormat="false" ht="14.25" hidden="false" customHeight="true" outlineLevel="0" collapsed="false">
      <c r="A328" s="52" t="s">
        <v>21</v>
      </c>
      <c r="B328" s="52" t="s">
        <v>283</v>
      </c>
      <c r="C328" s="52" t="s">
        <v>300</v>
      </c>
      <c r="D328" s="52" t="s">
        <v>197</v>
      </c>
      <c r="E328" s="52" t="s">
        <v>281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359</v>
      </c>
    </row>
    <row r="329" customFormat="false" ht="14.25" hidden="false" customHeight="true" outlineLevel="0" collapsed="false">
      <c r="A329" s="52" t="s">
        <v>21</v>
      </c>
      <c r="B329" s="52" t="s">
        <v>283</v>
      </c>
      <c r="C329" s="52" t="s">
        <v>300</v>
      </c>
      <c r="D329" s="52" t="s">
        <v>170</v>
      </c>
      <c r="E329" s="52" t="s">
        <v>281</v>
      </c>
      <c r="F329" s="52" t="n">
        <v>2</v>
      </c>
      <c r="G329" s="53" t="n">
        <v>26</v>
      </c>
      <c r="H329" s="53" t="n">
        <f aca="false">G329*F329</f>
        <v>52</v>
      </c>
      <c r="I329" s="52" t="s">
        <v>345</v>
      </c>
    </row>
    <row r="330" customFormat="false" ht="14.25" hidden="false" customHeight="true" outlineLevel="0" collapsed="false">
      <c r="A330" s="52" t="s">
        <v>21</v>
      </c>
      <c r="B330" s="52" t="s">
        <v>283</v>
      </c>
      <c r="C330" s="52" t="s">
        <v>300</v>
      </c>
      <c r="D330" s="52" t="s">
        <v>171</v>
      </c>
      <c r="E330" s="52" t="s">
        <v>281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345</v>
      </c>
    </row>
    <row r="331" customFormat="false" ht="14.25" hidden="false" customHeight="true" outlineLevel="0" collapsed="false">
      <c r="A331" s="52" t="s">
        <v>21</v>
      </c>
      <c r="B331" s="52" t="s">
        <v>283</v>
      </c>
      <c r="C331" s="52" t="s">
        <v>44</v>
      </c>
      <c r="D331" s="52" t="s">
        <v>169</v>
      </c>
      <c r="E331" s="52" t="s">
        <v>281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345</v>
      </c>
    </row>
    <row r="332" customFormat="false" ht="14.25" hidden="false" customHeight="true" outlineLevel="0" collapsed="false">
      <c r="A332" s="52" t="s">
        <v>21</v>
      </c>
      <c r="B332" s="52" t="s">
        <v>283</v>
      </c>
      <c r="C332" s="52" t="s">
        <v>307</v>
      </c>
      <c r="D332" s="52" t="s">
        <v>198</v>
      </c>
      <c r="E332" s="52" t="s">
        <v>281</v>
      </c>
      <c r="F332" s="52" t="n">
        <v>2</v>
      </c>
      <c r="G332" s="53" t="n">
        <v>30</v>
      </c>
      <c r="H332" s="53" t="n">
        <f aca="false">G332*F332</f>
        <v>60</v>
      </c>
      <c r="I332" s="52" t="s">
        <v>345</v>
      </c>
    </row>
    <row r="333" customFormat="false" ht="14.25" hidden="false" customHeight="true" outlineLevel="0" collapsed="false">
      <c r="A333" s="52" t="s">
        <v>21</v>
      </c>
      <c r="B333" s="52" t="s">
        <v>283</v>
      </c>
      <c r="C333" s="52" t="s">
        <v>305</v>
      </c>
      <c r="D333" s="52" t="s">
        <v>167</v>
      </c>
      <c r="E333" s="52" t="s">
        <v>281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345</v>
      </c>
    </row>
    <row r="334" customFormat="false" ht="14.25" hidden="false" customHeight="true" outlineLevel="0" collapsed="false">
      <c r="A334" s="52" t="s">
        <v>21</v>
      </c>
      <c r="B334" s="52" t="s">
        <v>283</v>
      </c>
      <c r="C334" s="52" t="s">
        <v>305</v>
      </c>
      <c r="D334" s="52" t="s">
        <v>168</v>
      </c>
      <c r="E334" s="52" t="s">
        <v>281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345</v>
      </c>
    </row>
    <row r="335" customFormat="false" ht="14.25" hidden="false" customHeight="true" outlineLevel="0" collapsed="false">
      <c r="A335" s="52" t="s">
        <v>21</v>
      </c>
      <c r="B335" s="52" t="s">
        <v>283</v>
      </c>
      <c r="C335" s="52" t="s">
        <v>308</v>
      </c>
      <c r="D335" s="52" t="s">
        <v>203</v>
      </c>
      <c r="E335" s="52" t="s">
        <v>281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314</v>
      </c>
    </row>
    <row r="336" customFormat="false" ht="14.25" hidden="false" customHeight="true" outlineLevel="0" collapsed="false">
      <c r="A336" s="52" t="s">
        <v>21</v>
      </c>
      <c r="B336" s="52" t="s">
        <v>291</v>
      </c>
      <c r="C336" s="52" t="s">
        <v>300</v>
      </c>
      <c r="D336" s="52" t="s">
        <v>197</v>
      </c>
      <c r="E336" s="52" t="s">
        <v>287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360</v>
      </c>
    </row>
    <row r="337" customFormat="false" ht="14.25" hidden="false" customHeight="true" outlineLevel="0" collapsed="false">
      <c r="A337" s="52" t="s">
        <v>21</v>
      </c>
      <c r="B337" s="52" t="s">
        <v>291</v>
      </c>
      <c r="C337" s="52" t="s">
        <v>300</v>
      </c>
      <c r="D337" s="52" t="s">
        <v>302</v>
      </c>
      <c r="E337" s="52" t="s">
        <v>287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358</v>
      </c>
    </row>
    <row r="338" customFormat="false" ht="14.25" hidden="false" customHeight="true" outlineLevel="0" collapsed="false">
      <c r="A338" s="52" t="s">
        <v>21</v>
      </c>
      <c r="B338" s="52" t="s">
        <v>291</v>
      </c>
      <c r="C338" s="52" t="s">
        <v>300</v>
      </c>
      <c r="D338" s="52" t="s">
        <v>170</v>
      </c>
      <c r="E338" s="52" t="s">
        <v>287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345</v>
      </c>
    </row>
    <row r="339" customFormat="false" ht="14.25" hidden="false" customHeight="true" outlineLevel="0" collapsed="false">
      <c r="A339" s="52" t="s">
        <v>21</v>
      </c>
      <c r="B339" s="52" t="s">
        <v>291</v>
      </c>
      <c r="C339" s="52" t="s">
        <v>300</v>
      </c>
      <c r="D339" s="52" t="s">
        <v>171</v>
      </c>
      <c r="E339" s="52" t="s">
        <v>287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345</v>
      </c>
    </row>
    <row r="340" customFormat="false" ht="14.25" hidden="false" customHeight="true" outlineLevel="0" collapsed="false">
      <c r="A340" s="52" t="s">
        <v>21</v>
      </c>
      <c r="B340" s="52" t="s">
        <v>291</v>
      </c>
      <c r="C340" s="52" t="s">
        <v>44</v>
      </c>
      <c r="D340" s="52" t="s">
        <v>169</v>
      </c>
      <c r="E340" s="52" t="s">
        <v>287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345</v>
      </c>
    </row>
    <row r="341" customFormat="false" ht="14.25" hidden="false" customHeight="true" outlineLevel="0" collapsed="false">
      <c r="A341" s="52" t="s">
        <v>21</v>
      </c>
      <c r="B341" s="52" t="s">
        <v>291</v>
      </c>
      <c r="C341" s="52" t="s">
        <v>307</v>
      </c>
      <c r="D341" s="52" t="s">
        <v>198</v>
      </c>
      <c r="E341" s="52" t="s">
        <v>287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345</v>
      </c>
    </row>
    <row r="342" customFormat="false" ht="14.25" hidden="false" customHeight="true" outlineLevel="0" collapsed="false">
      <c r="A342" s="52" t="s">
        <v>21</v>
      </c>
      <c r="B342" s="52" t="s">
        <v>291</v>
      </c>
      <c r="C342" s="52" t="s">
        <v>305</v>
      </c>
      <c r="D342" s="52" t="s">
        <v>167</v>
      </c>
      <c r="E342" s="52" t="s">
        <v>287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345</v>
      </c>
    </row>
    <row r="343" customFormat="false" ht="14.25" hidden="false" customHeight="true" outlineLevel="0" collapsed="false">
      <c r="A343" s="52" t="s">
        <v>21</v>
      </c>
      <c r="B343" s="52" t="s">
        <v>291</v>
      </c>
      <c r="C343" s="52" t="s">
        <v>305</v>
      </c>
      <c r="D343" s="52" t="s">
        <v>168</v>
      </c>
      <c r="E343" s="52" t="s">
        <v>287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345</v>
      </c>
    </row>
    <row r="344" customFormat="false" ht="14.25" hidden="false" customHeight="true" outlineLevel="0" collapsed="false">
      <c r="A344" s="52" t="s">
        <v>21</v>
      </c>
      <c r="B344" s="52" t="s">
        <v>291</v>
      </c>
      <c r="C344" s="52" t="s">
        <v>308</v>
      </c>
      <c r="D344" s="52" t="s">
        <v>203</v>
      </c>
      <c r="E344" s="52" t="s">
        <v>287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314</v>
      </c>
    </row>
    <row r="345" customFormat="false" ht="14.25" hidden="false" customHeight="true" outlineLevel="0" collapsed="false">
      <c r="A345" s="52" t="s">
        <v>21</v>
      </c>
      <c r="B345" s="52" t="s">
        <v>291</v>
      </c>
      <c r="C345" s="52" t="s">
        <v>300</v>
      </c>
      <c r="D345" s="52" t="s">
        <v>333</v>
      </c>
      <c r="E345" s="52" t="s">
        <v>287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347</v>
      </c>
    </row>
    <row r="346" customFormat="false" ht="14.25" hidden="false" customHeight="true" outlineLevel="0" collapsed="false">
      <c r="A346" s="52" t="s">
        <v>21</v>
      </c>
      <c r="B346" s="52" t="s">
        <v>286</v>
      </c>
      <c r="C346" s="52" t="s">
        <v>300</v>
      </c>
      <c r="D346" s="52" t="s">
        <v>197</v>
      </c>
      <c r="E346" s="52" t="s">
        <v>284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361</v>
      </c>
    </row>
    <row r="347" customFormat="false" ht="14.25" hidden="false" customHeight="true" outlineLevel="0" collapsed="false">
      <c r="A347" s="52" t="s">
        <v>21</v>
      </c>
      <c r="B347" s="52" t="s">
        <v>286</v>
      </c>
      <c r="C347" s="52" t="s">
        <v>300</v>
      </c>
      <c r="D347" s="52" t="s">
        <v>170</v>
      </c>
      <c r="E347" s="52" t="s">
        <v>284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345</v>
      </c>
    </row>
    <row r="348" customFormat="false" ht="14.25" hidden="false" customHeight="true" outlineLevel="0" collapsed="false">
      <c r="A348" s="52" t="s">
        <v>21</v>
      </c>
      <c r="B348" s="52" t="s">
        <v>286</v>
      </c>
      <c r="C348" s="52" t="s">
        <v>300</v>
      </c>
      <c r="D348" s="52" t="s">
        <v>171</v>
      </c>
      <c r="E348" s="52" t="s">
        <v>284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345</v>
      </c>
    </row>
    <row r="349" customFormat="false" ht="15" hidden="false" customHeight="true" outlineLevel="0" collapsed="false">
      <c r="A349" s="52" t="s">
        <v>21</v>
      </c>
      <c r="B349" s="52" t="s">
        <v>286</v>
      </c>
      <c r="C349" s="52" t="s">
        <v>44</v>
      </c>
      <c r="D349" s="52" t="s">
        <v>169</v>
      </c>
      <c r="E349" s="52" t="s">
        <v>284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345</v>
      </c>
    </row>
    <row r="350" customFormat="false" ht="14.25" hidden="false" customHeight="true" outlineLevel="0" collapsed="false">
      <c r="A350" s="52" t="s">
        <v>21</v>
      </c>
      <c r="B350" s="52" t="s">
        <v>286</v>
      </c>
      <c r="C350" s="52" t="s">
        <v>307</v>
      </c>
      <c r="D350" s="52" t="s">
        <v>198</v>
      </c>
      <c r="E350" s="52" t="s">
        <v>284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345</v>
      </c>
    </row>
    <row r="351" customFormat="false" ht="14.25" hidden="false" customHeight="true" outlineLevel="0" collapsed="false">
      <c r="A351" s="52" t="s">
        <v>21</v>
      </c>
      <c r="B351" s="52" t="s">
        <v>286</v>
      </c>
      <c r="C351" s="52" t="s">
        <v>305</v>
      </c>
      <c r="D351" s="52" t="s">
        <v>167</v>
      </c>
      <c r="E351" s="52" t="s">
        <v>284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345</v>
      </c>
    </row>
    <row r="352" customFormat="false" ht="14.25" hidden="false" customHeight="true" outlineLevel="0" collapsed="false">
      <c r="A352" s="52" t="s">
        <v>21</v>
      </c>
      <c r="B352" s="52" t="s">
        <v>286</v>
      </c>
      <c r="C352" s="52" t="s">
        <v>305</v>
      </c>
      <c r="D352" s="52" t="s">
        <v>168</v>
      </c>
      <c r="E352" s="52" t="s">
        <v>284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345</v>
      </c>
    </row>
    <row r="353" customFormat="false" ht="14.25" hidden="false" customHeight="true" outlineLevel="0" collapsed="false">
      <c r="A353" s="52" t="s">
        <v>21</v>
      </c>
      <c r="B353" s="52" t="s">
        <v>286</v>
      </c>
      <c r="C353" s="52" t="s">
        <v>308</v>
      </c>
      <c r="D353" s="52" t="s">
        <v>203</v>
      </c>
      <c r="E353" s="52" t="s">
        <v>284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314</v>
      </c>
    </row>
    <row r="354" customFormat="false" ht="14.25" hidden="false" customHeight="true" outlineLevel="0" collapsed="false">
      <c r="A354" s="1" t="s">
        <v>20</v>
      </c>
      <c r="B354" s="1" t="s">
        <v>276</v>
      </c>
      <c r="C354" s="1" t="s">
        <v>300</v>
      </c>
      <c r="D354" s="1" t="s">
        <v>362</v>
      </c>
      <c r="E354" s="1" t="s">
        <v>284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363</v>
      </c>
    </row>
    <row r="355" customFormat="false" ht="15" hidden="false" customHeight="true" outlineLevel="0" collapsed="false">
      <c r="A355" s="1" t="s">
        <v>20</v>
      </c>
      <c r="B355" s="1" t="s">
        <v>276</v>
      </c>
      <c r="C355" s="1" t="s">
        <v>308</v>
      </c>
      <c r="D355" s="1" t="s">
        <v>364</v>
      </c>
      <c r="E355" s="1" t="s">
        <v>284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365</v>
      </c>
    </row>
    <row r="356" customFormat="false" ht="14.25" hidden="false" customHeight="true" outlineLevel="0" collapsed="false">
      <c r="A356" s="1" t="s">
        <v>11</v>
      </c>
      <c r="B356" s="1" t="s">
        <v>276</v>
      </c>
      <c r="C356" s="1" t="s">
        <v>300</v>
      </c>
      <c r="D356" s="1" t="s">
        <v>362</v>
      </c>
      <c r="E356" s="1" t="s">
        <v>284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363</v>
      </c>
    </row>
    <row r="357" customFormat="false" ht="14.25" hidden="false" customHeight="true" outlineLevel="0" collapsed="false">
      <c r="A357" s="1" t="s">
        <v>11</v>
      </c>
      <c r="B357" s="1" t="s">
        <v>276</v>
      </c>
      <c r="C357" s="1" t="s">
        <v>308</v>
      </c>
      <c r="D357" s="1" t="s">
        <v>364</v>
      </c>
      <c r="E357" s="1" t="s">
        <v>284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365</v>
      </c>
    </row>
    <row r="358" customFormat="false" ht="14.25" hidden="false" customHeight="true" outlineLevel="0" collapsed="false">
      <c r="A358" s="1" t="s">
        <v>21</v>
      </c>
      <c r="B358" s="1" t="s">
        <v>276</v>
      </c>
      <c r="C358" s="1" t="s">
        <v>300</v>
      </c>
      <c r="D358" s="1" t="s">
        <v>362</v>
      </c>
      <c r="E358" s="1" t="s">
        <v>284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363</v>
      </c>
    </row>
    <row r="359" customFormat="false" ht="14.25" hidden="false" customHeight="true" outlineLevel="0" collapsed="false">
      <c r="A359" s="1" t="s">
        <v>21</v>
      </c>
      <c r="B359" s="1" t="s">
        <v>276</v>
      </c>
      <c r="C359" s="1" t="s">
        <v>308</v>
      </c>
      <c r="D359" s="1" t="s">
        <v>364</v>
      </c>
      <c r="E359" s="1" t="s">
        <v>284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365</v>
      </c>
    </row>
    <row r="360" customFormat="false" ht="14.25" hidden="false" customHeight="true" outlineLevel="0" collapsed="false">
      <c r="A360" s="1" t="s">
        <v>20</v>
      </c>
      <c r="B360" s="1" t="s">
        <v>276</v>
      </c>
      <c r="C360" s="1" t="s">
        <v>300</v>
      </c>
      <c r="D360" s="1" t="s">
        <v>366</v>
      </c>
      <c r="E360" s="1" t="s">
        <v>275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363</v>
      </c>
    </row>
    <row r="361" customFormat="false" ht="14.25" hidden="false" customHeight="true" outlineLevel="0" collapsed="false">
      <c r="A361" s="1" t="s">
        <v>20</v>
      </c>
      <c r="B361" s="1" t="s">
        <v>276</v>
      </c>
      <c r="C361" s="1" t="s">
        <v>308</v>
      </c>
      <c r="D361" s="1" t="s">
        <v>367</v>
      </c>
      <c r="E361" s="1" t="s">
        <v>275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365</v>
      </c>
    </row>
    <row r="362" customFormat="false" ht="14.25" hidden="false" customHeight="true" outlineLevel="0" collapsed="false">
      <c r="A362" s="1" t="s">
        <v>11</v>
      </c>
      <c r="B362" s="1" t="s">
        <v>276</v>
      </c>
      <c r="C362" s="1" t="s">
        <v>300</v>
      </c>
      <c r="D362" s="1" t="s">
        <v>366</v>
      </c>
      <c r="E362" s="1" t="s">
        <v>275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363</v>
      </c>
    </row>
    <row r="363" customFormat="false" ht="14.25" hidden="false" customHeight="true" outlineLevel="0" collapsed="false">
      <c r="A363" s="1" t="s">
        <v>11</v>
      </c>
      <c r="B363" s="1" t="s">
        <v>276</v>
      </c>
      <c r="C363" s="1" t="s">
        <v>308</v>
      </c>
      <c r="D363" s="1" t="s">
        <v>367</v>
      </c>
      <c r="E363" s="1" t="s">
        <v>275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365</v>
      </c>
    </row>
    <row r="364" customFormat="false" ht="14.25" hidden="false" customHeight="true" outlineLevel="0" collapsed="false">
      <c r="A364" s="1" t="s">
        <v>21</v>
      </c>
      <c r="B364" s="1" t="s">
        <v>276</v>
      </c>
      <c r="C364" s="1" t="s">
        <v>300</v>
      </c>
      <c r="D364" s="1" t="s">
        <v>366</v>
      </c>
      <c r="E364" s="1" t="s">
        <v>275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363</v>
      </c>
    </row>
    <row r="365" customFormat="false" ht="14.25" hidden="false" customHeight="true" outlineLevel="0" collapsed="false">
      <c r="A365" s="1" t="s">
        <v>21</v>
      </c>
      <c r="B365" s="1" t="s">
        <v>276</v>
      </c>
      <c r="C365" s="1" t="s">
        <v>308</v>
      </c>
      <c r="D365" s="1" t="s">
        <v>367</v>
      </c>
      <c r="E365" s="1" t="s">
        <v>275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365</v>
      </c>
    </row>
    <row r="366" customFormat="false" ht="14.25" hidden="false" customHeight="true" outlineLevel="0" collapsed="false">
      <c r="A366" s="1" t="s">
        <v>20</v>
      </c>
      <c r="B366" s="1" t="s">
        <v>276</v>
      </c>
      <c r="C366" s="1" t="s">
        <v>300</v>
      </c>
      <c r="D366" s="1" t="s">
        <v>368</v>
      </c>
      <c r="E366" s="1" t="s">
        <v>275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363</v>
      </c>
    </row>
    <row r="367" customFormat="false" ht="14.25" hidden="false" customHeight="true" outlineLevel="0" collapsed="false">
      <c r="A367" s="1" t="s">
        <v>20</v>
      </c>
      <c r="B367" s="1" t="s">
        <v>276</v>
      </c>
      <c r="C367" s="1" t="s">
        <v>308</v>
      </c>
      <c r="D367" s="1" t="s">
        <v>369</v>
      </c>
      <c r="E367" s="1" t="s">
        <v>275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365</v>
      </c>
    </row>
    <row r="368" customFormat="false" ht="14.25" hidden="false" customHeight="true" outlineLevel="0" collapsed="false">
      <c r="A368" s="1" t="s">
        <v>11</v>
      </c>
      <c r="B368" s="1" t="s">
        <v>276</v>
      </c>
      <c r="C368" s="1" t="s">
        <v>300</v>
      </c>
      <c r="D368" s="1" t="s">
        <v>368</v>
      </c>
      <c r="E368" s="1" t="s">
        <v>275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363</v>
      </c>
    </row>
    <row r="369" customFormat="false" ht="14.25" hidden="false" customHeight="true" outlineLevel="0" collapsed="false">
      <c r="A369" s="1" t="s">
        <v>11</v>
      </c>
      <c r="B369" s="1" t="s">
        <v>276</v>
      </c>
      <c r="C369" s="1" t="s">
        <v>308</v>
      </c>
      <c r="D369" s="1" t="s">
        <v>369</v>
      </c>
      <c r="E369" s="1" t="s">
        <v>275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365</v>
      </c>
    </row>
    <row r="370" customFormat="false" ht="14.25" hidden="false" customHeight="true" outlineLevel="0" collapsed="false">
      <c r="A370" s="1" t="s">
        <v>21</v>
      </c>
      <c r="B370" s="1" t="s">
        <v>276</v>
      </c>
      <c r="C370" s="1" t="s">
        <v>300</v>
      </c>
      <c r="D370" s="1" t="s">
        <v>368</v>
      </c>
      <c r="E370" s="1" t="s">
        <v>275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363</v>
      </c>
    </row>
    <row r="371" customFormat="false" ht="14.25" hidden="false" customHeight="true" outlineLevel="0" collapsed="false">
      <c r="A371" s="1" t="s">
        <v>21</v>
      </c>
      <c r="B371" s="1" t="s">
        <v>276</v>
      </c>
      <c r="C371" s="1" t="s">
        <v>308</v>
      </c>
      <c r="D371" s="1" t="s">
        <v>369</v>
      </c>
      <c r="E371" s="1" t="s">
        <v>275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365</v>
      </c>
    </row>
    <row r="372" customFormat="false" ht="14.25" hidden="false" customHeight="true" outlineLevel="0" collapsed="false">
      <c r="A372" s="1" t="s">
        <v>20</v>
      </c>
      <c r="B372" s="1" t="s">
        <v>276</v>
      </c>
      <c r="C372" s="1" t="s">
        <v>300</v>
      </c>
      <c r="D372" s="1" t="s">
        <v>370</v>
      </c>
      <c r="E372" s="1" t="s">
        <v>275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363</v>
      </c>
    </row>
    <row r="373" customFormat="false" ht="14.25" hidden="false" customHeight="true" outlineLevel="0" collapsed="false">
      <c r="A373" s="1" t="s">
        <v>20</v>
      </c>
      <c r="B373" s="1" t="s">
        <v>276</v>
      </c>
      <c r="C373" s="1" t="s">
        <v>308</v>
      </c>
      <c r="D373" s="1" t="s">
        <v>371</v>
      </c>
      <c r="E373" s="1" t="s">
        <v>275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372</v>
      </c>
    </row>
    <row r="374" customFormat="false" ht="14.25" hidden="false" customHeight="true" outlineLevel="0" collapsed="false">
      <c r="A374" s="1" t="s">
        <v>11</v>
      </c>
      <c r="B374" s="1" t="s">
        <v>276</v>
      </c>
      <c r="C374" s="1" t="s">
        <v>300</v>
      </c>
      <c r="D374" s="1" t="s">
        <v>370</v>
      </c>
      <c r="E374" s="1" t="s">
        <v>275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363</v>
      </c>
    </row>
    <row r="375" customFormat="false" ht="14.25" hidden="false" customHeight="true" outlineLevel="0" collapsed="false">
      <c r="A375" s="1" t="s">
        <v>11</v>
      </c>
      <c r="B375" s="1" t="s">
        <v>276</v>
      </c>
      <c r="C375" s="1" t="s">
        <v>308</v>
      </c>
      <c r="D375" s="1" t="s">
        <v>371</v>
      </c>
      <c r="E375" s="1" t="s">
        <v>275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372</v>
      </c>
    </row>
    <row r="376" customFormat="false" ht="14.25" hidden="false" customHeight="true" outlineLevel="0" collapsed="false">
      <c r="A376" s="1" t="s">
        <v>21</v>
      </c>
      <c r="B376" s="1" t="s">
        <v>276</v>
      </c>
      <c r="C376" s="1" t="s">
        <v>300</v>
      </c>
      <c r="D376" s="1" t="s">
        <v>370</v>
      </c>
      <c r="E376" s="1" t="s">
        <v>275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363</v>
      </c>
    </row>
    <row r="377" customFormat="false" ht="14.25" hidden="false" customHeight="true" outlineLevel="0" collapsed="false">
      <c r="A377" s="1" t="s">
        <v>21</v>
      </c>
      <c r="B377" s="1" t="s">
        <v>276</v>
      </c>
      <c r="C377" s="1" t="s">
        <v>308</v>
      </c>
      <c r="D377" s="1" t="s">
        <v>371</v>
      </c>
      <c r="E377" s="1" t="s">
        <v>275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372</v>
      </c>
    </row>
    <row r="378" customFormat="false" ht="14.25" hidden="false" customHeight="true" outlineLevel="0" collapsed="false">
      <c r="A378" s="1" t="s">
        <v>20</v>
      </c>
      <c r="B378" s="1" t="s">
        <v>276</v>
      </c>
      <c r="C378" s="1" t="s">
        <v>300</v>
      </c>
      <c r="D378" s="1" t="s">
        <v>373</v>
      </c>
      <c r="E378" s="1" t="s">
        <v>281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363</v>
      </c>
    </row>
    <row r="379" customFormat="false" ht="14.25" hidden="false" customHeight="true" outlineLevel="0" collapsed="false">
      <c r="A379" s="1" t="s">
        <v>20</v>
      </c>
      <c r="B379" s="1" t="s">
        <v>276</v>
      </c>
      <c r="C379" s="1" t="s">
        <v>308</v>
      </c>
      <c r="D379" s="1" t="s">
        <v>374</v>
      </c>
      <c r="E379" s="1" t="s">
        <v>281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365</v>
      </c>
    </row>
    <row r="380" customFormat="false" ht="14.25" hidden="false" customHeight="true" outlineLevel="0" collapsed="false">
      <c r="A380" s="1" t="s">
        <v>11</v>
      </c>
      <c r="B380" s="1" t="s">
        <v>276</v>
      </c>
      <c r="C380" s="1" t="s">
        <v>300</v>
      </c>
      <c r="D380" s="1" t="s">
        <v>373</v>
      </c>
      <c r="E380" s="1" t="s">
        <v>281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363</v>
      </c>
    </row>
    <row r="381" customFormat="false" ht="14.25" hidden="false" customHeight="true" outlineLevel="0" collapsed="false">
      <c r="A381" s="1" t="s">
        <v>11</v>
      </c>
      <c r="B381" s="1" t="s">
        <v>276</v>
      </c>
      <c r="C381" s="1" t="s">
        <v>308</v>
      </c>
      <c r="D381" s="1" t="s">
        <v>374</v>
      </c>
      <c r="E381" s="1" t="s">
        <v>281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365</v>
      </c>
    </row>
    <row r="382" customFormat="false" ht="14.25" hidden="false" customHeight="true" outlineLevel="0" collapsed="false">
      <c r="A382" s="1" t="s">
        <v>21</v>
      </c>
      <c r="B382" s="1" t="s">
        <v>276</v>
      </c>
      <c r="C382" s="1" t="s">
        <v>300</v>
      </c>
      <c r="D382" s="1" t="s">
        <v>373</v>
      </c>
      <c r="E382" s="1" t="s">
        <v>281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363</v>
      </c>
    </row>
    <row r="383" customFormat="false" ht="15" hidden="false" customHeight="true" outlineLevel="0" collapsed="false">
      <c r="A383" s="1" t="s">
        <v>21</v>
      </c>
      <c r="B383" s="1" t="s">
        <v>276</v>
      </c>
      <c r="C383" s="1" t="s">
        <v>308</v>
      </c>
      <c r="D383" s="1" t="s">
        <v>374</v>
      </c>
      <c r="E383" s="1" t="s">
        <v>281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365</v>
      </c>
    </row>
    <row r="384" customFormat="false" ht="14.25" hidden="false" customHeight="true" outlineLevel="0" collapsed="false">
      <c r="A384" s="1" t="s">
        <v>20</v>
      </c>
      <c r="B384" s="1" t="s">
        <v>288</v>
      </c>
      <c r="C384" s="1" t="s">
        <v>300</v>
      </c>
      <c r="D384" s="1" t="s">
        <v>375</v>
      </c>
      <c r="E384" s="1" t="s">
        <v>287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376</v>
      </c>
    </row>
    <row r="385" customFormat="false" ht="14.25" hidden="false" customHeight="true" outlineLevel="0" collapsed="false">
      <c r="A385" s="1" t="s">
        <v>20</v>
      </c>
      <c r="B385" s="1" t="s">
        <v>288</v>
      </c>
      <c r="C385" s="1" t="s">
        <v>308</v>
      </c>
      <c r="D385" s="1" t="s">
        <v>377</v>
      </c>
      <c r="E385" s="1" t="s">
        <v>287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372</v>
      </c>
    </row>
    <row r="386" customFormat="false" ht="14.25" hidden="false" customHeight="true" outlineLevel="0" collapsed="false">
      <c r="A386" s="1" t="s">
        <v>11</v>
      </c>
      <c r="B386" s="1" t="s">
        <v>288</v>
      </c>
      <c r="C386" s="1" t="s">
        <v>300</v>
      </c>
      <c r="D386" s="1" t="s">
        <v>375</v>
      </c>
      <c r="E386" s="1" t="s">
        <v>287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376</v>
      </c>
    </row>
    <row r="387" customFormat="false" ht="14.25" hidden="false" customHeight="true" outlineLevel="0" collapsed="false">
      <c r="A387" s="1" t="s">
        <v>11</v>
      </c>
      <c r="B387" s="1" t="s">
        <v>288</v>
      </c>
      <c r="C387" s="1" t="s">
        <v>308</v>
      </c>
      <c r="D387" s="1" t="s">
        <v>377</v>
      </c>
      <c r="E387" s="1" t="s">
        <v>287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372</v>
      </c>
    </row>
    <row r="388" customFormat="false" ht="14.25" hidden="false" customHeight="true" outlineLevel="0" collapsed="false">
      <c r="A388" s="1" t="s">
        <v>21</v>
      </c>
      <c r="B388" s="1" t="s">
        <v>288</v>
      </c>
      <c r="C388" s="1" t="s">
        <v>300</v>
      </c>
      <c r="D388" s="1" t="s">
        <v>375</v>
      </c>
      <c r="E388" s="1" t="s">
        <v>287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376</v>
      </c>
    </row>
    <row r="389" customFormat="false" ht="14.25" hidden="false" customHeight="true" outlineLevel="0" collapsed="false">
      <c r="A389" s="1" t="s">
        <v>21</v>
      </c>
      <c r="B389" s="1" t="s">
        <v>288</v>
      </c>
      <c r="C389" s="1" t="s">
        <v>308</v>
      </c>
      <c r="D389" s="1" t="s">
        <v>377</v>
      </c>
      <c r="E389" s="1" t="s">
        <v>287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372</v>
      </c>
    </row>
    <row r="390" customFormat="false" ht="14.25" hidden="false" customHeight="true" outlineLevel="0" collapsed="false">
      <c r="A390" s="54" t="s">
        <v>378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379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270</v>
      </c>
      <c r="C393" s="51" t="s">
        <v>3</v>
      </c>
      <c r="D393" s="51" t="s">
        <v>380</v>
      </c>
      <c r="E393" s="51" t="s">
        <v>381</v>
      </c>
      <c r="F393" s="51" t="s">
        <v>382</v>
      </c>
      <c r="G393" s="51" t="s">
        <v>383</v>
      </c>
      <c r="H393" s="51" t="s">
        <v>384</v>
      </c>
      <c r="I393" s="51" t="s">
        <v>385</v>
      </c>
      <c r="J393" s="51" t="s">
        <v>386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275</v>
      </c>
      <c r="C394" s="52" t="s">
        <v>387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278</v>
      </c>
      <c r="C395" s="52" t="s">
        <v>387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280</v>
      </c>
      <c r="C396" s="52" t="s">
        <v>387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281</v>
      </c>
      <c r="C397" s="52" t="s">
        <v>387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284</v>
      </c>
      <c r="C398" s="52" t="s">
        <v>387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287</v>
      </c>
      <c r="C399" s="52" t="s">
        <v>387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293</v>
      </c>
      <c r="C400" s="52" t="s">
        <v>387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275</v>
      </c>
      <c r="C401" s="52" t="s">
        <v>387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278</v>
      </c>
      <c r="C402" s="52" t="s">
        <v>387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280</v>
      </c>
      <c r="C403" s="52" t="s">
        <v>387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281</v>
      </c>
      <c r="C404" s="52" t="s">
        <v>387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284</v>
      </c>
      <c r="C405" s="52" t="s">
        <v>387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287</v>
      </c>
      <c r="C406" s="52" t="s">
        <v>387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293</v>
      </c>
      <c r="C407" s="52" t="s">
        <v>387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275</v>
      </c>
      <c r="C408" s="52" t="s">
        <v>387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278</v>
      </c>
      <c r="C409" s="52" t="s">
        <v>387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280</v>
      </c>
      <c r="C410" s="52" t="s">
        <v>387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281</v>
      </c>
      <c r="C411" s="52" t="s">
        <v>387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284</v>
      </c>
      <c r="C412" s="52" t="s">
        <v>387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287</v>
      </c>
      <c r="C413" s="52" t="s">
        <v>387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293</v>
      </c>
      <c r="C414" s="52" t="s">
        <v>387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59" t="s">
        <v>388</v>
      </c>
    </row>
    <row r="2" customFormat="false" ht="15" hidden="false" customHeight="true" outlineLevel="0" collapsed="false">
      <c r="A2" s="60" t="s">
        <v>389</v>
      </c>
    </row>
    <row r="4" customFormat="false" ht="15" hidden="false" customHeight="true" outlineLevel="0" collapsed="false">
      <c r="A4" s="61" t="s">
        <v>9</v>
      </c>
      <c r="B4" s="61" t="s">
        <v>24</v>
      </c>
      <c r="C4" s="61" t="s">
        <v>151</v>
      </c>
      <c r="D4" s="61" t="s">
        <v>3</v>
      </c>
      <c r="E4" s="61" t="s">
        <v>152</v>
      </c>
      <c r="F4" s="61" t="s">
        <v>153</v>
      </c>
      <c r="G4" s="61" t="s">
        <v>390</v>
      </c>
      <c r="H4" s="61" t="s">
        <v>391</v>
      </c>
    </row>
    <row r="5" customFormat="false" ht="15" hidden="false" customHeight="true" outlineLevel="0" collapsed="false">
      <c r="A5" s="1" t="s">
        <v>392</v>
      </c>
      <c r="B5" s="1" t="s">
        <v>393</v>
      </c>
      <c r="C5" s="1" t="s">
        <v>394</v>
      </c>
      <c r="D5" s="1" t="s">
        <v>290</v>
      </c>
      <c r="E5" s="62" t="n">
        <v>13402</v>
      </c>
      <c r="F5" s="26" t="n">
        <v>0.187098400414136</v>
      </c>
      <c r="G5" s="26" t="n">
        <v>2507.49276235025</v>
      </c>
      <c r="H5" s="1" t="s">
        <v>395</v>
      </c>
    </row>
    <row r="6" customFormat="false" ht="15" hidden="false" customHeight="true" outlineLevel="0" collapsed="false">
      <c r="A6" s="1" t="s">
        <v>392</v>
      </c>
      <c r="B6" s="1" t="s">
        <v>396</v>
      </c>
      <c r="C6" s="1" t="s">
        <v>86</v>
      </c>
      <c r="D6" s="1" t="s">
        <v>290</v>
      </c>
      <c r="E6" s="62" t="n">
        <v>13402</v>
      </c>
      <c r="F6" s="26" t="n">
        <v>0.208713221370437</v>
      </c>
      <c r="G6" s="26" t="n">
        <v>2797.1745928066</v>
      </c>
      <c r="H6" s="1" t="s">
        <v>395</v>
      </c>
    </row>
    <row r="7" customFormat="false" ht="15" hidden="false" customHeight="true" outlineLevel="0" collapsed="false">
      <c r="A7" s="1" t="s">
        <v>392</v>
      </c>
      <c r="B7" s="1" t="s">
        <v>397</v>
      </c>
      <c r="C7" s="1" t="s">
        <v>398</v>
      </c>
      <c r="D7" s="1" t="s">
        <v>288</v>
      </c>
      <c r="E7" s="62" t="n">
        <v>0</v>
      </c>
      <c r="F7" s="26" t="n">
        <v>0</v>
      </c>
      <c r="G7" s="26" t="n">
        <v>0</v>
      </c>
      <c r="H7" s="1" t="s">
        <v>399</v>
      </c>
    </row>
    <row r="8" customFormat="false" ht="15" hidden="false" customHeight="true" outlineLevel="0" collapsed="false">
      <c r="A8" s="1" t="s">
        <v>392</v>
      </c>
      <c r="B8" s="1" t="s">
        <v>397</v>
      </c>
      <c r="C8" s="1" t="s">
        <v>400</v>
      </c>
      <c r="D8" s="1" t="s">
        <v>288</v>
      </c>
      <c r="E8" s="62" t="n">
        <v>16</v>
      </c>
      <c r="F8" s="26" t="n">
        <v>2.85</v>
      </c>
      <c r="G8" s="26" t="n">
        <v>45.6</v>
      </c>
      <c r="H8" s="1" t="s">
        <v>401</v>
      </c>
    </row>
    <row r="9" customFormat="false" ht="15" hidden="false" customHeight="true" outlineLevel="0" collapsed="false">
      <c r="A9" s="1" t="s">
        <v>392</v>
      </c>
      <c r="B9" s="1" t="s">
        <v>397</v>
      </c>
      <c r="C9" s="1" t="s">
        <v>398</v>
      </c>
      <c r="D9" s="1" t="s">
        <v>290</v>
      </c>
      <c r="E9" s="62" t="n">
        <v>0</v>
      </c>
      <c r="F9" s="26" t="n">
        <v>0</v>
      </c>
      <c r="G9" s="26" t="n">
        <v>0</v>
      </c>
      <c r="H9" s="1" t="s">
        <v>402</v>
      </c>
    </row>
    <row r="10" customFormat="false" ht="15" hidden="false" customHeight="true" outlineLevel="0" collapsed="false">
      <c r="A10" s="1" t="s">
        <v>392</v>
      </c>
      <c r="B10" s="1" t="s">
        <v>397</v>
      </c>
      <c r="C10" s="1" t="s">
        <v>403</v>
      </c>
      <c r="D10" s="1" t="s">
        <v>290</v>
      </c>
      <c r="E10" s="62" t="n">
        <v>0</v>
      </c>
      <c r="F10" s="26" t="n">
        <v>0</v>
      </c>
      <c r="G10" s="26" t="n">
        <v>0</v>
      </c>
      <c r="H10" s="1" t="s">
        <v>404</v>
      </c>
    </row>
    <row r="11" customFormat="false" ht="15" hidden="false" customHeight="true" outlineLevel="0" collapsed="false">
      <c r="A11" s="1" t="s">
        <v>392</v>
      </c>
      <c r="B11" s="1" t="s">
        <v>397</v>
      </c>
      <c r="C11" s="1" t="s">
        <v>398</v>
      </c>
      <c r="D11" s="1" t="s">
        <v>294</v>
      </c>
      <c r="E11" s="62" t="n">
        <v>0</v>
      </c>
      <c r="F11" s="26" t="n">
        <v>0</v>
      </c>
      <c r="G11" s="26" t="n">
        <v>0</v>
      </c>
      <c r="H11" s="1" t="s">
        <v>402</v>
      </c>
    </row>
    <row r="12" customFormat="false" ht="15" hidden="false" customHeight="true" outlineLevel="0" collapsed="false">
      <c r="A12" s="1" t="s">
        <v>392</v>
      </c>
      <c r="B12" s="1" t="s">
        <v>397</v>
      </c>
      <c r="C12" s="1" t="s">
        <v>400</v>
      </c>
      <c r="D12" s="1" t="s">
        <v>294</v>
      </c>
      <c r="E12" s="62" t="n">
        <v>10</v>
      </c>
      <c r="F12" s="26" t="n">
        <v>2.85</v>
      </c>
      <c r="G12" s="26" t="n">
        <v>28.5</v>
      </c>
      <c r="H12" s="1" t="s">
        <v>401</v>
      </c>
    </row>
    <row r="13" customFormat="false" ht="15" hidden="false" customHeight="true" outlineLevel="0" collapsed="false">
      <c r="A13" s="1" t="s">
        <v>392</v>
      </c>
      <c r="B13" s="1" t="s">
        <v>397</v>
      </c>
      <c r="C13" s="1" t="s">
        <v>398</v>
      </c>
      <c r="D13" s="1" t="s">
        <v>291</v>
      </c>
      <c r="E13" s="62" t="n">
        <v>0</v>
      </c>
      <c r="F13" s="26" t="n">
        <v>0</v>
      </c>
      <c r="G13" s="26" t="n">
        <v>0</v>
      </c>
      <c r="H13" s="1" t="s">
        <v>399</v>
      </c>
    </row>
    <row r="14" customFormat="false" ht="15" hidden="false" customHeight="true" outlineLevel="0" collapsed="false">
      <c r="A14" s="1" t="s">
        <v>392</v>
      </c>
      <c r="B14" s="1" t="s">
        <v>397</v>
      </c>
      <c r="C14" s="1" t="s">
        <v>400</v>
      </c>
      <c r="D14" s="1" t="s">
        <v>291</v>
      </c>
      <c r="E14" s="62" t="n">
        <v>0</v>
      </c>
      <c r="F14" s="26" t="n">
        <v>0</v>
      </c>
      <c r="G14" s="26" t="n">
        <v>0</v>
      </c>
      <c r="H14" s="1" t="s">
        <v>405</v>
      </c>
    </row>
    <row r="15" customFormat="false" ht="15" hidden="false" customHeight="true" outlineLevel="0" collapsed="false">
      <c r="A15" s="1" t="s">
        <v>392</v>
      </c>
      <c r="B15" s="1" t="s">
        <v>397</v>
      </c>
      <c r="C15" s="1" t="s">
        <v>398</v>
      </c>
      <c r="D15" s="1" t="s">
        <v>285</v>
      </c>
      <c r="E15" s="62" t="n">
        <v>0</v>
      </c>
      <c r="F15" s="26" t="n">
        <v>0</v>
      </c>
      <c r="G15" s="26" t="n">
        <v>0</v>
      </c>
      <c r="H15" s="1" t="s">
        <v>406</v>
      </c>
    </row>
    <row r="16" customFormat="false" ht="15" hidden="false" customHeight="true" outlineLevel="0" collapsed="false">
      <c r="A16" s="1" t="s">
        <v>392</v>
      </c>
      <c r="B16" s="1" t="s">
        <v>397</v>
      </c>
      <c r="C16" s="1" t="s">
        <v>400</v>
      </c>
      <c r="D16" s="1" t="s">
        <v>285</v>
      </c>
      <c r="E16" s="62" t="n">
        <v>20</v>
      </c>
      <c r="F16" s="26" t="n">
        <v>2.85</v>
      </c>
      <c r="G16" s="26" t="n">
        <v>57</v>
      </c>
      <c r="H16" s="1" t="s">
        <v>401</v>
      </c>
    </row>
    <row r="17" customFormat="false" ht="15" hidden="false" customHeight="true" outlineLevel="0" collapsed="false">
      <c r="A17" s="1" t="s">
        <v>392</v>
      </c>
      <c r="B17" s="1" t="s">
        <v>397</v>
      </c>
      <c r="C17" s="1" t="s">
        <v>398</v>
      </c>
      <c r="D17" s="1" t="s">
        <v>286</v>
      </c>
      <c r="E17" s="62" t="n">
        <v>0</v>
      </c>
      <c r="F17" s="26" t="n">
        <v>0</v>
      </c>
      <c r="G17" s="26" t="n">
        <v>0</v>
      </c>
      <c r="H17" s="1" t="s">
        <v>402</v>
      </c>
    </row>
    <row r="18" customFormat="false" ht="15" hidden="false" customHeight="true" outlineLevel="0" collapsed="false">
      <c r="A18" s="1" t="s">
        <v>392</v>
      </c>
      <c r="B18" s="1" t="s">
        <v>397</v>
      </c>
      <c r="C18" s="1" t="s">
        <v>398</v>
      </c>
      <c r="D18" s="1" t="s">
        <v>286</v>
      </c>
      <c r="E18" s="62" t="n">
        <v>0</v>
      </c>
      <c r="F18" s="26" t="n">
        <v>0</v>
      </c>
      <c r="G18" s="26" t="n">
        <v>0</v>
      </c>
      <c r="H18" s="1" t="s">
        <v>407</v>
      </c>
    </row>
    <row r="19" customFormat="false" ht="15" hidden="false" customHeight="true" outlineLevel="0" collapsed="false">
      <c r="A19" s="1" t="s">
        <v>392</v>
      </c>
      <c r="B19" s="1" t="s">
        <v>78</v>
      </c>
      <c r="C19" s="1" t="s">
        <v>408</v>
      </c>
      <c r="D19" s="1" t="s">
        <v>294</v>
      </c>
      <c r="E19" s="62" t="n">
        <v>3650</v>
      </c>
      <c r="F19" s="26" t="n">
        <v>0.457702446918301</v>
      </c>
      <c r="G19" s="26" t="n">
        <v>1670.6139312518</v>
      </c>
      <c r="H19" s="1" t="s">
        <v>395</v>
      </c>
    </row>
    <row r="20" customFormat="false" ht="15" hidden="false" customHeight="true" outlineLevel="0" collapsed="false">
      <c r="A20" s="1" t="s">
        <v>392</v>
      </c>
      <c r="B20" s="1" t="s">
        <v>78</v>
      </c>
      <c r="C20" s="1" t="s">
        <v>408</v>
      </c>
      <c r="D20" s="1" t="s">
        <v>291</v>
      </c>
      <c r="E20" s="62" t="n">
        <v>6396</v>
      </c>
      <c r="F20" s="26" t="n">
        <v>0.457702446918301</v>
      </c>
      <c r="G20" s="26" t="n">
        <v>2927.46485048945</v>
      </c>
      <c r="H20" s="1" t="s">
        <v>395</v>
      </c>
    </row>
    <row r="21" customFormat="false" ht="15" hidden="false" customHeight="true" outlineLevel="0" collapsed="false">
      <c r="A21" s="1" t="s">
        <v>392</v>
      </c>
      <c r="B21" s="1" t="s">
        <v>78</v>
      </c>
      <c r="C21" s="1" t="s">
        <v>408</v>
      </c>
      <c r="D21" s="1" t="s">
        <v>285</v>
      </c>
      <c r="E21" s="62" t="n">
        <v>14331</v>
      </c>
      <c r="F21" s="26" t="n">
        <v>0.457702446918301</v>
      </c>
      <c r="G21" s="26" t="n">
        <v>6559.33376678617</v>
      </c>
      <c r="H21" s="1" t="s">
        <v>395</v>
      </c>
    </row>
    <row r="22" customFormat="false" ht="15" hidden="false" customHeight="true" outlineLevel="0" collapsed="false">
      <c r="A22" s="1" t="s">
        <v>392</v>
      </c>
      <c r="B22" s="1" t="s">
        <v>78</v>
      </c>
      <c r="C22" s="1" t="s">
        <v>408</v>
      </c>
      <c r="D22" s="1" t="s">
        <v>283</v>
      </c>
      <c r="E22" s="62" t="n">
        <v>4782</v>
      </c>
      <c r="F22" s="26" t="n">
        <v>0.457702446918301</v>
      </c>
      <c r="G22" s="26" t="n">
        <v>2188.73310116332</v>
      </c>
      <c r="H22" s="1" t="s">
        <v>395</v>
      </c>
    </row>
    <row r="23" customFormat="false" ht="15" hidden="false" customHeight="true" outlineLevel="0" collapsed="false">
      <c r="A23" s="1" t="s">
        <v>392</v>
      </c>
      <c r="B23" s="1" t="s">
        <v>409</v>
      </c>
      <c r="C23" s="1" t="s">
        <v>410</v>
      </c>
      <c r="D23" s="1" t="s">
        <v>276</v>
      </c>
      <c r="E23" s="62" t="n">
        <v>6246</v>
      </c>
      <c r="F23" s="26" t="n">
        <v>1.86</v>
      </c>
      <c r="G23" s="26" t="n">
        <v>11617.56</v>
      </c>
      <c r="H23" s="1" t="s">
        <v>411</v>
      </c>
    </row>
    <row r="24" customFormat="false" ht="15" hidden="false" customHeight="true" outlineLevel="0" collapsed="false">
      <c r="A24" s="1" t="s">
        <v>392</v>
      </c>
      <c r="B24" s="1" t="s">
        <v>409</v>
      </c>
      <c r="C24" s="1" t="s">
        <v>410</v>
      </c>
      <c r="D24" s="1" t="s">
        <v>288</v>
      </c>
      <c r="E24" s="62" t="n">
        <v>296</v>
      </c>
      <c r="F24" s="26" t="n">
        <v>1.86</v>
      </c>
      <c r="G24" s="26" t="n">
        <v>550.56</v>
      </c>
      <c r="H24" s="1" t="s">
        <v>411</v>
      </c>
    </row>
    <row r="25" customFormat="false" ht="15" hidden="false" customHeight="true" outlineLevel="0" collapsed="false">
      <c r="A25" s="1" t="s">
        <v>392</v>
      </c>
      <c r="B25" s="1" t="s">
        <v>409</v>
      </c>
      <c r="C25" s="1" t="s">
        <v>412</v>
      </c>
      <c r="D25" s="1" t="s">
        <v>288</v>
      </c>
      <c r="E25" s="62" t="n">
        <v>2</v>
      </c>
      <c r="F25" s="26" t="n">
        <v>383.56</v>
      </c>
      <c r="G25" s="26" t="n">
        <v>767.12</v>
      </c>
      <c r="H25" s="1" t="s">
        <v>413</v>
      </c>
    </row>
    <row r="26" customFormat="false" ht="15" hidden="false" customHeight="true" outlineLevel="0" collapsed="false">
      <c r="A26" s="1" t="s">
        <v>392</v>
      </c>
      <c r="B26" s="1" t="s">
        <v>409</v>
      </c>
      <c r="C26" s="1" t="s">
        <v>414</v>
      </c>
      <c r="D26" s="1" t="s">
        <v>288</v>
      </c>
      <c r="E26" s="62" t="n">
        <v>0</v>
      </c>
      <c r="F26" s="26" t="n">
        <v>0</v>
      </c>
      <c r="G26" s="26" t="n">
        <v>0</v>
      </c>
      <c r="H26" s="1" t="s">
        <v>415</v>
      </c>
    </row>
    <row r="27" customFormat="false" ht="15" hidden="false" customHeight="true" outlineLevel="0" collapsed="false">
      <c r="A27" s="1" t="s">
        <v>392</v>
      </c>
      <c r="B27" s="1" t="s">
        <v>409</v>
      </c>
      <c r="C27" s="1" t="s">
        <v>416</v>
      </c>
      <c r="D27" s="1" t="s">
        <v>288</v>
      </c>
      <c r="E27" s="62" t="n">
        <v>3</v>
      </c>
      <c r="F27" s="26" t="n">
        <v>300.37</v>
      </c>
      <c r="G27" s="26" t="n">
        <v>901.11</v>
      </c>
      <c r="H27" s="1" t="s">
        <v>417</v>
      </c>
    </row>
    <row r="28" customFormat="false" ht="15" hidden="false" customHeight="true" outlineLevel="0" collapsed="false">
      <c r="A28" s="1" t="s">
        <v>392</v>
      </c>
      <c r="B28" s="1" t="s">
        <v>409</v>
      </c>
      <c r="C28" s="1" t="s">
        <v>418</v>
      </c>
      <c r="D28" s="1" t="s">
        <v>288</v>
      </c>
      <c r="E28" s="62" t="n">
        <v>-1</v>
      </c>
      <c r="F28" s="26" t="n">
        <v>812.42</v>
      </c>
      <c r="G28" s="26" t="n">
        <v>-812.42</v>
      </c>
      <c r="H28" s="1" t="s">
        <v>419</v>
      </c>
    </row>
    <row r="29" customFormat="false" ht="15" hidden="false" customHeight="true" outlineLevel="0" collapsed="false">
      <c r="A29" s="1" t="s">
        <v>392</v>
      </c>
      <c r="B29" s="1" t="s">
        <v>409</v>
      </c>
      <c r="C29" s="1" t="s">
        <v>418</v>
      </c>
      <c r="D29" s="1" t="s">
        <v>288</v>
      </c>
      <c r="E29" s="62" t="n">
        <v>-1</v>
      </c>
      <c r="F29" s="26" t="n">
        <v>4015.98</v>
      </c>
      <c r="G29" s="26" t="n">
        <v>-4015.98</v>
      </c>
      <c r="H29" s="1" t="s">
        <v>420</v>
      </c>
    </row>
    <row r="30" customFormat="false" ht="15" hidden="false" customHeight="true" outlineLevel="0" collapsed="false">
      <c r="A30" s="1" t="s">
        <v>392</v>
      </c>
      <c r="B30" s="1" t="s">
        <v>409</v>
      </c>
      <c r="C30" s="1" t="s">
        <v>421</v>
      </c>
      <c r="D30" s="1" t="s">
        <v>288</v>
      </c>
      <c r="E30" s="62" t="n">
        <v>0</v>
      </c>
      <c r="F30" s="26" t="n">
        <v>0</v>
      </c>
      <c r="G30" s="26" t="n">
        <v>0</v>
      </c>
      <c r="H30" s="1" t="s">
        <v>422</v>
      </c>
    </row>
    <row r="31" customFormat="false" ht="15" hidden="false" customHeight="true" outlineLevel="0" collapsed="false">
      <c r="A31" s="1" t="s">
        <v>392</v>
      </c>
      <c r="B31" s="1" t="s">
        <v>409</v>
      </c>
      <c r="C31" s="1" t="s">
        <v>423</v>
      </c>
      <c r="D31" s="1" t="s">
        <v>288</v>
      </c>
      <c r="E31" s="62" t="n">
        <v>0</v>
      </c>
      <c r="F31" s="26" t="n">
        <v>0</v>
      </c>
      <c r="G31" s="26" t="n">
        <v>0</v>
      </c>
      <c r="H31" s="1" t="s">
        <v>422</v>
      </c>
    </row>
    <row r="32" customFormat="false" ht="15" hidden="false" customHeight="true" outlineLevel="0" collapsed="false">
      <c r="A32" s="1" t="s">
        <v>392</v>
      </c>
      <c r="B32" s="1" t="s">
        <v>409</v>
      </c>
      <c r="C32" s="1" t="s">
        <v>424</v>
      </c>
      <c r="D32" s="1" t="s">
        <v>288</v>
      </c>
      <c r="E32" s="62" t="n">
        <v>0</v>
      </c>
      <c r="F32" s="26" t="n">
        <v>0</v>
      </c>
      <c r="G32" s="26" t="n">
        <v>0</v>
      </c>
      <c r="H32" s="1" t="s">
        <v>422</v>
      </c>
    </row>
    <row r="33" customFormat="false" ht="15" hidden="false" customHeight="true" outlineLevel="0" collapsed="false">
      <c r="A33" s="1" t="s">
        <v>392</v>
      </c>
      <c r="B33" s="1" t="s">
        <v>409</v>
      </c>
      <c r="C33" s="1" t="s">
        <v>425</v>
      </c>
      <c r="D33" s="1" t="s">
        <v>288</v>
      </c>
      <c r="E33" s="62" t="n">
        <v>0</v>
      </c>
      <c r="F33" s="26" t="n">
        <v>0</v>
      </c>
      <c r="G33" s="26" t="n">
        <v>0</v>
      </c>
      <c r="H33" s="1" t="s">
        <v>422</v>
      </c>
    </row>
    <row r="34" customFormat="false" ht="15" hidden="false" customHeight="true" outlineLevel="0" collapsed="false">
      <c r="A34" s="1" t="s">
        <v>392</v>
      </c>
      <c r="B34" s="1" t="s">
        <v>409</v>
      </c>
      <c r="C34" s="1" t="s">
        <v>426</v>
      </c>
      <c r="D34" s="1" t="s">
        <v>288</v>
      </c>
      <c r="E34" s="62" t="n">
        <v>0</v>
      </c>
      <c r="F34" s="26" t="n">
        <v>0</v>
      </c>
      <c r="G34" s="26" t="n">
        <v>0</v>
      </c>
      <c r="H34" s="1" t="s">
        <v>422</v>
      </c>
    </row>
    <row r="35" customFormat="false" ht="15" hidden="false" customHeight="true" outlineLevel="0" collapsed="false">
      <c r="A35" s="1" t="s">
        <v>392</v>
      </c>
      <c r="B35" s="1" t="s">
        <v>409</v>
      </c>
      <c r="C35" s="1" t="s">
        <v>427</v>
      </c>
      <c r="D35" s="1" t="s">
        <v>290</v>
      </c>
      <c r="E35" s="62" t="n">
        <v>1</v>
      </c>
      <c r="F35" s="26" t="n">
        <v>33.5</v>
      </c>
      <c r="G35" s="26" t="n">
        <v>33.5</v>
      </c>
      <c r="H35" s="1" t="s">
        <v>428</v>
      </c>
    </row>
    <row r="36" customFormat="false" ht="15" hidden="false" customHeight="true" outlineLevel="0" collapsed="false">
      <c r="A36" s="1" t="s">
        <v>392</v>
      </c>
      <c r="B36" s="1" t="s">
        <v>409</v>
      </c>
      <c r="C36" s="1" t="s">
        <v>427</v>
      </c>
      <c r="D36" s="1" t="s">
        <v>290</v>
      </c>
      <c r="E36" s="62" t="n">
        <v>1</v>
      </c>
      <c r="F36" s="26" t="n">
        <v>22</v>
      </c>
      <c r="G36" s="26" t="n">
        <v>22</v>
      </c>
      <c r="H36" s="1" t="s">
        <v>429</v>
      </c>
    </row>
    <row r="37" customFormat="false" ht="15" hidden="false" customHeight="true" outlineLevel="0" collapsed="false">
      <c r="A37" s="1" t="s">
        <v>392</v>
      </c>
      <c r="B37" s="1" t="s">
        <v>409</v>
      </c>
      <c r="C37" s="1" t="s">
        <v>410</v>
      </c>
      <c r="D37" s="1" t="s">
        <v>290</v>
      </c>
      <c r="E37" s="62" t="n">
        <v>328</v>
      </c>
      <c r="F37" s="26" t="n">
        <v>1.86</v>
      </c>
      <c r="G37" s="26" t="n">
        <v>610.08</v>
      </c>
      <c r="H37" s="1" t="s">
        <v>411</v>
      </c>
    </row>
    <row r="38" customFormat="false" ht="15" hidden="false" customHeight="true" outlineLevel="0" collapsed="false">
      <c r="A38" s="1" t="s">
        <v>392</v>
      </c>
      <c r="B38" s="1" t="s">
        <v>409</v>
      </c>
      <c r="C38" s="1" t="s">
        <v>412</v>
      </c>
      <c r="D38" s="1" t="s">
        <v>290</v>
      </c>
      <c r="E38" s="62" t="n">
        <v>5</v>
      </c>
      <c r="F38" s="26" t="n">
        <v>383.56</v>
      </c>
      <c r="G38" s="26" t="n">
        <v>1917.8</v>
      </c>
      <c r="H38" s="1" t="s">
        <v>430</v>
      </c>
    </row>
    <row r="39" customFormat="false" ht="15" hidden="false" customHeight="true" outlineLevel="0" collapsed="false">
      <c r="A39" s="1" t="s">
        <v>392</v>
      </c>
      <c r="B39" s="1" t="s">
        <v>409</v>
      </c>
      <c r="C39" s="1" t="s">
        <v>414</v>
      </c>
      <c r="D39" s="1" t="s">
        <v>290</v>
      </c>
      <c r="E39" s="62" t="n">
        <v>1</v>
      </c>
      <c r="F39" s="26" t="n">
        <v>338.53</v>
      </c>
      <c r="G39" s="26" t="n">
        <v>338.53</v>
      </c>
      <c r="H39" s="1" t="s">
        <v>431</v>
      </c>
    </row>
    <row r="40" customFormat="false" ht="15" hidden="false" customHeight="true" outlineLevel="0" collapsed="false">
      <c r="A40" s="1" t="s">
        <v>392</v>
      </c>
      <c r="B40" s="1" t="s">
        <v>409</v>
      </c>
      <c r="C40" s="1" t="s">
        <v>416</v>
      </c>
      <c r="D40" s="1" t="s">
        <v>290</v>
      </c>
      <c r="E40" s="62" t="n">
        <v>1</v>
      </c>
      <c r="F40" s="26" t="n">
        <v>400.26</v>
      </c>
      <c r="G40" s="26" t="n">
        <v>400.26</v>
      </c>
      <c r="H40" s="1" t="s">
        <v>432</v>
      </c>
    </row>
    <row r="41" customFormat="false" ht="15" hidden="false" customHeight="true" outlineLevel="0" collapsed="false">
      <c r="A41" s="1" t="s">
        <v>392</v>
      </c>
      <c r="B41" s="1" t="s">
        <v>409</v>
      </c>
      <c r="C41" s="1" t="s">
        <v>418</v>
      </c>
      <c r="D41" s="1" t="s">
        <v>290</v>
      </c>
      <c r="E41" s="62" t="n">
        <v>1</v>
      </c>
      <c r="F41" s="26" t="n">
        <v>268.13</v>
      </c>
      <c r="G41" s="26" t="n">
        <v>268.13</v>
      </c>
      <c r="H41" s="1" t="s">
        <v>433</v>
      </c>
    </row>
    <row r="42" customFormat="false" ht="15" hidden="false" customHeight="true" outlineLevel="0" collapsed="false">
      <c r="A42" s="1" t="s">
        <v>392</v>
      </c>
      <c r="B42" s="1" t="s">
        <v>409</v>
      </c>
      <c r="C42" s="1" t="s">
        <v>418</v>
      </c>
      <c r="D42" s="1" t="s">
        <v>290</v>
      </c>
      <c r="E42" s="62" t="n">
        <v>52</v>
      </c>
      <c r="F42" s="26" t="n">
        <v>20.06</v>
      </c>
      <c r="G42" s="26" t="n">
        <v>1043.12</v>
      </c>
      <c r="H42" s="1" t="s">
        <v>434</v>
      </c>
    </row>
    <row r="43" customFormat="false" ht="15" hidden="false" customHeight="true" outlineLevel="0" collapsed="false">
      <c r="A43" s="1" t="s">
        <v>392</v>
      </c>
      <c r="B43" s="1" t="s">
        <v>409</v>
      </c>
      <c r="C43" s="1" t="s">
        <v>435</v>
      </c>
      <c r="D43" s="1" t="s">
        <v>290</v>
      </c>
      <c r="E43" s="62" t="n">
        <v>0</v>
      </c>
      <c r="F43" s="26" t="n">
        <v>0</v>
      </c>
      <c r="G43" s="26" t="n">
        <v>0</v>
      </c>
      <c r="H43" s="1" t="s">
        <v>422</v>
      </c>
    </row>
    <row r="44" customFormat="false" ht="15" hidden="false" customHeight="true" outlineLevel="0" collapsed="false">
      <c r="A44" s="1" t="s">
        <v>392</v>
      </c>
      <c r="B44" s="1" t="s">
        <v>409</v>
      </c>
      <c r="C44" s="1" t="s">
        <v>423</v>
      </c>
      <c r="D44" s="1" t="s">
        <v>290</v>
      </c>
      <c r="E44" s="62" t="n">
        <v>1</v>
      </c>
      <c r="F44" s="26" t="n">
        <v>0</v>
      </c>
      <c r="G44" s="26" t="n">
        <v>0</v>
      </c>
      <c r="H44" s="1" t="s">
        <v>422</v>
      </c>
    </row>
    <row r="45" customFormat="false" ht="15" hidden="false" customHeight="true" outlineLevel="0" collapsed="false">
      <c r="A45" s="1" t="s">
        <v>392</v>
      </c>
      <c r="B45" s="1" t="s">
        <v>409</v>
      </c>
      <c r="C45" s="1" t="s">
        <v>436</v>
      </c>
      <c r="D45" s="1" t="s">
        <v>290</v>
      </c>
      <c r="E45" s="62" t="n">
        <v>0</v>
      </c>
      <c r="F45" s="26" t="n">
        <v>0</v>
      </c>
      <c r="G45" s="26" t="n">
        <v>0</v>
      </c>
      <c r="H45" s="1" t="s">
        <v>422</v>
      </c>
    </row>
    <row r="46" customFormat="false" ht="15" hidden="false" customHeight="true" outlineLevel="0" collapsed="false">
      <c r="A46" s="1" t="s">
        <v>392</v>
      </c>
      <c r="B46" s="1" t="s">
        <v>409</v>
      </c>
      <c r="C46" s="1" t="s">
        <v>437</v>
      </c>
      <c r="D46" s="1" t="s">
        <v>290</v>
      </c>
      <c r="E46" s="62" t="n">
        <v>1</v>
      </c>
      <c r="F46" s="26" t="n">
        <v>0</v>
      </c>
      <c r="G46" s="26" t="n">
        <v>0</v>
      </c>
      <c r="H46" s="1" t="s">
        <v>422</v>
      </c>
    </row>
    <row r="47" customFormat="false" ht="15" hidden="false" customHeight="true" outlineLevel="0" collapsed="false">
      <c r="A47" s="1" t="s">
        <v>392</v>
      </c>
      <c r="B47" s="1" t="s">
        <v>409</v>
      </c>
      <c r="C47" s="1" t="s">
        <v>438</v>
      </c>
      <c r="D47" s="1" t="s">
        <v>290</v>
      </c>
      <c r="E47" s="62" t="n">
        <v>0</v>
      </c>
      <c r="F47" s="26" t="n">
        <v>0</v>
      </c>
      <c r="G47" s="26" t="n">
        <v>0</v>
      </c>
      <c r="H47" s="1" t="s">
        <v>422</v>
      </c>
    </row>
    <row r="48" customFormat="false" ht="15" hidden="false" customHeight="true" outlineLevel="0" collapsed="false">
      <c r="A48" s="1" t="s">
        <v>392</v>
      </c>
      <c r="B48" s="1" t="s">
        <v>409</v>
      </c>
      <c r="C48" s="1" t="s">
        <v>439</v>
      </c>
      <c r="D48" s="1" t="s">
        <v>290</v>
      </c>
      <c r="E48" s="62" t="n">
        <v>0</v>
      </c>
      <c r="F48" s="26" t="n">
        <v>0</v>
      </c>
      <c r="G48" s="26" t="n">
        <v>0</v>
      </c>
      <c r="H48" s="1" t="s">
        <v>422</v>
      </c>
    </row>
    <row r="49" customFormat="false" ht="15" hidden="false" customHeight="true" outlineLevel="0" collapsed="false">
      <c r="A49" s="1" t="s">
        <v>392</v>
      </c>
      <c r="B49" s="1" t="s">
        <v>409</v>
      </c>
      <c r="C49" s="1" t="s">
        <v>410</v>
      </c>
      <c r="D49" s="1" t="s">
        <v>294</v>
      </c>
      <c r="E49" s="62" t="n">
        <v>236</v>
      </c>
      <c r="F49" s="26" t="n">
        <v>1.86</v>
      </c>
      <c r="G49" s="26" t="n">
        <v>438.96</v>
      </c>
      <c r="H49" s="1" t="s">
        <v>411</v>
      </c>
    </row>
    <row r="50" customFormat="false" ht="15" hidden="false" customHeight="true" outlineLevel="0" collapsed="false">
      <c r="A50" s="1" t="s">
        <v>392</v>
      </c>
      <c r="B50" s="1" t="s">
        <v>409</v>
      </c>
      <c r="C50" s="1" t="s">
        <v>412</v>
      </c>
      <c r="D50" s="1" t="s">
        <v>294</v>
      </c>
      <c r="E50" s="62" t="n">
        <v>0</v>
      </c>
      <c r="F50" s="26" t="n">
        <v>0</v>
      </c>
      <c r="G50" s="26" t="n">
        <v>0</v>
      </c>
      <c r="H50" s="1" t="s">
        <v>413</v>
      </c>
    </row>
    <row r="51" customFormat="false" ht="15" hidden="false" customHeight="true" outlineLevel="0" collapsed="false">
      <c r="A51" s="1" t="s">
        <v>392</v>
      </c>
      <c r="B51" s="1" t="s">
        <v>409</v>
      </c>
      <c r="C51" s="1" t="s">
        <v>414</v>
      </c>
      <c r="D51" s="1" t="s">
        <v>294</v>
      </c>
      <c r="E51" s="62" t="n">
        <v>2</v>
      </c>
      <c r="F51" s="26" t="n">
        <v>338.53</v>
      </c>
      <c r="G51" s="26" t="n">
        <v>677.06</v>
      </c>
      <c r="H51" s="1" t="s">
        <v>413</v>
      </c>
    </row>
    <row r="52" customFormat="false" ht="15" hidden="false" customHeight="true" outlineLevel="0" collapsed="false">
      <c r="A52" s="1" t="s">
        <v>392</v>
      </c>
      <c r="B52" s="1" t="s">
        <v>409</v>
      </c>
      <c r="C52" s="1" t="s">
        <v>416</v>
      </c>
      <c r="D52" s="1" t="s">
        <v>294</v>
      </c>
      <c r="E52" s="62" t="n">
        <v>1</v>
      </c>
      <c r="F52" s="26" t="n">
        <v>300.37</v>
      </c>
      <c r="G52" s="26" t="n">
        <v>300.37</v>
      </c>
      <c r="H52" s="1" t="s">
        <v>440</v>
      </c>
    </row>
    <row r="53" customFormat="false" ht="15" hidden="false" customHeight="true" outlineLevel="0" collapsed="false">
      <c r="A53" s="1" t="s">
        <v>392</v>
      </c>
      <c r="B53" s="1" t="s">
        <v>409</v>
      </c>
      <c r="C53" s="1" t="s">
        <v>423</v>
      </c>
      <c r="D53" s="1" t="s">
        <v>294</v>
      </c>
      <c r="E53" s="62" t="n">
        <v>1</v>
      </c>
      <c r="F53" s="26" t="n">
        <v>0</v>
      </c>
      <c r="G53" s="26" t="n">
        <v>0</v>
      </c>
      <c r="H53" s="1" t="s">
        <v>422</v>
      </c>
    </row>
    <row r="54" customFormat="false" ht="15" hidden="false" customHeight="true" outlineLevel="0" collapsed="false">
      <c r="A54" s="1" t="s">
        <v>392</v>
      </c>
      <c r="B54" s="1" t="s">
        <v>409</v>
      </c>
      <c r="C54" s="1" t="s">
        <v>441</v>
      </c>
      <c r="D54" s="1" t="s">
        <v>294</v>
      </c>
      <c r="E54" s="62" t="n">
        <v>1</v>
      </c>
      <c r="F54" s="26" t="n">
        <v>0</v>
      </c>
      <c r="G54" s="26" t="n">
        <v>0</v>
      </c>
      <c r="H54" s="1" t="s">
        <v>422</v>
      </c>
    </row>
    <row r="55" customFormat="false" ht="15" hidden="false" customHeight="true" outlineLevel="0" collapsed="false">
      <c r="A55" s="1" t="s">
        <v>392</v>
      </c>
      <c r="B55" s="1" t="s">
        <v>409</v>
      </c>
      <c r="C55" s="1" t="s">
        <v>442</v>
      </c>
      <c r="D55" s="1" t="s">
        <v>294</v>
      </c>
      <c r="E55" s="62" t="n">
        <v>0</v>
      </c>
      <c r="F55" s="26" t="n">
        <v>0</v>
      </c>
      <c r="G55" s="26" t="n">
        <v>0</v>
      </c>
      <c r="H55" s="1" t="s">
        <v>422</v>
      </c>
    </row>
    <row r="56" customFormat="false" ht="15" hidden="false" customHeight="true" outlineLevel="0" collapsed="false">
      <c r="A56" s="1" t="s">
        <v>392</v>
      </c>
      <c r="B56" s="1" t="s">
        <v>409</v>
      </c>
      <c r="C56" s="1" t="s">
        <v>443</v>
      </c>
      <c r="D56" s="1" t="s">
        <v>294</v>
      </c>
      <c r="E56" s="62" t="n">
        <v>0</v>
      </c>
      <c r="F56" s="26" t="n">
        <v>0</v>
      </c>
      <c r="G56" s="26" t="n">
        <v>0</v>
      </c>
      <c r="H56" s="1" t="s">
        <v>422</v>
      </c>
    </row>
    <row r="57" customFormat="false" ht="15" hidden="false" customHeight="true" outlineLevel="0" collapsed="false">
      <c r="A57" s="1" t="s">
        <v>392</v>
      </c>
      <c r="B57" s="1" t="s">
        <v>409</v>
      </c>
      <c r="C57" s="1" t="s">
        <v>410</v>
      </c>
      <c r="D57" s="1" t="s">
        <v>291</v>
      </c>
      <c r="E57" s="62" t="n">
        <v>666</v>
      </c>
      <c r="F57" s="26" t="n">
        <v>1.86</v>
      </c>
      <c r="G57" s="26" t="n">
        <v>1238.76</v>
      </c>
      <c r="H57" s="1" t="s">
        <v>411</v>
      </c>
    </row>
    <row r="58" customFormat="false" ht="15" hidden="false" customHeight="true" outlineLevel="0" collapsed="false">
      <c r="A58" s="1" t="s">
        <v>392</v>
      </c>
      <c r="B58" s="1" t="s">
        <v>409</v>
      </c>
      <c r="C58" s="1" t="s">
        <v>412</v>
      </c>
      <c r="D58" s="1" t="s">
        <v>291</v>
      </c>
      <c r="E58" s="62" t="n">
        <v>4</v>
      </c>
      <c r="F58" s="26" t="n">
        <v>383.56</v>
      </c>
      <c r="G58" s="26" t="n">
        <v>1534.24</v>
      </c>
      <c r="H58" s="1" t="s">
        <v>444</v>
      </c>
    </row>
    <row r="59" customFormat="false" ht="15" hidden="false" customHeight="true" outlineLevel="0" collapsed="false">
      <c r="A59" s="1" t="s">
        <v>392</v>
      </c>
      <c r="B59" s="1" t="s">
        <v>409</v>
      </c>
      <c r="C59" s="1" t="s">
        <v>414</v>
      </c>
      <c r="D59" s="1" t="s">
        <v>291</v>
      </c>
      <c r="E59" s="62" t="n">
        <v>4</v>
      </c>
      <c r="F59" s="26" t="n">
        <v>338.53</v>
      </c>
      <c r="G59" s="26" t="n">
        <v>1354.12</v>
      </c>
      <c r="H59" s="1" t="s">
        <v>445</v>
      </c>
    </row>
    <row r="60" customFormat="false" ht="15" hidden="false" customHeight="true" outlineLevel="0" collapsed="false">
      <c r="A60" s="1" t="s">
        <v>392</v>
      </c>
      <c r="B60" s="1" t="s">
        <v>409</v>
      </c>
      <c r="C60" s="1" t="s">
        <v>416</v>
      </c>
      <c r="D60" s="1" t="s">
        <v>291</v>
      </c>
      <c r="E60" s="62" t="n">
        <v>2</v>
      </c>
      <c r="F60" s="26" t="n">
        <v>400.26</v>
      </c>
      <c r="G60" s="26" t="n">
        <v>800.52</v>
      </c>
      <c r="H60" s="1" t="s">
        <v>446</v>
      </c>
    </row>
    <row r="61" customFormat="false" ht="15" hidden="false" customHeight="true" outlineLevel="0" collapsed="false">
      <c r="A61" s="1" t="s">
        <v>392</v>
      </c>
      <c r="B61" s="1" t="s">
        <v>409</v>
      </c>
      <c r="C61" s="1" t="s">
        <v>418</v>
      </c>
      <c r="D61" s="1" t="s">
        <v>291</v>
      </c>
      <c r="E61" s="62" t="n">
        <v>1</v>
      </c>
      <c r="F61" s="26" t="n">
        <v>588.98</v>
      </c>
      <c r="G61" s="26" t="n">
        <v>588.98</v>
      </c>
      <c r="H61" s="1" t="s">
        <v>447</v>
      </c>
    </row>
    <row r="62" customFormat="false" ht="15" hidden="false" customHeight="true" outlineLevel="0" collapsed="false">
      <c r="A62" s="1" t="s">
        <v>392</v>
      </c>
      <c r="B62" s="1" t="s">
        <v>409</v>
      </c>
      <c r="C62" s="1" t="s">
        <v>418</v>
      </c>
      <c r="D62" s="1" t="s">
        <v>291</v>
      </c>
      <c r="E62" s="62" t="n">
        <v>149</v>
      </c>
      <c r="F62" s="26" t="n">
        <v>20.06</v>
      </c>
      <c r="G62" s="26" t="n">
        <v>2988.94</v>
      </c>
      <c r="H62" s="1" t="s">
        <v>448</v>
      </c>
    </row>
    <row r="63" customFormat="false" ht="15" hidden="false" customHeight="true" outlineLevel="0" collapsed="false">
      <c r="A63" s="1" t="s">
        <v>392</v>
      </c>
      <c r="B63" s="1" t="s">
        <v>409</v>
      </c>
      <c r="C63" s="1" t="s">
        <v>449</v>
      </c>
      <c r="D63" s="1" t="s">
        <v>291</v>
      </c>
      <c r="E63" s="62" t="n">
        <v>2</v>
      </c>
      <c r="F63" s="26" t="n">
        <v>0</v>
      </c>
      <c r="G63" s="26" t="n">
        <v>0</v>
      </c>
      <c r="H63" s="1" t="s">
        <v>422</v>
      </c>
    </row>
    <row r="64" customFormat="false" ht="15" hidden="false" customHeight="true" outlineLevel="0" collapsed="false">
      <c r="A64" s="1" t="s">
        <v>392</v>
      </c>
      <c r="B64" s="1" t="s">
        <v>409</v>
      </c>
      <c r="C64" s="1" t="s">
        <v>450</v>
      </c>
      <c r="D64" s="1" t="s">
        <v>291</v>
      </c>
      <c r="E64" s="62" t="n">
        <v>0</v>
      </c>
      <c r="F64" s="26" t="n">
        <v>0</v>
      </c>
      <c r="G64" s="26" t="n">
        <v>0</v>
      </c>
      <c r="H64" s="1" t="s">
        <v>422</v>
      </c>
    </row>
    <row r="65" customFormat="false" ht="15" hidden="false" customHeight="true" outlineLevel="0" collapsed="false">
      <c r="A65" s="1" t="s">
        <v>392</v>
      </c>
      <c r="B65" s="1" t="s">
        <v>409</v>
      </c>
      <c r="C65" s="1" t="s">
        <v>451</v>
      </c>
      <c r="D65" s="1" t="s">
        <v>291</v>
      </c>
      <c r="E65" s="62" t="n">
        <v>2</v>
      </c>
      <c r="F65" s="26" t="n">
        <v>0</v>
      </c>
      <c r="G65" s="26" t="n">
        <v>0</v>
      </c>
      <c r="H65" s="1" t="s">
        <v>422</v>
      </c>
    </row>
    <row r="66" customFormat="false" ht="15" hidden="false" customHeight="true" outlineLevel="0" collapsed="false">
      <c r="A66" s="1" t="s">
        <v>392</v>
      </c>
      <c r="B66" s="1" t="s">
        <v>409</v>
      </c>
      <c r="C66" s="1" t="s">
        <v>452</v>
      </c>
      <c r="D66" s="1" t="s">
        <v>291</v>
      </c>
      <c r="E66" s="62" t="n">
        <v>0</v>
      </c>
      <c r="F66" s="26" t="n">
        <v>0</v>
      </c>
      <c r="G66" s="26" t="n">
        <v>0</v>
      </c>
      <c r="H66" s="1" t="s">
        <v>422</v>
      </c>
    </row>
    <row r="67" customFormat="false" ht="15" hidden="false" customHeight="true" outlineLevel="0" collapsed="false">
      <c r="A67" s="1" t="s">
        <v>392</v>
      </c>
      <c r="B67" s="1" t="s">
        <v>409</v>
      </c>
      <c r="C67" s="1" t="s">
        <v>410</v>
      </c>
      <c r="D67" s="1" t="s">
        <v>285</v>
      </c>
      <c r="E67" s="62" t="n">
        <v>537</v>
      </c>
      <c r="F67" s="26" t="n">
        <v>1.86</v>
      </c>
      <c r="G67" s="26" t="n">
        <v>998.82</v>
      </c>
      <c r="H67" s="1" t="s">
        <v>411</v>
      </c>
    </row>
    <row r="68" customFormat="false" ht="15" hidden="false" customHeight="true" outlineLevel="0" collapsed="false">
      <c r="A68" s="1" t="s">
        <v>392</v>
      </c>
      <c r="B68" s="1" t="s">
        <v>409</v>
      </c>
      <c r="C68" s="1" t="s">
        <v>412</v>
      </c>
      <c r="D68" s="1" t="s">
        <v>285</v>
      </c>
      <c r="E68" s="62" t="n">
        <v>1</v>
      </c>
      <c r="F68" s="26" t="n">
        <v>383.56</v>
      </c>
      <c r="G68" s="26" t="n">
        <v>383.56</v>
      </c>
      <c r="H68" s="1" t="s">
        <v>453</v>
      </c>
    </row>
    <row r="69" customFormat="false" ht="15" hidden="false" customHeight="true" outlineLevel="0" collapsed="false">
      <c r="A69" s="1" t="s">
        <v>392</v>
      </c>
      <c r="B69" s="1" t="s">
        <v>409</v>
      </c>
      <c r="C69" s="1" t="s">
        <v>414</v>
      </c>
      <c r="D69" s="1" t="s">
        <v>285</v>
      </c>
      <c r="E69" s="62" t="n">
        <v>4</v>
      </c>
      <c r="F69" s="26" t="n">
        <v>338.53</v>
      </c>
      <c r="G69" s="26" t="n">
        <v>1354.12</v>
      </c>
      <c r="H69" s="1" t="s">
        <v>454</v>
      </c>
    </row>
    <row r="70" customFormat="false" ht="15" hidden="false" customHeight="true" outlineLevel="0" collapsed="false">
      <c r="A70" s="1" t="s">
        <v>392</v>
      </c>
      <c r="B70" s="1" t="s">
        <v>409</v>
      </c>
      <c r="C70" s="1" t="s">
        <v>416</v>
      </c>
      <c r="D70" s="1" t="s">
        <v>285</v>
      </c>
      <c r="E70" s="62" t="n">
        <v>1</v>
      </c>
      <c r="F70" s="26" t="n">
        <v>400.26</v>
      </c>
      <c r="G70" s="26" t="n">
        <v>400.26</v>
      </c>
      <c r="H70" s="1" t="s">
        <v>455</v>
      </c>
    </row>
    <row r="71" customFormat="false" ht="15" hidden="false" customHeight="true" outlineLevel="0" collapsed="false">
      <c r="A71" s="1" t="s">
        <v>392</v>
      </c>
      <c r="B71" s="1" t="s">
        <v>409</v>
      </c>
      <c r="C71" s="1" t="s">
        <v>456</v>
      </c>
      <c r="D71" s="1" t="s">
        <v>285</v>
      </c>
      <c r="E71" s="62" t="n">
        <v>1</v>
      </c>
      <c r="F71" s="26" t="n">
        <v>434.14</v>
      </c>
      <c r="G71" s="26" t="n">
        <v>434.14</v>
      </c>
      <c r="H71" s="1" t="s">
        <v>457</v>
      </c>
    </row>
    <row r="72" customFormat="false" ht="15" hidden="false" customHeight="true" outlineLevel="0" collapsed="false">
      <c r="A72" s="1" t="s">
        <v>392</v>
      </c>
      <c r="B72" s="1" t="s">
        <v>409</v>
      </c>
      <c r="C72" s="1" t="s">
        <v>456</v>
      </c>
      <c r="D72" s="1" t="s">
        <v>285</v>
      </c>
      <c r="E72" s="62" t="n">
        <v>9</v>
      </c>
      <c r="F72" s="26" t="n">
        <v>9.7</v>
      </c>
      <c r="G72" s="26" t="n">
        <v>87.3</v>
      </c>
      <c r="H72" s="1" t="s">
        <v>434</v>
      </c>
    </row>
    <row r="73" customFormat="false" ht="15" hidden="false" customHeight="true" outlineLevel="0" collapsed="false">
      <c r="A73" s="1" t="s">
        <v>392</v>
      </c>
      <c r="B73" s="1" t="s">
        <v>409</v>
      </c>
      <c r="C73" s="1" t="s">
        <v>423</v>
      </c>
      <c r="D73" s="1" t="s">
        <v>285</v>
      </c>
      <c r="E73" s="62" t="n">
        <v>15</v>
      </c>
      <c r="F73" s="26" t="n">
        <v>0</v>
      </c>
      <c r="G73" s="26" t="n">
        <v>0</v>
      </c>
      <c r="H73" s="1" t="s">
        <v>422</v>
      </c>
    </row>
    <row r="74" customFormat="false" ht="15" hidden="false" customHeight="true" outlineLevel="0" collapsed="false">
      <c r="A74" s="1" t="s">
        <v>392</v>
      </c>
      <c r="B74" s="1" t="s">
        <v>409</v>
      </c>
      <c r="C74" s="1" t="s">
        <v>458</v>
      </c>
      <c r="D74" s="1" t="s">
        <v>285</v>
      </c>
      <c r="E74" s="62" t="n">
        <v>0</v>
      </c>
      <c r="F74" s="26" t="n">
        <v>0</v>
      </c>
      <c r="G74" s="26" t="n">
        <v>0</v>
      </c>
      <c r="H74" s="1" t="s">
        <v>422</v>
      </c>
    </row>
    <row r="75" customFormat="false" ht="15" hidden="false" customHeight="true" outlineLevel="0" collapsed="false">
      <c r="A75" s="1" t="s">
        <v>392</v>
      </c>
      <c r="B75" s="1" t="s">
        <v>409</v>
      </c>
      <c r="C75" s="1" t="s">
        <v>459</v>
      </c>
      <c r="D75" s="1" t="s">
        <v>285</v>
      </c>
      <c r="E75" s="62" t="n">
        <v>0</v>
      </c>
      <c r="F75" s="26" t="n">
        <v>0</v>
      </c>
      <c r="G75" s="26" t="n">
        <v>0</v>
      </c>
      <c r="H75" s="1" t="s">
        <v>422</v>
      </c>
    </row>
    <row r="76" customFormat="false" ht="15" hidden="false" customHeight="true" outlineLevel="0" collapsed="false">
      <c r="A76" s="1" t="s">
        <v>392</v>
      </c>
      <c r="B76" s="1" t="s">
        <v>409</v>
      </c>
      <c r="C76" s="1" t="s">
        <v>460</v>
      </c>
      <c r="D76" s="1" t="s">
        <v>285</v>
      </c>
      <c r="E76" s="62" t="n">
        <v>0</v>
      </c>
      <c r="F76" s="26" t="n">
        <v>0</v>
      </c>
      <c r="G76" s="26" t="n">
        <v>0</v>
      </c>
      <c r="H76" s="1" t="s">
        <v>422</v>
      </c>
    </row>
    <row r="77" customFormat="false" ht="15" hidden="false" customHeight="true" outlineLevel="0" collapsed="false">
      <c r="A77" s="1" t="s">
        <v>392</v>
      </c>
      <c r="B77" s="1" t="s">
        <v>409</v>
      </c>
      <c r="C77" s="1" t="s">
        <v>410</v>
      </c>
      <c r="D77" s="1" t="s">
        <v>286</v>
      </c>
      <c r="E77" s="62" t="n">
        <v>163</v>
      </c>
      <c r="F77" s="26" t="n">
        <v>1.86</v>
      </c>
      <c r="G77" s="26" t="n">
        <v>303.18</v>
      </c>
      <c r="H77" s="1" t="s">
        <v>411</v>
      </c>
    </row>
    <row r="78" customFormat="false" ht="15" hidden="false" customHeight="true" outlineLevel="0" collapsed="false">
      <c r="A78" s="1" t="s">
        <v>392</v>
      </c>
      <c r="B78" s="1" t="s">
        <v>409</v>
      </c>
      <c r="C78" s="1" t="s">
        <v>412</v>
      </c>
      <c r="D78" s="1" t="s">
        <v>286</v>
      </c>
      <c r="E78" s="62" t="n">
        <v>1</v>
      </c>
      <c r="F78" s="26" t="n">
        <v>383.56</v>
      </c>
      <c r="G78" s="26" t="n">
        <v>383.56</v>
      </c>
      <c r="H78" s="1" t="s">
        <v>461</v>
      </c>
    </row>
    <row r="79" customFormat="false" ht="15" hidden="false" customHeight="true" outlineLevel="0" collapsed="false">
      <c r="A79" s="1" t="s">
        <v>392</v>
      </c>
      <c r="B79" s="1" t="s">
        <v>409</v>
      </c>
      <c r="C79" s="1" t="s">
        <v>414</v>
      </c>
      <c r="D79" s="1" t="s">
        <v>286</v>
      </c>
      <c r="E79" s="62" t="n">
        <v>0</v>
      </c>
      <c r="F79" s="26" t="n">
        <v>0</v>
      </c>
      <c r="G79" s="26" t="n">
        <v>0</v>
      </c>
      <c r="H79" s="1" t="s">
        <v>462</v>
      </c>
    </row>
    <row r="80" customFormat="false" ht="15" hidden="false" customHeight="true" outlineLevel="0" collapsed="false">
      <c r="A80" s="1" t="s">
        <v>392</v>
      </c>
      <c r="B80" s="1" t="s">
        <v>409</v>
      </c>
      <c r="C80" s="1" t="s">
        <v>416</v>
      </c>
      <c r="D80" s="1" t="s">
        <v>286</v>
      </c>
      <c r="E80" s="62" t="n">
        <v>1</v>
      </c>
      <c r="F80" s="26" t="n">
        <v>400.26</v>
      </c>
      <c r="G80" s="26" t="n">
        <v>400.26</v>
      </c>
      <c r="H80" s="1" t="s">
        <v>413</v>
      </c>
    </row>
    <row r="81" customFormat="false" ht="15" hidden="false" customHeight="true" outlineLevel="0" collapsed="false">
      <c r="A81" s="1" t="s">
        <v>392</v>
      </c>
      <c r="B81" s="1" t="s">
        <v>409</v>
      </c>
      <c r="C81" s="1" t="s">
        <v>456</v>
      </c>
      <c r="D81" s="1" t="s">
        <v>286</v>
      </c>
      <c r="E81" s="62" t="n">
        <v>1</v>
      </c>
      <c r="F81" s="26" t="n">
        <v>867</v>
      </c>
      <c r="G81" s="26" t="n">
        <v>867</v>
      </c>
      <c r="H81" s="1" t="s">
        <v>463</v>
      </c>
    </row>
    <row r="82" customFormat="false" ht="15" hidden="false" customHeight="true" outlineLevel="0" collapsed="false">
      <c r="A82" s="1" t="s">
        <v>392</v>
      </c>
      <c r="B82" s="1" t="s">
        <v>409</v>
      </c>
      <c r="C82" s="1" t="s">
        <v>456</v>
      </c>
      <c r="D82" s="1" t="s">
        <v>286</v>
      </c>
      <c r="E82" s="62" t="n">
        <v>21</v>
      </c>
      <c r="F82" s="26" t="n">
        <v>9.7</v>
      </c>
      <c r="G82" s="26" t="n">
        <v>203.7</v>
      </c>
      <c r="H82" s="1" t="s">
        <v>434</v>
      </c>
    </row>
    <row r="83" customFormat="false" ht="15" hidden="false" customHeight="true" outlineLevel="0" collapsed="false">
      <c r="A83" s="1" t="s">
        <v>392</v>
      </c>
      <c r="B83" s="1" t="s">
        <v>409</v>
      </c>
      <c r="C83" s="1" t="s">
        <v>423</v>
      </c>
      <c r="D83" s="1" t="s">
        <v>286</v>
      </c>
      <c r="E83" s="62" t="n">
        <v>0</v>
      </c>
      <c r="F83" s="26" t="n">
        <v>0</v>
      </c>
      <c r="G83" s="26" t="n">
        <v>0</v>
      </c>
      <c r="H83" s="1" t="s">
        <v>422</v>
      </c>
    </row>
    <row r="84" customFormat="false" ht="15" hidden="false" customHeight="true" outlineLevel="0" collapsed="false">
      <c r="A84" s="1" t="s">
        <v>392</v>
      </c>
      <c r="B84" s="1" t="s">
        <v>409</v>
      </c>
      <c r="C84" s="1" t="s">
        <v>464</v>
      </c>
      <c r="D84" s="1" t="s">
        <v>286</v>
      </c>
      <c r="E84" s="62" t="n">
        <v>0</v>
      </c>
      <c r="F84" s="26" t="n">
        <v>0</v>
      </c>
      <c r="G84" s="26" t="n">
        <v>0</v>
      </c>
      <c r="H84" s="1" t="s">
        <v>422</v>
      </c>
    </row>
    <row r="85" customFormat="false" ht="15" hidden="false" customHeight="true" outlineLevel="0" collapsed="false">
      <c r="A85" s="1" t="s">
        <v>392</v>
      </c>
      <c r="B85" s="1" t="s">
        <v>409</v>
      </c>
      <c r="C85" s="1" t="s">
        <v>410</v>
      </c>
      <c r="D85" s="1" t="s">
        <v>283</v>
      </c>
      <c r="E85" s="62" t="n">
        <v>378</v>
      </c>
      <c r="F85" s="26" t="n">
        <v>1.86</v>
      </c>
      <c r="G85" s="26" t="n">
        <v>703.08</v>
      </c>
      <c r="H85" s="1" t="s">
        <v>411</v>
      </c>
    </row>
    <row r="86" customFormat="false" ht="15" hidden="false" customHeight="true" outlineLevel="0" collapsed="false">
      <c r="A86" s="1" t="s">
        <v>392</v>
      </c>
      <c r="B86" s="1" t="s">
        <v>409</v>
      </c>
      <c r="C86" s="1" t="s">
        <v>412</v>
      </c>
      <c r="D86" s="1" t="s">
        <v>283</v>
      </c>
      <c r="E86" s="62" t="n">
        <v>1</v>
      </c>
      <c r="F86" s="26" t="n">
        <v>383.56</v>
      </c>
      <c r="G86" s="26" t="n">
        <v>383.56</v>
      </c>
      <c r="H86" s="1" t="s">
        <v>465</v>
      </c>
    </row>
    <row r="87" customFormat="false" ht="15" hidden="false" customHeight="true" outlineLevel="0" collapsed="false">
      <c r="A87" s="1" t="s">
        <v>392</v>
      </c>
      <c r="B87" s="1" t="s">
        <v>409</v>
      </c>
      <c r="C87" s="1" t="s">
        <v>414</v>
      </c>
      <c r="D87" s="1" t="s">
        <v>283</v>
      </c>
      <c r="E87" s="62" t="n">
        <v>2</v>
      </c>
      <c r="F87" s="26" t="n">
        <v>338.53</v>
      </c>
      <c r="G87" s="26" t="n">
        <v>677.06</v>
      </c>
      <c r="H87" s="1" t="s">
        <v>466</v>
      </c>
    </row>
    <row r="88" customFormat="false" ht="15" hidden="false" customHeight="true" outlineLevel="0" collapsed="false">
      <c r="A88" s="1" t="s">
        <v>392</v>
      </c>
      <c r="B88" s="1" t="s">
        <v>409</v>
      </c>
      <c r="C88" s="1" t="s">
        <v>416</v>
      </c>
      <c r="D88" s="1" t="s">
        <v>283</v>
      </c>
      <c r="E88" s="62" t="n">
        <v>2</v>
      </c>
      <c r="F88" s="26" t="n">
        <v>400.26</v>
      </c>
      <c r="G88" s="26" t="n">
        <v>800.52</v>
      </c>
      <c r="H88" s="1" t="s">
        <v>467</v>
      </c>
    </row>
    <row r="89" customFormat="false" ht="15" hidden="false" customHeight="true" outlineLevel="0" collapsed="false">
      <c r="A89" s="1" t="s">
        <v>392</v>
      </c>
      <c r="B89" s="1" t="s">
        <v>409</v>
      </c>
      <c r="C89" s="1" t="s">
        <v>423</v>
      </c>
      <c r="D89" s="1" t="s">
        <v>283</v>
      </c>
      <c r="E89" s="62" t="n">
        <v>4</v>
      </c>
      <c r="F89" s="26" t="n">
        <v>0</v>
      </c>
      <c r="G89" s="26" t="n">
        <v>0</v>
      </c>
      <c r="H89" s="1" t="s">
        <v>422</v>
      </c>
    </row>
    <row r="90" customFormat="false" ht="15" hidden="false" customHeight="true" outlineLevel="0" collapsed="false">
      <c r="A90" s="1" t="s">
        <v>392</v>
      </c>
      <c r="B90" s="1" t="s">
        <v>409</v>
      </c>
      <c r="C90" s="1" t="s">
        <v>468</v>
      </c>
      <c r="D90" s="1" t="s">
        <v>283</v>
      </c>
      <c r="E90" s="62" t="n">
        <v>0</v>
      </c>
      <c r="F90" s="26" t="n">
        <v>0</v>
      </c>
      <c r="G90" s="26" t="n">
        <v>0</v>
      </c>
      <c r="H90" s="1" t="s">
        <v>422</v>
      </c>
    </row>
    <row r="91" customFormat="false" ht="15" hidden="false" customHeight="true" outlineLevel="0" collapsed="false">
      <c r="A91" s="1" t="s">
        <v>392</v>
      </c>
      <c r="B91" s="1" t="s">
        <v>409</v>
      </c>
      <c r="C91" s="1" t="s">
        <v>469</v>
      </c>
      <c r="D91" s="1" t="s">
        <v>283</v>
      </c>
      <c r="E91" s="62" t="n">
        <v>-15</v>
      </c>
      <c r="F91" s="26" t="n">
        <v>0</v>
      </c>
      <c r="G91" s="26" t="n">
        <v>0</v>
      </c>
      <c r="H91" s="1" t="s">
        <v>422</v>
      </c>
    </row>
    <row r="92" customFormat="false" ht="15" hidden="false" customHeight="true" outlineLevel="0" collapsed="false">
      <c r="A92" s="1" t="s">
        <v>392</v>
      </c>
      <c r="B92" s="1" t="s">
        <v>409</v>
      </c>
      <c r="C92" s="1" t="s">
        <v>470</v>
      </c>
      <c r="D92" s="1" t="s">
        <v>283</v>
      </c>
      <c r="E92" s="62" t="n">
        <v>0</v>
      </c>
      <c r="F92" s="26" t="n">
        <v>0</v>
      </c>
      <c r="G92" s="26" t="n">
        <v>0</v>
      </c>
      <c r="H92" s="1" t="s">
        <v>422</v>
      </c>
    </row>
    <row r="93" customFormat="false" ht="15" hidden="false" customHeight="true" outlineLevel="0" collapsed="false">
      <c r="A93" s="1" t="s">
        <v>392</v>
      </c>
      <c r="B93" s="1" t="s">
        <v>409</v>
      </c>
      <c r="C93" s="1" t="s">
        <v>471</v>
      </c>
      <c r="D93" s="1" t="s">
        <v>283</v>
      </c>
      <c r="E93" s="62" t="n">
        <v>0</v>
      </c>
      <c r="F93" s="26" t="n">
        <v>0</v>
      </c>
      <c r="G93" s="26" t="n">
        <v>0</v>
      </c>
      <c r="H93" s="1" t="s">
        <v>422</v>
      </c>
    </row>
    <row r="94" customFormat="false" ht="15" hidden="false" customHeight="true" outlineLevel="0" collapsed="false">
      <c r="A94" s="1" t="s">
        <v>392</v>
      </c>
      <c r="B94" s="1" t="s">
        <v>143</v>
      </c>
      <c r="C94" s="1" t="s">
        <v>472</v>
      </c>
      <c r="D94" s="1" t="s">
        <v>288</v>
      </c>
      <c r="E94" s="62" t="n">
        <v>6280</v>
      </c>
      <c r="F94" s="26" t="n">
        <v>0.178624545023269</v>
      </c>
      <c r="G94" s="26" t="n">
        <v>1121.76214274613</v>
      </c>
      <c r="H94" s="1" t="s">
        <v>395</v>
      </c>
    </row>
    <row r="95" customFormat="false" ht="15" hidden="false" customHeight="true" outlineLevel="0" collapsed="false">
      <c r="A95" s="1" t="s">
        <v>392</v>
      </c>
      <c r="B95" s="1" t="s">
        <v>143</v>
      </c>
      <c r="C95" s="1" t="s">
        <v>472</v>
      </c>
      <c r="D95" s="1" t="s">
        <v>290</v>
      </c>
      <c r="E95" s="62" t="n">
        <v>13402</v>
      </c>
      <c r="F95" s="26" t="n">
        <v>0.178624545023269</v>
      </c>
      <c r="G95" s="26" t="n">
        <v>2393.92615240185</v>
      </c>
      <c r="H95" s="1" t="s">
        <v>395</v>
      </c>
    </row>
    <row r="96" customFormat="false" ht="15" hidden="false" customHeight="true" outlineLevel="0" collapsed="false">
      <c r="A96" s="1" t="s">
        <v>392</v>
      </c>
      <c r="B96" s="1" t="s">
        <v>143</v>
      </c>
      <c r="C96" s="1" t="s">
        <v>472</v>
      </c>
      <c r="D96" s="1" t="s">
        <v>294</v>
      </c>
      <c r="E96" s="62" t="n">
        <v>3650</v>
      </c>
      <c r="F96" s="26" t="n">
        <v>0.178624545023269</v>
      </c>
      <c r="G96" s="26" t="n">
        <v>651.979589334932</v>
      </c>
      <c r="H96" s="1" t="s">
        <v>395</v>
      </c>
    </row>
    <row r="97" customFormat="false" ht="15" hidden="false" customHeight="true" outlineLevel="0" collapsed="false">
      <c r="A97" s="1" t="s">
        <v>392</v>
      </c>
      <c r="B97" s="1" t="s">
        <v>143</v>
      </c>
      <c r="C97" s="1" t="s">
        <v>472</v>
      </c>
      <c r="D97" s="1" t="s">
        <v>291</v>
      </c>
      <c r="E97" s="62" t="n">
        <v>6396</v>
      </c>
      <c r="F97" s="26" t="n">
        <v>0.178624545023269</v>
      </c>
      <c r="G97" s="26" t="n">
        <v>1142.48258996883</v>
      </c>
      <c r="H97" s="1" t="s">
        <v>395</v>
      </c>
    </row>
    <row r="98" customFormat="false" ht="15" hidden="false" customHeight="true" outlineLevel="0" collapsed="false">
      <c r="A98" s="1" t="s">
        <v>392</v>
      </c>
      <c r="B98" s="1" t="s">
        <v>143</v>
      </c>
      <c r="C98" s="1" t="s">
        <v>472</v>
      </c>
      <c r="D98" s="1" t="s">
        <v>285</v>
      </c>
      <c r="E98" s="62" t="n">
        <v>14331</v>
      </c>
      <c r="F98" s="26" t="n">
        <v>0.178624545023269</v>
      </c>
      <c r="G98" s="26" t="n">
        <v>2559.86835472847</v>
      </c>
      <c r="H98" s="1" t="s">
        <v>395</v>
      </c>
    </row>
    <row r="99" customFormat="false" ht="15" hidden="false" customHeight="true" outlineLevel="0" collapsed="false">
      <c r="A99" s="1" t="s">
        <v>392</v>
      </c>
      <c r="B99" s="1" t="s">
        <v>143</v>
      </c>
      <c r="C99" s="1" t="s">
        <v>472</v>
      </c>
      <c r="D99" s="1" t="s">
        <v>286</v>
      </c>
      <c r="E99" s="62" t="n">
        <v>4730</v>
      </c>
      <c r="F99" s="26" t="n">
        <v>0.178624545023269</v>
      </c>
      <c r="G99" s="26" t="n">
        <v>844.894097960063</v>
      </c>
      <c r="H99" s="1" t="s">
        <v>395</v>
      </c>
    </row>
    <row r="100" customFormat="false" ht="15" hidden="false" customHeight="true" outlineLevel="0" collapsed="false">
      <c r="A100" s="1" t="s">
        <v>392</v>
      </c>
      <c r="B100" s="1" t="s">
        <v>143</v>
      </c>
      <c r="C100" s="1" t="s">
        <v>472</v>
      </c>
      <c r="D100" s="1" t="s">
        <v>283</v>
      </c>
      <c r="E100" s="62" t="n">
        <v>4782</v>
      </c>
      <c r="F100" s="26" t="n">
        <v>0.178624545023269</v>
      </c>
      <c r="G100" s="26" t="n">
        <v>854.182574301273</v>
      </c>
      <c r="H100" s="1" t="s">
        <v>395</v>
      </c>
    </row>
    <row r="101" customFormat="false" ht="15" hidden="false" customHeight="true" outlineLevel="0" collapsed="false">
      <c r="A101" s="1" t="s">
        <v>392</v>
      </c>
      <c r="B101" s="1" t="s">
        <v>141</v>
      </c>
      <c r="C101" s="1" t="s">
        <v>473</v>
      </c>
      <c r="D101" s="1" t="s">
        <v>290</v>
      </c>
      <c r="E101" s="62" t="n">
        <v>13402</v>
      </c>
      <c r="F101" s="26" t="n">
        <v>0.0871424396912673</v>
      </c>
      <c r="G101" s="26" t="n">
        <v>1167.88297674237</v>
      </c>
      <c r="H101" s="1" t="s">
        <v>395</v>
      </c>
    </row>
    <row r="102" customFormat="false" ht="15" hidden="false" customHeight="true" outlineLevel="0" collapsed="false">
      <c r="A102" s="1" t="s">
        <v>392</v>
      </c>
      <c r="B102" s="1" t="s">
        <v>45</v>
      </c>
      <c r="C102" s="1" t="s">
        <v>474</v>
      </c>
      <c r="D102" s="1" t="s">
        <v>288</v>
      </c>
      <c r="E102" s="62" t="n">
        <v>1</v>
      </c>
      <c r="F102" s="26" t="n">
        <v>9145.68</v>
      </c>
      <c r="G102" s="26" t="n">
        <v>9145.68</v>
      </c>
      <c r="H102" s="1" t="s">
        <v>475</v>
      </c>
    </row>
    <row r="103" customFormat="false" ht="15" hidden="false" customHeight="true" outlineLevel="0" collapsed="false">
      <c r="A103" s="1" t="s">
        <v>392</v>
      </c>
      <c r="B103" s="1" t="s">
        <v>45</v>
      </c>
      <c r="C103" s="1" t="s">
        <v>474</v>
      </c>
      <c r="D103" s="1" t="s">
        <v>294</v>
      </c>
      <c r="E103" s="62" t="n">
        <v>1</v>
      </c>
      <c r="F103" s="26" t="n">
        <v>3372.11</v>
      </c>
      <c r="G103" s="26" t="n">
        <v>3372.11</v>
      </c>
      <c r="H103" s="1" t="s">
        <v>475</v>
      </c>
    </row>
    <row r="104" customFormat="false" ht="15" hidden="false" customHeight="true" outlineLevel="0" collapsed="false">
      <c r="A104" s="1" t="s">
        <v>392</v>
      </c>
      <c r="B104" s="1" t="s">
        <v>45</v>
      </c>
      <c r="C104" s="1" t="s">
        <v>474</v>
      </c>
      <c r="D104" s="1" t="s">
        <v>286</v>
      </c>
      <c r="E104" s="62" t="n">
        <v>1</v>
      </c>
      <c r="F104" s="26" t="n">
        <v>15695.77</v>
      </c>
      <c r="G104" s="26" t="n">
        <v>15695.77</v>
      </c>
      <c r="H104" s="1" t="s">
        <v>475</v>
      </c>
    </row>
    <row r="105" customFormat="false" ht="15" hidden="false" customHeight="true" outlineLevel="0" collapsed="false">
      <c r="A105" s="1" t="s">
        <v>392</v>
      </c>
      <c r="B105" s="1" t="s">
        <v>45</v>
      </c>
      <c r="C105" s="1" t="s">
        <v>476</v>
      </c>
      <c r="D105" s="1" t="s">
        <v>283</v>
      </c>
      <c r="E105" s="62" t="n">
        <v>0</v>
      </c>
      <c r="F105" s="26" t="n">
        <v>0</v>
      </c>
      <c r="G105" s="26" t="n">
        <v>0</v>
      </c>
      <c r="H105" s="1" t="s">
        <v>477</v>
      </c>
    </row>
    <row r="106" customFormat="false" ht="15" hidden="false" customHeight="true" outlineLevel="0" collapsed="false">
      <c r="A106" s="1" t="s">
        <v>392</v>
      </c>
      <c r="B106" s="1" t="s">
        <v>50</v>
      </c>
      <c r="C106" s="1" t="s">
        <v>478</v>
      </c>
      <c r="D106" s="1" t="s">
        <v>288</v>
      </c>
      <c r="E106" s="62" t="n">
        <v>1</v>
      </c>
      <c r="F106" s="26" t="n">
        <v>1128</v>
      </c>
      <c r="G106" s="26" t="n">
        <v>1128</v>
      </c>
      <c r="H106" s="1" t="s">
        <v>479</v>
      </c>
    </row>
    <row r="107" customFormat="false" ht="15" hidden="false" customHeight="true" outlineLevel="0" collapsed="false">
      <c r="A107" s="1" t="s">
        <v>392</v>
      </c>
      <c r="B107" s="1" t="s">
        <v>50</v>
      </c>
      <c r="C107" s="1" t="s">
        <v>478</v>
      </c>
      <c r="D107" s="1" t="s">
        <v>294</v>
      </c>
      <c r="E107" s="62" t="n">
        <v>1</v>
      </c>
      <c r="F107" s="26" t="n">
        <v>676.8</v>
      </c>
      <c r="G107" s="26" t="n">
        <v>676.8</v>
      </c>
      <c r="H107" s="1" t="s">
        <v>479</v>
      </c>
    </row>
    <row r="108" customFormat="false" ht="15" hidden="false" customHeight="true" outlineLevel="0" collapsed="false">
      <c r="A108" s="1" t="s">
        <v>392</v>
      </c>
      <c r="B108" s="1" t="s">
        <v>50</v>
      </c>
      <c r="C108" s="1" t="s">
        <v>478</v>
      </c>
      <c r="D108" s="1" t="s">
        <v>291</v>
      </c>
      <c r="E108" s="62" t="n">
        <v>1</v>
      </c>
      <c r="F108" s="26" t="n">
        <v>676.8</v>
      </c>
      <c r="G108" s="26" t="n">
        <v>676.8</v>
      </c>
      <c r="H108" s="1" t="s">
        <v>480</v>
      </c>
    </row>
    <row r="109" customFormat="false" ht="15" hidden="false" customHeight="true" outlineLevel="0" collapsed="false">
      <c r="A109" s="1" t="s">
        <v>392</v>
      </c>
      <c r="B109" s="1" t="s">
        <v>50</v>
      </c>
      <c r="C109" s="1" t="s">
        <v>478</v>
      </c>
      <c r="D109" s="1" t="s">
        <v>291</v>
      </c>
      <c r="E109" s="62" t="n">
        <v>1</v>
      </c>
      <c r="F109" s="26" t="n">
        <v>338.4</v>
      </c>
      <c r="G109" s="26" t="n">
        <v>338.4</v>
      </c>
      <c r="H109" s="1" t="s">
        <v>479</v>
      </c>
    </row>
    <row r="110" customFormat="false" ht="15" hidden="false" customHeight="true" outlineLevel="0" collapsed="false">
      <c r="A110" s="1" t="s">
        <v>392</v>
      </c>
      <c r="B110" s="1" t="s">
        <v>50</v>
      </c>
      <c r="C110" s="1" t="s">
        <v>478</v>
      </c>
      <c r="D110" s="1" t="s">
        <v>285</v>
      </c>
      <c r="E110" s="62" t="n">
        <v>1</v>
      </c>
      <c r="F110" s="26" t="n">
        <v>676.8</v>
      </c>
      <c r="G110" s="26" t="n">
        <v>676.8</v>
      </c>
      <c r="H110" s="1" t="s">
        <v>481</v>
      </c>
    </row>
    <row r="111" customFormat="false" ht="15" hidden="false" customHeight="true" outlineLevel="0" collapsed="false">
      <c r="A111" s="1" t="s">
        <v>392</v>
      </c>
      <c r="B111" s="1" t="s">
        <v>50</v>
      </c>
      <c r="C111" s="1" t="s">
        <v>478</v>
      </c>
      <c r="D111" s="1" t="s">
        <v>285</v>
      </c>
      <c r="E111" s="62" t="n">
        <v>1</v>
      </c>
      <c r="F111" s="26" t="n">
        <v>2387.6</v>
      </c>
      <c r="G111" s="26" t="n">
        <v>2387.6</v>
      </c>
      <c r="H111" s="1" t="s">
        <v>479</v>
      </c>
    </row>
    <row r="112" customFormat="false" ht="15" hidden="false" customHeight="true" outlineLevel="0" collapsed="false">
      <c r="A112" s="1" t="s">
        <v>392</v>
      </c>
      <c r="B112" s="1" t="s">
        <v>50</v>
      </c>
      <c r="C112" s="1" t="s">
        <v>478</v>
      </c>
      <c r="D112" s="1" t="s">
        <v>286</v>
      </c>
      <c r="E112" s="62" t="n">
        <v>1</v>
      </c>
      <c r="F112" s="26" t="n">
        <v>676.8</v>
      </c>
      <c r="G112" s="26" t="n">
        <v>676.8</v>
      </c>
      <c r="H112" s="1" t="s">
        <v>479</v>
      </c>
    </row>
    <row r="113" customFormat="false" ht="15" hidden="false" customHeight="true" outlineLevel="0" collapsed="false">
      <c r="A113" s="1" t="s">
        <v>392</v>
      </c>
      <c r="B113" s="1" t="s">
        <v>50</v>
      </c>
      <c r="C113" s="1" t="s">
        <v>478</v>
      </c>
      <c r="D113" s="1" t="s">
        <v>283</v>
      </c>
      <c r="E113" s="62" t="n">
        <v>1</v>
      </c>
      <c r="F113" s="26" t="n">
        <v>569.64</v>
      </c>
      <c r="G113" s="26" t="n">
        <v>569.64</v>
      </c>
      <c r="H113" s="1" t="s">
        <v>479</v>
      </c>
    </row>
    <row r="114" customFormat="false" ht="15" hidden="false" customHeight="true" outlineLevel="0" collapsed="false">
      <c r="A114" s="1" t="s">
        <v>392</v>
      </c>
      <c r="B114" s="1" t="s">
        <v>482</v>
      </c>
      <c r="C114" s="1" t="s">
        <v>483</v>
      </c>
      <c r="D114" s="1" t="s">
        <v>288</v>
      </c>
      <c r="E114" s="62" t="n">
        <v>0</v>
      </c>
      <c r="F114" s="26" t="n">
        <v>0</v>
      </c>
      <c r="G114" s="26" t="n">
        <v>0</v>
      </c>
      <c r="H114" s="1" t="s">
        <v>484</v>
      </c>
    </row>
    <row r="115" customFormat="false" ht="15" hidden="false" customHeight="true" outlineLevel="0" collapsed="false">
      <c r="A115" s="1" t="s">
        <v>392</v>
      </c>
      <c r="B115" s="1" t="s">
        <v>482</v>
      </c>
      <c r="C115" s="1" t="s">
        <v>485</v>
      </c>
      <c r="D115" s="1" t="s">
        <v>288</v>
      </c>
      <c r="E115" s="62" t="n">
        <v>0</v>
      </c>
      <c r="F115" s="26" t="n">
        <v>0</v>
      </c>
      <c r="G115" s="26" t="n">
        <v>0</v>
      </c>
      <c r="H115" s="1" t="s">
        <v>486</v>
      </c>
    </row>
    <row r="116" customFormat="false" ht="15" hidden="false" customHeight="true" outlineLevel="0" collapsed="false">
      <c r="A116" s="1" t="s">
        <v>392</v>
      </c>
      <c r="B116" s="1" t="s">
        <v>482</v>
      </c>
      <c r="C116" s="1" t="s">
        <v>487</v>
      </c>
      <c r="D116" s="1" t="s">
        <v>288</v>
      </c>
      <c r="E116" s="62" t="n">
        <v>10</v>
      </c>
      <c r="F116" s="26" t="n">
        <v>20</v>
      </c>
      <c r="G116" s="26" t="n">
        <v>200</v>
      </c>
      <c r="H116" s="1" t="s">
        <v>488</v>
      </c>
    </row>
    <row r="117" customFormat="false" ht="15" hidden="false" customHeight="true" outlineLevel="0" collapsed="false">
      <c r="A117" s="1" t="s">
        <v>392</v>
      </c>
      <c r="B117" s="1" t="s">
        <v>482</v>
      </c>
      <c r="C117" s="1" t="s">
        <v>489</v>
      </c>
      <c r="D117" s="1" t="s">
        <v>288</v>
      </c>
      <c r="E117" s="62" t="n">
        <v>0</v>
      </c>
      <c r="F117" s="26" t="n">
        <v>0</v>
      </c>
      <c r="G117" s="26" t="n">
        <v>0</v>
      </c>
      <c r="H117" s="1" t="s">
        <v>490</v>
      </c>
    </row>
    <row r="118" customFormat="false" ht="15" hidden="false" customHeight="true" outlineLevel="0" collapsed="false">
      <c r="A118" s="1" t="s">
        <v>392</v>
      </c>
      <c r="B118" s="1" t="s">
        <v>482</v>
      </c>
      <c r="C118" s="1" t="s">
        <v>491</v>
      </c>
      <c r="D118" s="1" t="s">
        <v>288</v>
      </c>
      <c r="E118" s="62" t="n">
        <v>0</v>
      </c>
      <c r="F118" s="26" t="n">
        <v>0</v>
      </c>
      <c r="G118" s="26" t="n">
        <v>0</v>
      </c>
      <c r="H118" s="1" t="s">
        <v>492</v>
      </c>
    </row>
    <row r="119" customFormat="false" ht="15" hidden="false" customHeight="true" outlineLevel="0" collapsed="false">
      <c r="A119" s="1" t="s">
        <v>392</v>
      </c>
      <c r="B119" s="1" t="s">
        <v>482</v>
      </c>
      <c r="C119" s="1" t="s">
        <v>489</v>
      </c>
      <c r="D119" s="1" t="s">
        <v>290</v>
      </c>
      <c r="E119" s="62" t="n">
        <v>1</v>
      </c>
      <c r="F119" s="26" t="n">
        <v>1112.18</v>
      </c>
      <c r="G119" s="26" t="n">
        <v>1112.18</v>
      </c>
      <c r="H119" s="1" t="s">
        <v>490</v>
      </c>
    </row>
    <row r="120" customFormat="false" ht="15" hidden="false" customHeight="true" outlineLevel="0" collapsed="false">
      <c r="A120" s="1" t="s">
        <v>392</v>
      </c>
      <c r="B120" s="1" t="s">
        <v>482</v>
      </c>
      <c r="C120" s="1" t="s">
        <v>487</v>
      </c>
      <c r="D120" s="1" t="s">
        <v>294</v>
      </c>
      <c r="E120" s="62" t="n">
        <v>3</v>
      </c>
      <c r="F120" s="26" t="n">
        <v>20</v>
      </c>
      <c r="G120" s="26" t="n">
        <v>60</v>
      </c>
      <c r="H120" s="1" t="s">
        <v>488</v>
      </c>
    </row>
    <row r="121" customFormat="false" ht="15" hidden="false" customHeight="true" outlineLevel="0" collapsed="false">
      <c r="A121" s="1" t="s">
        <v>392</v>
      </c>
      <c r="B121" s="1" t="s">
        <v>482</v>
      </c>
      <c r="C121" s="1" t="s">
        <v>489</v>
      </c>
      <c r="D121" s="1" t="s">
        <v>294</v>
      </c>
      <c r="E121" s="62" t="n">
        <v>1</v>
      </c>
      <c r="F121" s="26" t="n">
        <v>387.64</v>
      </c>
      <c r="G121" s="26" t="n">
        <v>387.64</v>
      </c>
      <c r="H121" s="1" t="s">
        <v>490</v>
      </c>
    </row>
    <row r="122" customFormat="false" ht="15" hidden="false" customHeight="true" outlineLevel="0" collapsed="false">
      <c r="A122" s="1" t="s">
        <v>392</v>
      </c>
      <c r="B122" s="1" t="s">
        <v>482</v>
      </c>
      <c r="C122" s="1" t="s">
        <v>491</v>
      </c>
      <c r="D122" s="1" t="s">
        <v>294</v>
      </c>
      <c r="E122" s="62" t="n">
        <v>0</v>
      </c>
      <c r="F122" s="26" t="n">
        <v>0</v>
      </c>
      <c r="G122" s="26" t="n">
        <v>0</v>
      </c>
      <c r="H122" s="1" t="s">
        <v>492</v>
      </c>
    </row>
    <row r="123" customFormat="false" ht="15" hidden="false" customHeight="true" outlineLevel="0" collapsed="false">
      <c r="A123" s="1" t="s">
        <v>392</v>
      </c>
      <c r="B123" s="1" t="s">
        <v>482</v>
      </c>
      <c r="C123" s="1" t="s">
        <v>483</v>
      </c>
      <c r="D123" s="1" t="s">
        <v>291</v>
      </c>
      <c r="E123" s="62" t="n">
        <v>0</v>
      </c>
      <c r="F123" s="26" t="n">
        <v>0</v>
      </c>
      <c r="G123" s="26" t="n">
        <v>0</v>
      </c>
      <c r="H123" s="1" t="s">
        <v>493</v>
      </c>
    </row>
    <row r="124" customFormat="false" ht="15" hidden="false" customHeight="true" outlineLevel="0" collapsed="false">
      <c r="A124" s="1" t="s">
        <v>392</v>
      </c>
      <c r="B124" s="1" t="s">
        <v>482</v>
      </c>
      <c r="C124" s="1" t="s">
        <v>485</v>
      </c>
      <c r="D124" s="1" t="s">
        <v>291</v>
      </c>
      <c r="E124" s="62" t="n">
        <v>0</v>
      </c>
      <c r="F124" s="26" t="n">
        <v>0</v>
      </c>
      <c r="G124" s="26" t="n">
        <v>0</v>
      </c>
      <c r="H124" s="1" t="s">
        <v>494</v>
      </c>
    </row>
    <row r="125" customFormat="false" ht="15" hidden="false" customHeight="true" outlineLevel="0" collapsed="false">
      <c r="A125" s="1" t="s">
        <v>392</v>
      </c>
      <c r="B125" s="1" t="s">
        <v>482</v>
      </c>
      <c r="C125" s="1" t="s">
        <v>495</v>
      </c>
      <c r="D125" s="1" t="s">
        <v>291</v>
      </c>
      <c r="E125" s="62" t="n">
        <v>0</v>
      </c>
      <c r="F125" s="26" t="n">
        <v>0</v>
      </c>
      <c r="G125" s="26" t="n">
        <v>0</v>
      </c>
      <c r="H125" s="1" t="s">
        <v>492</v>
      </c>
    </row>
    <row r="126" customFormat="false" ht="15" hidden="false" customHeight="true" outlineLevel="0" collapsed="false">
      <c r="A126" s="1" t="s">
        <v>392</v>
      </c>
      <c r="B126" s="1" t="s">
        <v>482</v>
      </c>
      <c r="C126" s="1" t="s">
        <v>487</v>
      </c>
      <c r="D126" s="1" t="s">
        <v>291</v>
      </c>
      <c r="E126" s="62" t="n">
        <v>13</v>
      </c>
      <c r="F126" s="26" t="n">
        <v>20</v>
      </c>
      <c r="G126" s="26" t="n">
        <v>260</v>
      </c>
      <c r="H126" s="1" t="s">
        <v>488</v>
      </c>
    </row>
    <row r="127" customFormat="false" ht="15" hidden="false" customHeight="true" outlineLevel="0" collapsed="false">
      <c r="A127" s="1" t="s">
        <v>392</v>
      </c>
      <c r="B127" s="1" t="s">
        <v>482</v>
      </c>
      <c r="C127" s="1" t="s">
        <v>489</v>
      </c>
      <c r="D127" s="1" t="s">
        <v>291</v>
      </c>
      <c r="E127" s="62" t="n">
        <v>0</v>
      </c>
      <c r="F127" s="26" t="n">
        <v>0</v>
      </c>
      <c r="G127" s="26" t="n">
        <v>0</v>
      </c>
      <c r="H127" s="1" t="s">
        <v>490</v>
      </c>
    </row>
    <row r="128" customFormat="false" ht="15" hidden="false" customHeight="true" outlineLevel="0" collapsed="false">
      <c r="A128" s="1" t="s">
        <v>392</v>
      </c>
      <c r="B128" s="1" t="s">
        <v>482</v>
      </c>
      <c r="C128" s="1" t="s">
        <v>491</v>
      </c>
      <c r="D128" s="1" t="s">
        <v>291</v>
      </c>
      <c r="E128" s="62" t="n">
        <v>0</v>
      </c>
      <c r="F128" s="26" t="n">
        <v>0</v>
      </c>
      <c r="G128" s="26" t="n">
        <v>0</v>
      </c>
      <c r="H128" s="1" t="s">
        <v>492</v>
      </c>
    </row>
    <row r="129" customFormat="false" ht="15" hidden="false" customHeight="true" outlineLevel="0" collapsed="false">
      <c r="A129" s="1" t="s">
        <v>392</v>
      </c>
      <c r="B129" s="1" t="s">
        <v>482</v>
      </c>
      <c r="C129" s="1" t="s">
        <v>487</v>
      </c>
      <c r="D129" s="1" t="s">
        <v>285</v>
      </c>
      <c r="E129" s="62" t="n">
        <v>19</v>
      </c>
      <c r="F129" s="26" t="n">
        <v>20</v>
      </c>
      <c r="G129" s="26" t="n">
        <v>380</v>
      </c>
      <c r="H129" s="1" t="s">
        <v>488</v>
      </c>
    </row>
    <row r="130" customFormat="false" ht="15" hidden="false" customHeight="true" outlineLevel="0" collapsed="false">
      <c r="A130" s="1" t="s">
        <v>392</v>
      </c>
      <c r="B130" s="1" t="s">
        <v>482</v>
      </c>
      <c r="C130" s="1" t="s">
        <v>489</v>
      </c>
      <c r="D130" s="1" t="s">
        <v>285</v>
      </c>
      <c r="E130" s="62" t="n">
        <v>1</v>
      </c>
      <c r="F130" s="26" t="n">
        <v>1092.02</v>
      </c>
      <c r="G130" s="26" t="n">
        <v>1092.02</v>
      </c>
      <c r="H130" s="1" t="s">
        <v>490</v>
      </c>
    </row>
    <row r="131" customFormat="false" ht="15" hidden="false" customHeight="true" outlineLevel="0" collapsed="false">
      <c r="A131" s="1" t="s">
        <v>392</v>
      </c>
      <c r="B131" s="1" t="s">
        <v>482</v>
      </c>
      <c r="C131" s="1" t="s">
        <v>496</v>
      </c>
      <c r="D131" s="1" t="s">
        <v>285</v>
      </c>
      <c r="E131" s="62" t="n">
        <v>1</v>
      </c>
      <c r="F131" s="26" t="n">
        <v>1326.53</v>
      </c>
      <c r="G131" s="26" t="n">
        <v>1326.53</v>
      </c>
      <c r="H131" s="1" t="s">
        <v>492</v>
      </c>
    </row>
    <row r="132" customFormat="false" ht="15" hidden="false" customHeight="true" outlineLevel="0" collapsed="false">
      <c r="A132" s="1" t="s">
        <v>392</v>
      </c>
      <c r="B132" s="1" t="s">
        <v>482</v>
      </c>
      <c r="C132" s="1" t="s">
        <v>495</v>
      </c>
      <c r="D132" s="1" t="s">
        <v>286</v>
      </c>
      <c r="E132" s="62" t="n">
        <v>0</v>
      </c>
      <c r="F132" s="26" t="n">
        <v>0</v>
      </c>
      <c r="G132" s="26" t="n">
        <v>0</v>
      </c>
      <c r="H132" s="1" t="s">
        <v>497</v>
      </c>
    </row>
    <row r="133" customFormat="false" ht="15" hidden="false" customHeight="true" outlineLevel="0" collapsed="false">
      <c r="A133" s="1" t="s">
        <v>392</v>
      </c>
      <c r="B133" s="1" t="s">
        <v>482</v>
      </c>
      <c r="C133" s="1" t="s">
        <v>487</v>
      </c>
      <c r="D133" s="1" t="s">
        <v>286</v>
      </c>
      <c r="E133" s="62" t="n">
        <v>4</v>
      </c>
      <c r="F133" s="26" t="n">
        <v>20</v>
      </c>
      <c r="G133" s="26" t="n">
        <v>80</v>
      </c>
      <c r="H133" s="1" t="s">
        <v>488</v>
      </c>
    </row>
    <row r="134" customFormat="false" ht="15" hidden="false" customHeight="true" outlineLevel="0" collapsed="false">
      <c r="A134" s="1" t="s">
        <v>392</v>
      </c>
      <c r="B134" s="1" t="s">
        <v>482</v>
      </c>
      <c r="C134" s="1" t="s">
        <v>489</v>
      </c>
      <c r="D134" s="1" t="s">
        <v>286</v>
      </c>
      <c r="E134" s="62" t="n">
        <v>0</v>
      </c>
      <c r="F134" s="26" t="n">
        <v>0</v>
      </c>
      <c r="G134" s="26" t="n">
        <v>0</v>
      </c>
      <c r="H134" s="1" t="s">
        <v>490</v>
      </c>
    </row>
    <row r="135" customFormat="false" ht="15" hidden="false" customHeight="true" outlineLevel="0" collapsed="false">
      <c r="A135" s="1" t="s">
        <v>392</v>
      </c>
      <c r="B135" s="1" t="s">
        <v>482</v>
      </c>
      <c r="C135" s="1" t="s">
        <v>496</v>
      </c>
      <c r="D135" s="1" t="s">
        <v>286</v>
      </c>
      <c r="E135" s="62" t="n">
        <v>1</v>
      </c>
      <c r="F135" s="26" t="n">
        <v>366.53</v>
      </c>
      <c r="G135" s="26" t="n">
        <v>366.53</v>
      </c>
      <c r="H135" s="1" t="s">
        <v>492</v>
      </c>
    </row>
    <row r="136" customFormat="false" ht="15" hidden="false" customHeight="true" outlineLevel="0" collapsed="false">
      <c r="A136" s="1" t="s">
        <v>392</v>
      </c>
      <c r="B136" s="1" t="s">
        <v>482</v>
      </c>
      <c r="C136" s="1" t="s">
        <v>483</v>
      </c>
      <c r="D136" s="1" t="s">
        <v>283</v>
      </c>
      <c r="E136" s="62" t="n">
        <v>0</v>
      </c>
      <c r="F136" s="26" t="n">
        <v>0</v>
      </c>
      <c r="G136" s="26" t="n">
        <v>0</v>
      </c>
      <c r="H136" s="1" t="s">
        <v>498</v>
      </c>
    </row>
    <row r="137" customFormat="false" ht="15" hidden="false" customHeight="true" outlineLevel="0" collapsed="false">
      <c r="A137" s="1" t="s">
        <v>392</v>
      </c>
      <c r="B137" s="1" t="s">
        <v>482</v>
      </c>
      <c r="C137" s="1" t="s">
        <v>487</v>
      </c>
      <c r="D137" s="1" t="s">
        <v>283</v>
      </c>
      <c r="E137" s="62" t="n">
        <v>8</v>
      </c>
      <c r="F137" s="26" t="n">
        <v>20</v>
      </c>
      <c r="G137" s="26" t="n">
        <v>160</v>
      </c>
      <c r="H137" s="1" t="s">
        <v>488</v>
      </c>
    </row>
    <row r="138" customFormat="false" ht="15" hidden="false" customHeight="true" outlineLevel="0" collapsed="false">
      <c r="A138" s="1" t="s">
        <v>392</v>
      </c>
      <c r="B138" s="1" t="s">
        <v>482</v>
      </c>
      <c r="C138" s="1" t="s">
        <v>489</v>
      </c>
      <c r="D138" s="1" t="s">
        <v>283</v>
      </c>
      <c r="E138" s="62" t="n">
        <v>1</v>
      </c>
      <c r="F138" s="26" t="n">
        <v>643.2</v>
      </c>
      <c r="G138" s="26" t="n">
        <v>643.2</v>
      </c>
      <c r="H138" s="1" t="s">
        <v>490</v>
      </c>
    </row>
    <row r="139" customFormat="false" ht="15" hidden="false" customHeight="true" outlineLevel="0" collapsed="false">
      <c r="A139" s="1" t="s">
        <v>392</v>
      </c>
      <c r="B139" s="1" t="s">
        <v>482</v>
      </c>
      <c r="C139" s="1" t="s">
        <v>491</v>
      </c>
      <c r="D139" s="1" t="s">
        <v>283</v>
      </c>
      <c r="E139" s="62" t="n">
        <v>1</v>
      </c>
      <c r="F139" s="26" t="n">
        <v>664.27</v>
      </c>
      <c r="G139" s="26" t="n">
        <v>664.27</v>
      </c>
      <c r="H139" s="1" t="s">
        <v>492</v>
      </c>
    </row>
    <row r="140" customFormat="false" ht="15" hidden="false" customHeight="true" outlineLevel="0" collapsed="false">
      <c r="A140" s="1" t="s">
        <v>392</v>
      </c>
      <c r="B140" s="1" t="s">
        <v>499</v>
      </c>
      <c r="C140" s="1" t="s">
        <v>500</v>
      </c>
      <c r="D140" s="1" t="s">
        <v>288</v>
      </c>
      <c r="E140" s="62" t="n">
        <v>0</v>
      </c>
      <c r="F140" s="26" t="n">
        <v>0</v>
      </c>
      <c r="G140" s="26" t="n">
        <v>0</v>
      </c>
      <c r="H140" s="1" t="s">
        <v>501</v>
      </c>
    </row>
    <row r="141" customFormat="false" ht="15" hidden="false" customHeight="true" outlineLevel="0" collapsed="false">
      <c r="A141" s="1" t="s">
        <v>392</v>
      </c>
      <c r="B141" s="1" t="s">
        <v>499</v>
      </c>
      <c r="C141" s="1" t="s">
        <v>502</v>
      </c>
      <c r="D141" s="1" t="s">
        <v>288</v>
      </c>
      <c r="E141" s="62" t="n">
        <v>0</v>
      </c>
      <c r="F141" s="26" t="n">
        <v>0</v>
      </c>
      <c r="G141" s="26" t="n">
        <v>0</v>
      </c>
      <c r="H141" s="1" t="s">
        <v>503</v>
      </c>
    </row>
    <row r="142" customFormat="false" ht="15" hidden="false" customHeight="true" outlineLevel="0" collapsed="false">
      <c r="A142" s="1" t="s">
        <v>392</v>
      </c>
      <c r="B142" s="1" t="s">
        <v>499</v>
      </c>
      <c r="C142" s="1" t="s">
        <v>504</v>
      </c>
      <c r="D142" s="1" t="s">
        <v>288</v>
      </c>
      <c r="E142" s="62" t="n">
        <v>0</v>
      </c>
      <c r="F142" s="26" t="n">
        <v>0</v>
      </c>
      <c r="G142" s="26" t="n">
        <v>0</v>
      </c>
      <c r="H142" s="1" t="s">
        <v>505</v>
      </c>
    </row>
    <row r="143" customFormat="false" ht="15" hidden="false" customHeight="true" outlineLevel="0" collapsed="false">
      <c r="A143" s="1" t="s">
        <v>392</v>
      </c>
      <c r="B143" s="1" t="s">
        <v>499</v>
      </c>
      <c r="C143" s="1" t="s">
        <v>506</v>
      </c>
      <c r="D143" s="1" t="s">
        <v>288</v>
      </c>
      <c r="E143" s="62" t="n">
        <v>0</v>
      </c>
      <c r="F143" s="26" t="n">
        <v>0</v>
      </c>
      <c r="G143" s="26" t="n">
        <v>0</v>
      </c>
      <c r="H143" s="1" t="s">
        <v>507</v>
      </c>
    </row>
    <row r="144" customFormat="false" ht="15" hidden="false" customHeight="true" outlineLevel="0" collapsed="false">
      <c r="A144" s="1" t="s">
        <v>392</v>
      </c>
      <c r="B144" s="1" t="s">
        <v>499</v>
      </c>
      <c r="C144" s="1" t="s">
        <v>508</v>
      </c>
      <c r="D144" s="1" t="s">
        <v>290</v>
      </c>
      <c r="E144" s="62" t="n">
        <v>1</v>
      </c>
      <c r="F144" s="26" t="n">
        <v>315.66</v>
      </c>
      <c r="G144" s="26" t="n">
        <v>315.66</v>
      </c>
      <c r="H144" s="1" t="s">
        <v>509</v>
      </c>
    </row>
    <row r="145" customFormat="false" ht="15" hidden="false" customHeight="true" outlineLevel="0" collapsed="false">
      <c r="A145" s="1" t="s">
        <v>392</v>
      </c>
      <c r="B145" s="1" t="s">
        <v>499</v>
      </c>
      <c r="C145" s="1" t="s">
        <v>510</v>
      </c>
      <c r="D145" s="1" t="s">
        <v>290</v>
      </c>
      <c r="E145" s="62" t="n">
        <v>0</v>
      </c>
      <c r="F145" s="26" t="n">
        <v>0</v>
      </c>
      <c r="G145" s="26" t="n">
        <v>0</v>
      </c>
      <c r="H145" s="1" t="s">
        <v>511</v>
      </c>
    </row>
    <row r="146" customFormat="false" ht="15" hidden="false" customHeight="true" outlineLevel="0" collapsed="false">
      <c r="A146" s="1" t="s">
        <v>392</v>
      </c>
      <c r="B146" s="1" t="s">
        <v>499</v>
      </c>
      <c r="C146" s="1" t="s">
        <v>512</v>
      </c>
      <c r="D146" s="1" t="s">
        <v>294</v>
      </c>
      <c r="E146" s="62" t="n">
        <v>1</v>
      </c>
      <c r="F146" s="26" t="n">
        <v>64.68</v>
      </c>
      <c r="G146" s="26" t="n">
        <v>64.68</v>
      </c>
      <c r="H146" s="1" t="s">
        <v>513</v>
      </c>
    </row>
    <row r="147" customFormat="false" ht="15" hidden="false" customHeight="true" outlineLevel="0" collapsed="false">
      <c r="A147" s="1" t="s">
        <v>392</v>
      </c>
      <c r="B147" s="1" t="s">
        <v>499</v>
      </c>
      <c r="C147" s="1" t="s">
        <v>514</v>
      </c>
      <c r="D147" s="1" t="s">
        <v>294</v>
      </c>
      <c r="E147" s="62" t="n">
        <v>-1</v>
      </c>
      <c r="F147" s="26" t="n">
        <v>2120.72</v>
      </c>
      <c r="G147" s="26" t="n">
        <v>-2120.72</v>
      </c>
      <c r="H147" s="1" t="s">
        <v>515</v>
      </c>
    </row>
    <row r="148" customFormat="false" ht="15" hidden="false" customHeight="true" outlineLevel="0" collapsed="false">
      <c r="A148" s="1" t="s">
        <v>392</v>
      </c>
      <c r="B148" s="1" t="s">
        <v>499</v>
      </c>
      <c r="C148" s="1" t="s">
        <v>516</v>
      </c>
      <c r="D148" s="1" t="s">
        <v>294</v>
      </c>
      <c r="E148" s="62" t="n">
        <v>0</v>
      </c>
      <c r="F148" s="26" t="n">
        <v>0</v>
      </c>
      <c r="G148" s="26" t="n">
        <v>0</v>
      </c>
      <c r="H148" s="1" t="s">
        <v>509</v>
      </c>
    </row>
    <row r="149" customFormat="false" ht="15" hidden="false" customHeight="true" outlineLevel="0" collapsed="false">
      <c r="A149" s="1" t="s">
        <v>392</v>
      </c>
      <c r="B149" s="1" t="s">
        <v>499</v>
      </c>
      <c r="C149" s="1" t="s">
        <v>517</v>
      </c>
      <c r="D149" s="1" t="s">
        <v>294</v>
      </c>
      <c r="E149" s="62" t="n">
        <v>1</v>
      </c>
      <c r="F149" s="26" t="n">
        <v>310.32</v>
      </c>
      <c r="G149" s="26" t="n">
        <v>310.32</v>
      </c>
      <c r="H149" s="1" t="s">
        <v>518</v>
      </c>
    </row>
    <row r="150" customFormat="false" ht="15" hidden="false" customHeight="true" outlineLevel="0" collapsed="false">
      <c r="A150" s="1" t="s">
        <v>392</v>
      </c>
      <c r="B150" s="1" t="s">
        <v>499</v>
      </c>
      <c r="C150" s="1" t="s">
        <v>519</v>
      </c>
      <c r="D150" s="1" t="s">
        <v>294</v>
      </c>
      <c r="E150" s="62" t="n">
        <v>-1</v>
      </c>
      <c r="F150" s="26" t="n">
        <v>4279.74</v>
      </c>
      <c r="G150" s="26" t="n">
        <v>-4279.74</v>
      </c>
      <c r="H150" s="1" t="s">
        <v>518</v>
      </c>
    </row>
    <row r="151" customFormat="false" ht="15" hidden="false" customHeight="true" outlineLevel="0" collapsed="false">
      <c r="A151" s="1" t="s">
        <v>392</v>
      </c>
      <c r="B151" s="1" t="s">
        <v>499</v>
      </c>
      <c r="C151" s="1" t="s">
        <v>520</v>
      </c>
      <c r="D151" s="1" t="s">
        <v>294</v>
      </c>
      <c r="E151" s="62" t="n">
        <v>1</v>
      </c>
      <c r="F151" s="26" t="n">
        <v>1612.93</v>
      </c>
      <c r="G151" s="26" t="n">
        <v>1612.93</v>
      </c>
      <c r="H151" s="1" t="s">
        <v>521</v>
      </c>
    </row>
    <row r="152" customFormat="false" ht="15" hidden="false" customHeight="true" outlineLevel="0" collapsed="false">
      <c r="A152" s="1" t="s">
        <v>392</v>
      </c>
      <c r="B152" s="1" t="s">
        <v>499</v>
      </c>
      <c r="C152" s="1" t="s">
        <v>522</v>
      </c>
      <c r="D152" s="1" t="s">
        <v>291</v>
      </c>
      <c r="E152" s="62" t="n">
        <v>0</v>
      </c>
      <c r="F152" s="26" t="n">
        <v>0</v>
      </c>
      <c r="G152" s="26" t="n">
        <v>0</v>
      </c>
      <c r="H152" s="1" t="s">
        <v>509</v>
      </c>
    </row>
    <row r="153" customFormat="false" ht="15" hidden="false" customHeight="true" outlineLevel="0" collapsed="false">
      <c r="A153" s="1" t="s">
        <v>392</v>
      </c>
      <c r="B153" s="1" t="s">
        <v>499</v>
      </c>
      <c r="C153" s="1" t="s">
        <v>523</v>
      </c>
      <c r="D153" s="1" t="s">
        <v>291</v>
      </c>
      <c r="E153" s="62" t="n">
        <v>0</v>
      </c>
      <c r="F153" s="26" t="n">
        <v>0</v>
      </c>
      <c r="G153" s="26" t="n">
        <v>0</v>
      </c>
      <c r="H153" s="1" t="s">
        <v>524</v>
      </c>
    </row>
    <row r="154" customFormat="false" ht="15" hidden="false" customHeight="true" outlineLevel="0" collapsed="false">
      <c r="A154" s="1" t="s">
        <v>392</v>
      </c>
      <c r="B154" s="1" t="s">
        <v>499</v>
      </c>
      <c r="C154" s="1" t="s">
        <v>525</v>
      </c>
      <c r="D154" s="1" t="s">
        <v>285</v>
      </c>
      <c r="E154" s="62" t="n">
        <v>0</v>
      </c>
      <c r="F154" s="26" t="n">
        <v>0</v>
      </c>
      <c r="G154" s="26" t="n">
        <v>0</v>
      </c>
      <c r="H154" s="1" t="s">
        <v>526</v>
      </c>
    </row>
    <row r="155" customFormat="false" ht="15" hidden="false" customHeight="true" outlineLevel="0" collapsed="false">
      <c r="A155" s="1" t="s">
        <v>392</v>
      </c>
      <c r="B155" s="1" t="s">
        <v>499</v>
      </c>
      <c r="C155" s="1" t="s">
        <v>527</v>
      </c>
      <c r="D155" s="1" t="s">
        <v>285</v>
      </c>
      <c r="E155" s="62" t="n">
        <v>0</v>
      </c>
      <c r="F155" s="26" t="n">
        <v>0</v>
      </c>
      <c r="G155" s="26" t="n">
        <v>0</v>
      </c>
      <c r="H155" s="1" t="s">
        <v>501</v>
      </c>
    </row>
    <row r="156" customFormat="false" ht="15" hidden="false" customHeight="true" outlineLevel="0" collapsed="false">
      <c r="A156" s="1" t="s">
        <v>392</v>
      </c>
      <c r="B156" s="1" t="s">
        <v>499</v>
      </c>
      <c r="C156" s="1" t="s">
        <v>528</v>
      </c>
      <c r="D156" s="1" t="s">
        <v>285</v>
      </c>
      <c r="E156" s="62" t="n">
        <v>0</v>
      </c>
      <c r="F156" s="26" t="n">
        <v>0</v>
      </c>
      <c r="G156" s="26" t="n">
        <v>0</v>
      </c>
      <c r="H156" s="1" t="s">
        <v>505</v>
      </c>
    </row>
    <row r="157" customFormat="false" ht="15" hidden="false" customHeight="true" outlineLevel="0" collapsed="false">
      <c r="A157" s="1" t="s">
        <v>392</v>
      </c>
      <c r="B157" s="1" t="s">
        <v>499</v>
      </c>
      <c r="C157" s="1" t="s">
        <v>529</v>
      </c>
      <c r="D157" s="1" t="s">
        <v>285</v>
      </c>
      <c r="E157" s="62" t="n">
        <v>0</v>
      </c>
      <c r="F157" s="26" t="n">
        <v>0</v>
      </c>
      <c r="G157" s="26" t="n">
        <v>0</v>
      </c>
      <c r="H157" s="1" t="s">
        <v>511</v>
      </c>
    </row>
    <row r="158" customFormat="false" ht="15" hidden="false" customHeight="true" outlineLevel="0" collapsed="false">
      <c r="A158" s="1" t="s">
        <v>392</v>
      </c>
      <c r="B158" s="1" t="s">
        <v>499</v>
      </c>
      <c r="C158" s="1" t="s">
        <v>525</v>
      </c>
      <c r="D158" s="1" t="s">
        <v>286</v>
      </c>
      <c r="E158" s="62" t="n">
        <v>0</v>
      </c>
      <c r="F158" s="26" t="n">
        <v>0</v>
      </c>
      <c r="G158" s="26" t="n">
        <v>0</v>
      </c>
      <c r="H158" s="1" t="s">
        <v>509</v>
      </c>
    </row>
    <row r="159" customFormat="false" ht="15" hidden="false" customHeight="true" outlineLevel="0" collapsed="false">
      <c r="A159" s="1" t="s">
        <v>392</v>
      </c>
      <c r="B159" s="1" t="s">
        <v>499</v>
      </c>
      <c r="C159" s="1" t="s">
        <v>530</v>
      </c>
      <c r="D159" s="1" t="s">
        <v>286</v>
      </c>
      <c r="E159" s="62" t="n">
        <v>0</v>
      </c>
      <c r="F159" s="26" t="n">
        <v>0</v>
      </c>
      <c r="G159" s="26" t="n">
        <v>0</v>
      </c>
      <c r="H159" s="1" t="s">
        <v>509</v>
      </c>
    </row>
    <row r="160" customFormat="false" ht="15" hidden="false" customHeight="true" outlineLevel="0" collapsed="false">
      <c r="A160" s="1" t="s">
        <v>392</v>
      </c>
      <c r="B160" s="1" t="s">
        <v>499</v>
      </c>
      <c r="C160" s="1" t="s">
        <v>531</v>
      </c>
      <c r="D160" s="1" t="s">
        <v>286</v>
      </c>
      <c r="E160" s="62" t="n">
        <v>0</v>
      </c>
      <c r="F160" s="26" t="n">
        <v>0</v>
      </c>
      <c r="G160" s="26" t="n">
        <v>0</v>
      </c>
      <c r="H160" s="1" t="s">
        <v>524</v>
      </c>
    </row>
    <row r="161" customFormat="false" ht="15" hidden="false" customHeight="true" outlineLevel="0" collapsed="false">
      <c r="A161" s="1" t="s">
        <v>392</v>
      </c>
      <c r="B161" s="1" t="s">
        <v>499</v>
      </c>
      <c r="C161" s="1" t="s">
        <v>529</v>
      </c>
      <c r="D161" s="1" t="s">
        <v>286</v>
      </c>
      <c r="E161" s="62" t="n">
        <v>0</v>
      </c>
      <c r="F161" s="26" t="n">
        <v>0</v>
      </c>
      <c r="G161" s="26" t="n">
        <v>0</v>
      </c>
      <c r="H161" s="1" t="s">
        <v>532</v>
      </c>
    </row>
    <row r="162" customFormat="false" ht="15" hidden="false" customHeight="true" outlineLevel="0" collapsed="false">
      <c r="A162" s="1" t="s">
        <v>392</v>
      </c>
      <c r="B162" s="1" t="s">
        <v>499</v>
      </c>
      <c r="C162" s="1" t="s">
        <v>533</v>
      </c>
      <c r="D162" s="1" t="s">
        <v>283</v>
      </c>
      <c r="E162" s="62" t="n">
        <v>4782</v>
      </c>
      <c r="F162" s="26" t="n">
        <v>0.31</v>
      </c>
      <c r="G162" s="26" t="n">
        <v>1482.42</v>
      </c>
      <c r="H162" s="1" t="s">
        <v>395</v>
      </c>
    </row>
    <row r="163" customFormat="false" ht="15" hidden="false" customHeight="true" outlineLevel="0" collapsed="false">
      <c r="A163" s="1" t="s">
        <v>392</v>
      </c>
      <c r="B163" s="1" t="s">
        <v>499</v>
      </c>
      <c r="C163" s="1" t="s">
        <v>534</v>
      </c>
      <c r="D163" s="1" t="s">
        <v>283</v>
      </c>
      <c r="E163" s="62" t="n">
        <v>1</v>
      </c>
      <c r="F163" s="26" t="n">
        <v>2480.38</v>
      </c>
      <c r="G163" s="26" t="n">
        <v>2480.38</v>
      </c>
      <c r="H163" s="1" t="s">
        <v>509</v>
      </c>
    </row>
    <row r="164" customFormat="false" ht="15" hidden="false" customHeight="true" outlineLevel="0" collapsed="false">
      <c r="A164" s="1" t="s">
        <v>392</v>
      </c>
      <c r="B164" s="1" t="s">
        <v>499</v>
      </c>
      <c r="C164" s="1" t="s">
        <v>535</v>
      </c>
      <c r="D164" s="1" t="s">
        <v>283</v>
      </c>
      <c r="E164" s="62" t="n">
        <v>0</v>
      </c>
      <c r="F164" s="26" t="n">
        <v>0</v>
      </c>
      <c r="G164" s="26" t="n">
        <v>0</v>
      </c>
      <c r="H164" s="1" t="s">
        <v>509</v>
      </c>
    </row>
    <row r="165" customFormat="false" ht="15" hidden="false" customHeight="true" outlineLevel="0" collapsed="false">
      <c r="A165" s="1" t="s">
        <v>392</v>
      </c>
      <c r="B165" s="1" t="s">
        <v>499</v>
      </c>
      <c r="C165" s="1" t="s">
        <v>536</v>
      </c>
      <c r="D165" s="1" t="s">
        <v>283</v>
      </c>
      <c r="E165" s="62" t="n">
        <v>1</v>
      </c>
      <c r="F165" s="26" t="n">
        <v>13877.08</v>
      </c>
      <c r="G165" s="26" t="n">
        <v>13877.08</v>
      </c>
      <c r="H165" s="1" t="s">
        <v>532</v>
      </c>
    </row>
    <row r="166" customFormat="false" ht="15" hidden="false" customHeight="true" outlineLevel="0" collapsed="false">
      <c r="A166" s="1" t="s">
        <v>392</v>
      </c>
      <c r="B166" s="1" t="s">
        <v>499</v>
      </c>
      <c r="C166" s="1" t="s">
        <v>537</v>
      </c>
      <c r="D166" s="1" t="s">
        <v>283</v>
      </c>
      <c r="E166" s="62" t="n">
        <v>0</v>
      </c>
      <c r="F166" s="26" t="n">
        <v>0</v>
      </c>
      <c r="G166" s="26" t="n">
        <v>0</v>
      </c>
      <c r="H166" s="1" t="s">
        <v>524</v>
      </c>
    </row>
    <row r="167" customFormat="false" ht="15" hidden="false" customHeight="true" outlineLevel="0" collapsed="false">
      <c r="A167" s="1" t="s">
        <v>392</v>
      </c>
      <c r="B167" s="1" t="s">
        <v>538</v>
      </c>
      <c r="C167" s="1" t="s">
        <v>539</v>
      </c>
      <c r="D167" s="1" t="s">
        <v>290</v>
      </c>
      <c r="E167" s="62" t="n">
        <v>1</v>
      </c>
      <c r="F167" s="26" t="n">
        <v>238.88</v>
      </c>
      <c r="G167" s="26" t="n">
        <v>238.88</v>
      </c>
      <c r="H167" s="1" t="s">
        <v>540</v>
      </c>
    </row>
    <row r="168" customFormat="false" ht="15" hidden="false" customHeight="true" outlineLevel="0" collapsed="false">
      <c r="A168" s="1" t="s">
        <v>392</v>
      </c>
      <c r="B168" s="1" t="s">
        <v>538</v>
      </c>
      <c r="C168" s="1" t="s">
        <v>541</v>
      </c>
      <c r="D168" s="1" t="s">
        <v>290</v>
      </c>
      <c r="E168" s="62" t="n">
        <v>1</v>
      </c>
      <c r="F168" s="26" t="n">
        <v>609.17</v>
      </c>
      <c r="G168" s="26" t="n">
        <v>609.17</v>
      </c>
      <c r="H168" s="1" t="s">
        <v>540</v>
      </c>
    </row>
    <row r="169" customFormat="false" ht="15" hidden="false" customHeight="true" outlineLevel="0" collapsed="false">
      <c r="A169" s="1" t="s">
        <v>392</v>
      </c>
      <c r="B169" s="1" t="s">
        <v>538</v>
      </c>
      <c r="C169" s="1" t="s">
        <v>542</v>
      </c>
      <c r="D169" s="1" t="s">
        <v>290</v>
      </c>
      <c r="E169" s="62" t="n">
        <v>1</v>
      </c>
      <c r="F169" s="26" t="n">
        <v>510</v>
      </c>
      <c r="G169" s="26" t="n">
        <v>510</v>
      </c>
      <c r="H169" s="1" t="s">
        <v>540</v>
      </c>
    </row>
    <row r="170" customFormat="false" ht="15" hidden="false" customHeight="true" outlineLevel="0" collapsed="false">
      <c r="A170" s="1" t="s">
        <v>392</v>
      </c>
      <c r="B170" s="1" t="s">
        <v>538</v>
      </c>
      <c r="C170" s="1" t="s">
        <v>543</v>
      </c>
      <c r="D170" s="1" t="s">
        <v>290</v>
      </c>
      <c r="E170" s="62" t="n">
        <v>1</v>
      </c>
      <c r="F170" s="26" t="n">
        <v>333.1</v>
      </c>
      <c r="G170" s="26" t="n">
        <v>333.1</v>
      </c>
      <c r="H170" s="1" t="s">
        <v>544</v>
      </c>
    </row>
    <row r="171" customFormat="false" ht="15" hidden="false" customHeight="true" outlineLevel="0" collapsed="false">
      <c r="A171" s="1" t="s">
        <v>392</v>
      </c>
      <c r="B171" s="1" t="s">
        <v>538</v>
      </c>
      <c r="C171" s="1" t="s">
        <v>545</v>
      </c>
      <c r="D171" s="1" t="s">
        <v>290</v>
      </c>
      <c r="E171" s="62" t="n">
        <v>1</v>
      </c>
      <c r="F171" s="26" t="n">
        <v>1833.24</v>
      </c>
      <c r="G171" s="26" t="n">
        <v>1833.24</v>
      </c>
      <c r="H171" s="1" t="s">
        <v>540</v>
      </c>
    </row>
    <row r="172" customFormat="false" ht="15" hidden="false" customHeight="true" outlineLevel="0" collapsed="false">
      <c r="A172" s="1" t="s">
        <v>392</v>
      </c>
      <c r="B172" s="1" t="s">
        <v>538</v>
      </c>
      <c r="C172" s="1" t="s">
        <v>546</v>
      </c>
      <c r="D172" s="1" t="s">
        <v>290</v>
      </c>
      <c r="E172" s="62" t="n">
        <v>1</v>
      </c>
      <c r="F172" s="26" t="n">
        <v>2973.2</v>
      </c>
      <c r="G172" s="26" t="n">
        <v>2973.2</v>
      </c>
      <c r="H172" s="1" t="s">
        <v>540</v>
      </c>
    </row>
    <row r="173" customFormat="false" ht="15" hidden="false" customHeight="true" outlineLevel="0" collapsed="false">
      <c r="A173" s="1" t="s">
        <v>392</v>
      </c>
      <c r="B173" s="1" t="s">
        <v>538</v>
      </c>
      <c r="C173" s="1" t="s">
        <v>547</v>
      </c>
      <c r="D173" s="1" t="s">
        <v>290</v>
      </c>
      <c r="E173" s="62" t="n">
        <v>1</v>
      </c>
      <c r="F173" s="26" t="n">
        <v>7615.46</v>
      </c>
      <c r="G173" s="26" t="n">
        <v>7615.46</v>
      </c>
      <c r="H173" s="1" t="s">
        <v>540</v>
      </c>
    </row>
    <row r="174" customFormat="false" ht="15" hidden="false" customHeight="true" outlineLevel="0" collapsed="false">
      <c r="A174" s="1" t="s">
        <v>392</v>
      </c>
      <c r="B174" s="1" t="s">
        <v>538</v>
      </c>
      <c r="C174" s="1" t="s">
        <v>548</v>
      </c>
      <c r="D174" s="1" t="s">
        <v>291</v>
      </c>
      <c r="E174" s="62" t="n">
        <v>-1</v>
      </c>
      <c r="F174" s="26" t="n">
        <v>837.25</v>
      </c>
      <c r="G174" s="26" t="n">
        <v>-837.25</v>
      </c>
      <c r="H174" s="1" t="s">
        <v>549</v>
      </c>
    </row>
    <row r="175" customFormat="false" ht="15" hidden="false" customHeight="true" outlineLevel="0" collapsed="false">
      <c r="A175" s="1" t="s">
        <v>392</v>
      </c>
      <c r="B175" s="1" t="s">
        <v>538</v>
      </c>
      <c r="C175" s="1" t="s">
        <v>539</v>
      </c>
      <c r="D175" s="1" t="s">
        <v>291</v>
      </c>
      <c r="E175" s="62" t="n">
        <v>-1</v>
      </c>
      <c r="F175" s="26" t="n">
        <v>238.88</v>
      </c>
      <c r="G175" s="26" t="n">
        <v>-238.88</v>
      </c>
      <c r="H175" s="1" t="s">
        <v>540</v>
      </c>
    </row>
    <row r="176" customFormat="false" ht="15" hidden="false" customHeight="true" outlineLevel="0" collapsed="false">
      <c r="A176" s="1" t="s">
        <v>392</v>
      </c>
      <c r="B176" s="1" t="s">
        <v>538</v>
      </c>
      <c r="C176" s="1" t="s">
        <v>539</v>
      </c>
      <c r="D176" s="1" t="s">
        <v>291</v>
      </c>
      <c r="E176" s="62" t="n">
        <v>1</v>
      </c>
      <c r="F176" s="26" t="n">
        <v>34.83</v>
      </c>
      <c r="G176" s="26" t="n">
        <v>34.83</v>
      </c>
      <c r="H176" s="1" t="s">
        <v>550</v>
      </c>
    </row>
    <row r="177" customFormat="false" ht="15" hidden="false" customHeight="true" outlineLevel="0" collapsed="false">
      <c r="A177" s="1" t="s">
        <v>392</v>
      </c>
      <c r="B177" s="1" t="s">
        <v>538</v>
      </c>
      <c r="C177" s="1" t="s">
        <v>427</v>
      </c>
      <c r="D177" s="1" t="s">
        <v>283</v>
      </c>
      <c r="E177" s="62" t="n">
        <v>1</v>
      </c>
      <c r="F177" s="26" t="n">
        <v>25.5</v>
      </c>
      <c r="G177" s="26" t="n">
        <v>25.5</v>
      </c>
      <c r="H177" s="1" t="s">
        <v>551</v>
      </c>
    </row>
    <row r="178" customFormat="false" ht="15" hidden="false" customHeight="true" outlineLevel="0" collapsed="false">
      <c r="A178" s="1" t="s">
        <v>392</v>
      </c>
      <c r="B178" s="1" t="s">
        <v>538</v>
      </c>
      <c r="C178" s="1" t="s">
        <v>542</v>
      </c>
      <c r="D178" s="1" t="s">
        <v>283</v>
      </c>
      <c r="E178" s="62" t="n">
        <v>1</v>
      </c>
      <c r="F178" s="26" t="n">
        <v>67.33</v>
      </c>
      <c r="G178" s="26" t="n">
        <v>67.33</v>
      </c>
      <c r="H178" s="1" t="s">
        <v>552</v>
      </c>
    </row>
    <row r="179" customFormat="false" ht="15" hidden="false" customHeight="true" outlineLevel="0" collapsed="false">
      <c r="A179" s="1" t="s">
        <v>392</v>
      </c>
      <c r="B179" s="1" t="s">
        <v>538</v>
      </c>
      <c r="C179" s="1" t="s">
        <v>542</v>
      </c>
      <c r="D179" s="1" t="s">
        <v>283</v>
      </c>
      <c r="E179" s="62" t="n">
        <v>-1</v>
      </c>
      <c r="F179" s="26" t="n">
        <v>510</v>
      </c>
      <c r="G179" s="26" t="n">
        <v>-510</v>
      </c>
      <c r="H179" s="1" t="s">
        <v>540</v>
      </c>
    </row>
    <row r="180" customFormat="false" ht="15" hidden="false" customHeight="true" outlineLevel="0" collapsed="false">
      <c r="A180" s="1" t="s">
        <v>392</v>
      </c>
      <c r="B180" s="1" t="s">
        <v>47</v>
      </c>
      <c r="C180" s="1" t="s">
        <v>553</v>
      </c>
      <c r="D180" s="1" t="s">
        <v>288</v>
      </c>
      <c r="E180" s="62" t="n">
        <v>1</v>
      </c>
      <c r="F180" s="26" t="n">
        <v>7780.43</v>
      </c>
      <c r="G180" s="26" t="n">
        <v>7780.43</v>
      </c>
      <c r="H180" s="1" t="s">
        <v>554</v>
      </c>
    </row>
    <row r="181" customFormat="false" ht="15" hidden="false" customHeight="true" outlineLevel="0" collapsed="false">
      <c r="A181" s="1" t="s">
        <v>392</v>
      </c>
      <c r="B181" s="1" t="s">
        <v>47</v>
      </c>
      <c r="C181" s="1" t="s">
        <v>553</v>
      </c>
      <c r="D181" s="1" t="s">
        <v>290</v>
      </c>
      <c r="E181" s="62" t="n">
        <v>1</v>
      </c>
      <c r="F181" s="26" t="n">
        <v>2777.71</v>
      </c>
      <c r="G181" s="26" t="n">
        <v>2777.71</v>
      </c>
      <c r="H181" s="1" t="s">
        <v>555</v>
      </c>
    </row>
    <row r="182" customFormat="false" ht="15" hidden="false" customHeight="true" outlineLevel="0" collapsed="false">
      <c r="A182" s="1" t="s">
        <v>392</v>
      </c>
      <c r="B182" s="1" t="s">
        <v>47</v>
      </c>
      <c r="C182" s="1" t="s">
        <v>553</v>
      </c>
      <c r="D182" s="1" t="s">
        <v>294</v>
      </c>
      <c r="E182" s="62" t="n">
        <v>0</v>
      </c>
      <c r="F182" s="26" t="n">
        <v>0</v>
      </c>
      <c r="G182" s="26" t="n">
        <v>0</v>
      </c>
      <c r="H182" s="1" t="s">
        <v>556</v>
      </c>
    </row>
    <row r="183" customFormat="false" ht="15" hidden="false" customHeight="true" outlineLevel="0" collapsed="false">
      <c r="A183" s="1" t="s">
        <v>392</v>
      </c>
      <c r="B183" s="1" t="s">
        <v>47</v>
      </c>
      <c r="C183" s="1" t="s">
        <v>553</v>
      </c>
      <c r="D183" s="1" t="s">
        <v>291</v>
      </c>
      <c r="E183" s="62" t="n">
        <v>1</v>
      </c>
      <c r="F183" s="26" t="n">
        <v>4438.18</v>
      </c>
      <c r="G183" s="26" t="n">
        <v>4438.18</v>
      </c>
      <c r="H183" s="1" t="s">
        <v>557</v>
      </c>
    </row>
    <row r="184" customFormat="false" ht="15" hidden="false" customHeight="true" outlineLevel="0" collapsed="false">
      <c r="A184" s="1" t="s">
        <v>392</v>
      </c>
      <c r="B184" s="1" t="s">
        <v>47</v>
      </c>
      <c r="C184" s="1" t="s">
        <v>553</v>
      </c>
      <c r="D184" s="1" t="s">
        <v>285</v>
      </c>
      <c r="E184" s="62" t="n">
        <v>1</v>
      </c>
      <c r="F184" s="26" t="n">
        <v>5054.07</v>
      </c>
      <c r="G184" s="26" t="n">
        <v>5054.07</v>
      </c>
      <c r="H184" s="1" t="s">
        <v>558</v>
      </c>
    </row>
    <row r="185" customFormat="false" ht="15" hidden="false" customHeight="true" outlineLevel="0" collapsed="false">
      <c r="A185" s="1" t="s">
        <v>392</v>
      </c>
      <c r="B185" s="1" t="s">
        <v>47</v>
      </c>
      <c r="C185" s="1" t="s">
        <v>553</v>
      </c>
      <c r="D185" s="1" t="s">
        <v>286</v>
      </c>
      <c r="E185" s="62" t="n">
        <v>0</v>
      </c>
      <c r="F185" s="26" t="n">
        <v>0</v>
      </c>
      <c r="G185" s="26" t="n">
        <v>0</v>
      </c>
      <c r="H185" s="1" t="s">
        <v>556</v>
      </c>
    </row>
    <row r="186" customFormat="false" ht="15" hidden="false" customHeight="true" outlineLevel="0" collapsed="false">
      <c r="A186" s="1" t="s">
        <v>392</v>
      </c>
      <c r="B186" s="1" t="s">
        <v>47</v>
      </c>
      <c r="C186" s="1" t="s">
        <v>553</v>
      </c>
      <c r="D186" s="1" t="s">
        <v>283</v>
      </c>
      <c r="E186" s="62" t="n">
        <v>1</v>
      </c>
      <c r="F186" s="26" t="n">
        <v>1379.96</v>
      </c>
      <c r="G186" s="26" t="n">
        <v>1379.96</v>
      </c>
      <c r="H186" s="1" t="s">
        <v>559</v>
      </c>
    </row>
    <row r="187" customFormat="false" ht="15" hidden="false" customHeight="true" outlineLevel="0" collapsed="false">
      <c r="A187" s="1" t="s">
        <v>392</v>
      </c>
      <c r="B187" s="1" t="s">
        <v>85</v>
      </c>
      <c r="C187" s="1" t="s">
        <v>560</v>
      </c>
      <c r="D187" s="1" t="s">
        <v>276</v>
      </c>
      <c r="E187" s="62" t="n">
        <v>1</v>
      </c>
      <c r="F187" s="26" t="n">
        <v>404.4</v>
      </c>
      <c r="G187" s="26" t="n">
        <v>404.4</v>
      </c>
      <c r="H187" s="1" t="s">
        <v>561</v>
      </c>
    </row>
    <row r="188" customFormat="false" ht="15" hidden="false" customHeight="true" outlineLevel="0" collapsed="false">
      <c r="A188" s="1" t="s">
        <v>392</v>
      </c>
      <c r="B188" s="1" t="s">
        <v>85</v>
      </c>
      <c r="C188" s="1" t="s">
        <v>560</v>
      </c>
      <c r="D188" s="1" t="s">
        <v>276</v>
      </c>
      <c r="E188" s="62" t="n">
        <v>139</v>
      </c>
      <c r="F188" s="26" t="n">
        <v>124.1</v>
      </c>
      <c r="G188" s="26" t="n">
        <v>17249.9</v>
      </c>
      <c r="H188" s="1" t="s">
        <v>562</v>
      </c>
    </row>
    <row r="189" customFormat="false" ht="15" hidden="false" customHeight="true" outlineLevel="0" collapsed="false">
      <c r="A189" s="1" t="s">
        <v>392</v>
      </c>
      <c r="B189" s="1" t="s">
        <v>85</v>
      </c>
      <c r="C189" s="1" t="s">
        <v>560</v>
      </c>
      <c r="D189" s="1" t="s">
        <v>288</v>
      </c>
      <c r="E189" s="62" t="n">
        <v>3</v>
      </c>
      <c r="F189" s="26" t="n">
        <v>143.82</v>
      </c>
      <c r="G189" s="26" t="n">
        <v>431.46</v>
      </c>
      <c r="H189" s="1" t="s">
        <v>562</v>
      </c>
    </row>
    <row r="190" customFormat="false" ht="15" hidden="false" customHeight="true" outlineLevel="0" collapsed="false">
      <c r="A190" s="1" t="s">
        <v>392</v>
      </c>
      <c r="B190" s="1" t="s">
        <v>85</v>
      </c>
      <c r="C190" s="1" t="s">
        <v>560</v>
      </c>
      <c r="D190" s="1" t="s">
        <v>290</v>
      </c>
      <c r="E190" s="62" t="n">
        <v>12</v>
      </c>
      <c r="F190" s="26" t="n">
        <v>133.21</v>
      </c>
      <c r="G190" s="26" t="n">
        <v>1598.52</v>
      </c>
      <c r="H190" s="1" t="s">
        <v>562</v>
      </c>
    </row>
    <row r="191" customFormat="false" ht="15" hidden="false" customHeight="true" outlineLevel="0" collapsed="false">
      <c r="A191" s="1" t="s">
        <v>392</v>
      </c>
      <c r="B191" s="1" t="s">
        <v>85</v>
      </c>
      <c r="C191" s="1" t="s">
        <v>560</v>
      </c>
      <c r="D191" s="1" t="s">
        <v>294</v>
      </c>
      <c r="E191" s="62" t="n">
        <v>15</v>
      </c>
      <c r="F191" s="26" t="n">
        <v>151.02</v>
      </c>
      <c r="G191" s="26" t="n">
        <v>2265.3</v>
      </c>
      <c r="H191" s="1" t="s">
        <v>562</v>
      </c>
    </row>
    <row r="192" customFormat="false" ht="15" hidden="false" customHeight="true" outlineLevel="0" collapsed="false">
      <c r="A192" s="1" t="s">
        <v>392</v>
      </c>
      <c r="B192" s="1" t="s">
        <v>85</v>
      </c>
      <c r="C192" s="1" t="s">
        <v>560</v>
      </c>
      <c r="D192" s="1" t="s">
        <v>291</v>
      </c>
      <c r="E192" s="62" t="n">
        <v>20</v>
      </c>
      <c r="F192" s="26" t="n">
        <v>151.92</v>
      </c>
      <c r="G192" s="26" t="n">
        <v>3038.4</v>
      </c>
      <c r="H192" s="1" t="s">
        <v>562</v>
      </c>
    </row>
    <row r="193" customFormat="false" ht="15" hidden="false" customHeight="true" outlineLevel="0" collapsed="false">
      <c r="A193" s="1" t="s">
        <v>392</v>
      </c>
      <c r="B193" s="1" t="s">
        <v>85</v>
      </c>
      <c r="C193" s="1" t="s">
        <v>560</v>
      </c>
      <c r="D193" s="1" t="s">
        <v>285</v>
      </c>
      <c r="E193" s="62" t="n">
        <v>10</v>
      </c>
      <c r="F193" s="26" t="n">
        <v>151.02</v>
      </c>
      <c r="G193" s="26" t="n">
        <v>1510.2</v>
      </c>
      <c r="H193" s="1" t="s">
        <v>562</v>
      </c>
    </row>
    <row r="194" customFormat="false" ht="15" hidden="false" customHeight="true" outlineLevel="0" collapsed="false">
      <c r="A194" s="1" t="s">
        <v>392</v>
      </c>
      <c r="B194" s="1" t="s">
        <v>85</v>
      </c>
      <c r="C194" s="1" t="s">
        <v>560</v>
      </c>
      <c r="D194" s="1" t="s">
        <v>286</v>
      </c>
      <c r="E194" s="62" t="n">
        <v>1</v>
      </c>
      <c r="F194" s="26" t="n">
        <v>143.82</v>
      </c>
      <c r="G194" s="26" t="n">
        <v>143.82</v>
      </c>
      <c r="H194" s="1" t="s">
        <v>562</v>
      </c>
    </row>
    <row r="195" customFormat="false" ht="15" hidden="false" customHeight="true" outlineLevel="0" collapsed="false">
      <c r="A195" s="1" t="s">
        <v>392</v>
      </c>
      <c r="B195" s="1" t="s">
        <v>85</v>
      </c>
      <c r="C195" s="1" t="s">
        <v>560</v>
      </c>
      <c r="D195" s="1" t="s">
        <v>283</v>
      </c>
      <c r="E195" s="62" t="n">
        <v>9</v>
      </c>
      <c r="F195" s="26" t="n">
        <v>123.18</v>
      </c>
      <c r="G195" s="26" t="n">
        <v>1108.62</v>
      </c>
      <c r="H195" s="1" t="s">
        <v>562</v>
      </c>
    </row>
    <row r="196" customFormat="false" ht="15" hidden="false" customHeight="true" outlineLevel="0" collapsed="false">
      <c r="A196" s="1" t="s">
        <v>392</v>
      </c>
      <c r="B196" s="1" t="s">
        <v>32</v>
      </c>
      <c r="C196" s="1" t="s">
        <v>563</v>
      </c>
      <c r="D196" s="1" t="s">
        <v>288</v>
      </c>
      <c r="E196" s="62" t="n">
        <v>1</v>
      </c>
      <c r="F196" s="26" t="n">
        <v>209</v>
      </c>
      <c r="G196" s="26" t="n">
        <v>209</v>
      </c>
      <c r="H196" s="1" t="s">
        <v>564</v>
      </c>
    </row>
    <row r="197" customFormat="false" ht="15" hidden="false" customHeight="true" outlineLevel="0" collapsed="false">
      <c r="A197" s="1" t="s">
        <v>392</v>
      </c>
      <c r="B197" s="1" t="s">
        <v>32</v>
      </c>
      <c r="C197" s="1" t="s">
        <v>565</v>
      </c>
      <c r="D197" s="1" t="s">
        <v>288</v>
      </c>
      <c r="E197" s="62" t="n">
        <v>1</v>
      </c>
      <c r="F197" s="26" t="n">
        <v>419.64</v>
      </c>
      <c r="G197" s="26" t="n">
        <v>419.64</v>
      </c>
      <c r="H197" s="1" t="s">
        <v>566</v>
      </c>
    </row>
    <row r="198" customFormat="false" ht="15" hidden="false" customHeight="true" outlineLevel="0" collapsed="false">
      <c r="A198" s="1" t="s">
        <v>392</v>
      </c>
      <c r="B198" s="1" t="s">
        <v>32</v>
      </c>
      <c r="C198" s="1" t="s">
        <v>563</v>
      </c>
      <c r="D198" s="1" t="s">
        <v>294</v>
      </c>
      <c r="E198" s="62" t="n">
        <v>0</v>
      </c>
      <c r="F198" s="26" t="n">
        <v>0</v>
      </c>
      <c r="G198" s="26" t="n">
        <v>0</v>
      </c>
      <c r="H198" s="1" t="s">
        <v>564</v>
      </c>
    </row>
    <row r="199" customFormat="false" ht="15" hidden="false" customHeight="true" outlineLevel="0" collapsed="false">
      <c r="A199" s="1" t="s">
        <v>392</v>
      </c>
      <c r="B199" s="1" t="s">
        <v>32</v>
      </c>
      <c r="C199" s="1" t="s">
        <v>565</v>
      </c>
      <c r="D199" s="1" t="s">
        <v>294</v>
      </c>
      <c r="E199" s="62" t="n">
        <v>0</v>
      </c>
      <c r="F199" s="26" t="n">
        <v>0</v>
      </c>
      <c r="G199" s="26" t="n">
        <v>0</v>
      </c>
      <c r="H199" s="1" t="s">
        <v>567</v>
      </c>
    </row>
    <row r="200" customFormat="false" ht="15" hidden="false" customHeight="true" outlineLevel="0" collapsed="false">
      <c r="A200" s="1" t="s">
        <v>392</v>
      </c>
      <c r="B200" s="1" t="s">
        <v>32</v>
      </c>
      <c r="C200" s="1" t="s">
        <v>563</v>
      </c>
      <c r="D200" s="1" t="s">
        <v>291</v>
      </c>
      <c r="E200" s="62" t="n">
        <v>1</v>
      </c>
      <c r="F200" s="26" t="n">
        <v>280</v>
      </c>
      <c r="G200" s="26" t="n">
        <v>280</v>
      </c>
      <c r="H200" s="1" t="s">
        <v>564</v>
      </c>
    </row>
    <row r="201" customFormat="false" ht="15" hidden="false" customHeight="true" outlineLevel="0" collapsed="false">
      <c r="A201" s="1" t="s">
        <v>392</v>
      </c>
      <c r="B201" s="1" t="s">
        <v>32</v>
      </c>
      <c r="C201" s="1" t="s">
        <v>563</v>
      </c>
      <c r="D201" s="1" t="s">
        <v>291</v>
      </c>
      <c r="E201" s="62" t="n">
        <v>0</v>
      </c>
      <c r="F201" s="26" t="n">
        <v>0</v>
      </c>
      <c r="G201" s="26" t="n">
        <v>0</v>
      </c>
      <c r="H201" s="1" t="s">
        <v>564</v>
      </c>
    </row>
    <row r="202" customFormat="false" ht="15" hidden="false" customHeight="true" outlineLevel="0" collapsed="false">
      <c r="A202" s="1" t="s">
        <v>392</v>
      </c>
      <c r="B202" s="1" t="s">
        <v>32</v>
      </c>
      <c r="C202" s="1" t="s">
        <v>563</v>
      </c>
      <c r="D202" s="1" t="s">
        <v>285</v>
      </c>
      <c r="E202" s="62" t="n">
        <v>1</v>
      </c>
      <c r="F202" s="26" t="n">
        <v>492</v>
      </c>
      <c r="G202" s="26" t="n">
        <v>492</v>
      </c>
      <c r="H202" s="1" t="s">
        <v>564</v>
      </c>
    </row>
    <row r="203" customFormat="false" ht="15" hidden="false" customHeight="true" outlineLevel="0" collapsed="false">
      <c r="A203" s="1" t="s">
        <v>392</v>
      </c>
      <c r="B203" s="1" t="s">
        <v>32</v>
      </c>
      <c r="C203" s="1" t="s">
        <v>565</v>
      </c>
      <c r="D203" s="1" t="s">
        <v>285</v>
      </c>
      <c r="E203" s="62" t="n">
        <v>1</v>
      </c>
      <c r="F203" s="26" t="n">
        <v>668.79</v>
      </c>
      <c r="G203" s="26" t="n">
        <v>668.79</v>
      </c>
      <c r="H203" s="1" t="s">
        <v>566</v>
      </c>
    </row>
    <row r="204" customFormat="false" ht="15" hidden="false" customHeight="true" outlineLevel="0" collapsed="false">
      <c r="A204" s="1" t="s">
        <v>392</v>
      </c>
      <c r="B204" s="1" t="s">
        <v>32</v>
      </c>
      <c r="C204" s="1" t="s">
        <v>563</v>
      </c>
      <c r="D204" s="1" t="s">
        <v>286</v>
      </c>
      <c r="E204" s="62" t="n">
        <v>0</v>
      </c>
      <c r="F204" s="26" t="n">
        <v>0</v>
      </c>
      <c r="G204" s="26" t="n">
        <v>0</v>
      </c>
      <c r="H204" s="1" t="s">
        <v>564</v>
      </c>
    </row>
    <row r="205" customFormat="false" ht="15" hidden="false" customHeight="true" outlineLevel="0" collapsed="false">
      <c r="A205" s="1" t="s">
        <v>392</v>
      </c>
      <c r="B205" s="1" t="s">
        <v>32</v>
      </c>
      <c r="C205" s="1" t="s">
        <v>563</v>
      </c>
      <c r="D205" s="1" t="s">
        <v>283</v>
      </c>
      <c r="E205" s="62" t="n">
        <v>1</v>
      </c>
      <c r="F205" s="26" t="n">
        <v>204</v>
      </c>
      <c r="G205" s="26" t="n">
        <v>204</v>
      </c>
      <c r="H205" s="1" t="s">
        <v>564</v>
      </c>
    </row>
    <row r="206" customFormat="false" ht="15" hidden="false" customHeight="true" outlineLevel="0" collapsed="false">
      <c r="A206" s="1" t="s">
        <v>392</v>
      </c>
      <c r="B206" s="1" t="s">
        <v>32</v>
      </c>
      <c r="C206" s="1" t="s">
        <v>565</v>
      </c>
      <c r="D206" s="1" t="s">
        <v>283</v>
      </c>
      <c r="E206" s="62" t="n">
        <v>1</v>
      </c>
      <c r="F206" s="26" t="n">
        <v>348.7</v>
      </c>
      <c r="G206" s="26" t="n">
        <v>348.7</v>
      </c>
      <c r="H206" s="1" t="s">
        <v>568</v>
      </c>
    </row>
    <row r="207" customFormat="false" ht="15" hidden="false" customHeight="true" outlineLevel="0" collapsed="false">
      <c r="A207" s="1" t="s">
        <v>392</v>
      </c>
      <c r="B207" s="1" t="s">
        <v>569</v>
      </c>
      <c r="C207" s="1" t="s">
        <v>570</v>
      </c>
      <c r="D207" s="1" t="s">
        <v>290</v>
      </c>
      <c r="E207" s="62" t="n">
        <v>13402</v>
      </c>
      <c r="F207" s="26" t="n">
        <v>2.21459650529971</v>
      </c>
      <c r="G207" s="26" t="n">
        <v>29680.0223640267</v>
      </c>
      <c r="H207" s="1" t="s">
        <v>395</v>
      </c>
    </row>
    <row r="208" customFormat="false" ht="15" hidden="false" customHeight="true" outlineLevel="0" collapsed="false">
      <c r="A208" s="1" t="s">
        <v>392</v>
      </c>
      <c r="B208" s="1" t="s">
        <v>44</v>
      </c>
      <c r="C208" s="1" t="s">
        <v>571</v>
      </c>
      <c r="D208" s="1" t="s">
        <v>288</v>
      </c>
      <c r="E208" s="62" t="n">
        <v>0</v>
      </c>
      <c r="F208" s="26" t="n">
        <v>0</v>
      </c>
      <c r="G208" s="26" t="n">
        <v>0</v>
      </c>
      <c r="H208" s="1" t="s">
        <v>572</v>
      </c>
    </row>
    <row r="209" customFormat="false" ht="15" hidden="false" customHeight="true" outlineLevel="0" collapsed="false">
      <c r="A209" s="1" t="s">
        <v>392</v>
      </c>
      <c r="B209" s="1" t="s">
        <v>44</v>
      </c>
      <c r="C209" s="1" t="s">
        <v>571</v>
      </c>
      <c r="D209" s="1" t="s">
        <v>288</v>
      </c>
      <c r="E209" s="62" t="n">
        <v>1</v>
      </c>
      <c r="F209" s="26" t="n">
        <v>13006.38</v>
      </c>
      <c r="G209" s="26" t="n">
        <v>13006.38</v>
      </c>
      <c r="H209" s="1" t="s">
        <v>573</v>
      </c>
    </row>
    <row r="210" customFormat="false" ht="15" hidden="false" customHeight="true" outlineLevel="0" collapsed="false">
      <c r="A210" s="1" t="s">
        <v>392</v>
      </c>
      <c r="B210" s="1" t="s">
        <v>44</v>
      </c>
      <c r="C210" s="1" t="s">
        <v>571</v>
      </c>
      <c r="D210" s="1" t="s">
        <v>290</v>
      </c>
      <c r="E210" s="62" t="n">
        <v>0</v>
      </c>
      <c r="F210" s="26" t="n">
        <v>0</v>
      </c>
      <c r="G210" s="26" t="n">
        <v>0</v>
      </c>
      <c r="H210" s="1" t="s">
        <v>573</v>
      </c>
    </row>
    <row r="211" customFormat="false" ht="15" hidden="false" customHeight="true" outlineLevel="0" collapsed="false">
      <c r="A211" s="1" t="s">
        <v>392</v>
      </c>
      <c r="B211" s="1" t="s">
        <v>44</v>
      </c>
      <c r="C211" s="1" t="s">
        <v>574</v>
      </c>
      <c r="D211" s="1" t="s">
        <v>290</v>
      </c>
      <c r="E211" s="62" t="n">
        <v>0</v>
      </c>
      <c r="F211" s="26" t="n">
        <v>0</v>
      </c>
      <c r="G211" s="26" t="n">
        <v>0</v>
      </c>
      <c r="H211" s="1" t="s">
        <v>575</v>
      </c>
    </row>
    <row r="212" customFormat="false" ht="15" hidden="false" customHeight="true" outlineLevel="0" collapsed="false">
      <c r="A212" s="1" t="s">
        <v>392</v>
      </c>
      <c r="B212" s="1" t="s">
        <v>44</v>
      </c>
      <c r="C212" s="1" t="s">
        <v>576</v>
      </c>
      <c r="D212" s="1" t="s">
        <v>290</v>
      </c>
      <c r="E212" s="62" t="n">
        <v>0</v>
      </c>
      <c r="F212" s="26" t="n">
        <v>0</v>
      </c>
      <c r="G212" s="26" t="n">
        <v>0</v>
      </c>
      <c r="H212" s="1" t="s">
        <v>577</v>
      </c>
    </row>
    <row r="213" customFormat="false" ht="15" hidden="false" customHeight="true" outlineLevel="0" collapsed="false">
      <c r="A213" s="1" t="s">
        <v>392</v>
      </c>
      <c r="B213" s="1" t="s">
        <v>44</v>
      </c>
      <c r="C213" s="1" t="s">
        <v>578</v>
      </c>
      <c r="D213" s="1" t="s">
        <v>290</v>
      </c>
      <c r="E213" s="62" t="n">
        <v>0</v>
      </c>
      <c r="F213" s="26" t="n">
        <v>0</v>
      </c>
      <c r="G213" s="26" t="n">
        <v>0</v>
      </c>
      <c r="H213" s="1" t="s">
        <v>579</v>
      </c>
    </row>
    <row r="214" customFormat="false" ht="15" hidden="false" customHeight="true" outlineLevel="0" collapsed="false">
      <c r="A214" s="1" t="s">
        <v>392</v>
      </c>
      <c r="B214" s="1" t="s">
        <v>44</v>
      </c>
      <c r="C214" s="1" t="s">
        <v>571</v>
      </c>
      <c r="D214" s="1" t="s">
        <v>294</v>
      </c>
      <c r="E214" s="62" t="n">
        <v>0</v>
      </c>
      <c r="F214" s="26" t="n">
        <v>0</v>
      </c>
      <c r="G214" s="26" t="n">
        <v>0</v>
      </c>
      <c r="H214" s="1" t="s">
        <v>572</v>
      </c>
    </row>
    <row r="215" customFormat="false" ht="15" hidden="false" customHeight="true" outlineLevel="0" collapsed="false">
      <c r="A215" s="1" t="s">
        <v>392</v>
      </c>
      <c r="B215" s="1" t="s">
        <v>44</v>
      </c>
      <c r="C215" s="1" t="s">
        <v>571</v>
      </c>
      <c r="D215" s="1" t="s">
        <v>294</v>
      </c>
      <c r="E215" s="62" t="n">
        <v>1</v>
      </c>
      <c r="F215" s="26" t="n">
        <v>1234.54</v>
      </c>
      <c r="G215" s="26" t="n">
        <v>1234.54</v>
      </c>
      <c r="H215" s="1" t="s">
        <v>573</v>
      </c>
    </row>
    <row r="216" customFormat="false" ht="15" hidden="false" customHeight="true" outlineLevel="0" collapsed="false">
      <c r="A216" s="1" t="s">
        <v>392</v>
      </c>
      <c r="B216" s="1" t="s">
        <v>44</v>
      </c>
      <c r="C216" s="1" t="s">
        <v>580</v>
      </c>
      <c r="D216" s="1" t="s">
        <v>294</v>
      </c>
      <c r="E216" s="62" t="n">
        <v>0</v>
      </c>
      <c r="F216" s="26" t="n">
        <v>0</v>
      </c>
      <c r="G216" s="26" t="n">
        <v>0</v>
      </c>
      <c r="H216" s="1" t="s">
        <v>575</v>
      </c>
    </row>
    <row r="217" customFormat="false" ht="15" hidden="false" customHeight="true" outlineLevel="0" collapsed="false">
      <c r="A217" s="1" t="s">
        <v>392</v>
      </c>
      <c r="B217" s="1" t="s">
        <v>44</v>
      </c>
      <c r="C217" s="1" t="s">
        <v>581</v>
      </c>
      <c r="D217" s="1" t="s">
        <v>294</v>
      </c>
      <c r="E217" s="62" t="n">
        <v>0</v>
      </c>
      <c r="F217" s="26" t="n">
        <v>0</v>
      </c>
      <c r="G217" s="26" t="n">
        <v>0</v>
      </c>
      <c r="H217" s="1" t="s">
        <v>579</v>
      </c>
    </row>
    <row r="218" customFormat="false" ht="15" hidden="false" customHeight="true" outlineLevel="0" collapsed="false">
      <c r="A218" s="1" t="s">
        <v>392</v>
      </c>
      <c r="B218" s="1" t="s">
        <v>44</v>
      </c>
      <c r="C218" s="1" t="s">
        <v>571</v>
      </c>
      <c r="D218" s="1" t="s">
        <v>291</v>
      </c>
      <c r="E218" s="62" t="n">
        <v>-1</v>
      </c>
      <c r="F218" s="26" t="n">
        <v>1580.87</v>
      </c>
      <c r="G218" s="26" t="n">
        <v>-1580.87</v>
      </c>
      <c r="H218" s="1" t="s">
        <v>572</v>
      </c>
    </row>
    <row r="219" customFormat="false" ht="15" hidden="false" customHeight="true" outlineLevel="0" collapsed="false">
      <c r="A219" s="1" t="s">
        <v>392</v>
      </c>
      <c r="B219" s="1" t="s">
        <v>44</v>
      </c>
      <c r="C219" s="1" t="s">
        <v>571</v>
      </c>
      <c r="D219" s="1" t="s">
        <v>291</v>
      </c>
      <c r="E219" s="62" t="n">
        <v>1</v>
      </c>
      <c r="F219" s="26" t="n">
        <v>577</v>
      </c>
      <c r="G219" s="26" t="n">
        <v>577</v>
      </c>
      <c r="H219" s="1" t="s">
        <v>573</v>
      </c>
    </row>
    <row r="220" customFormat="false" ht="15" hidden="false" customHeight="true" outlineLevel="0" collapsed="false">
      <c r="A220" s="1" t="s">
        <v>392</v>
      </c>
      <c r="B220" s="1" t="s">
        <v>44</v>
      </c>
      <c r="C220" s="1" t="s">
        <v>582</v>
      </c>
      <c r="D220" s="1" t="s">
        <v>291</v>
      </c>
      <c r="E220" s="62" t="n">
        <v>0</v>
      </c>
      <c r="F220" s="26" t="n">
        <v>0</v>
      </c>
      <c r="G220" s="26" t="n">
        <v>0</v>
      </c>
      <c r="H220" s="1" t="s">
        <v>575</v>
      </c>
    </row>
    <row r="221" customFormat="false" ht="15" hidden="false" customHeight="true" outlineLevel="0" collapsed="false">
      <c r="A221" s="1" t="s">
        <v>392</v>
      </c>
      <c r="B221" s="1" t="s">
        <v>44</v>
      </c>
      <c r="C221" s="1" t="s">
        <v>583</v>
      </c>
      <c r="D221" s="1" t="s">
        <v>291</v>
      </c>
      <c r="E221" s="62" t="n">
        <v>0</v>
      </c>
      <c r="F221" s="26" t="n">
        <v>0</v>
      </c>
      <c r="G221" s="26" t="n">
        <v>0</v>
      </c>
      <c r="H221" s="1" t="s">
        <v>575</v>
      </c>
    </row>
    <row r="222" customFormat="false" ht="15" hidden="false" customHeight="true" outlineLevel="0" collapsed="false">
      <c r="A222" s="1" t="s">
        <v>392</v>
      </c>
      <c r="B222" s="1" t="s">
        <v>44</v>
      </c>
      <c r="C222" s="1" t="s">
        <v>584</v>
      </c>
      <c r="D222" s="1" t="s">
        <v>291</v>
      </c>
      <c r="E222" s="62" t="n">
        <v>0</v>
      </c>
      <c r="F222" s="26" t="n">
        <v>0</v>
      </c>
      <c r="G222" s="26" t="n">
        <v>0</v>
      </c>
      <c r="H222" s="1" t="s">
        <v>579</v>
      </c>
    </row>
    <row r="223" customFormat="false" ht="15" hidden="false" customHeight="true" outlineLevel="0" collapsed="false">
      <c r="A223" s="1" t="s">
        <v>392</v>
      </c>
      <c r="B223" s="1" t="s">
        <v>44</v>
      </c>
      <c r="C223" s="1" t="s">
        <v>585</v>
      </c>
      <c r="D223" s="1" t="s">
        <v>291</v>
      </c>
      <c r="E223" s="62" t="n">
        <v>0</v>
      </c>
      <c r="F223" s="26" t="n">
        <v>0</v>
      </c>
      <c r="G223" s="26" t="n">
        <v>0</v>
      </c>
      <c r="H223" s="1" t="s">
        <v>579</v>
      </c>
    </row>
    <row r="224" customFormat="false" ht="15" hidden="false" customHeight="true" outlineLevel="0" collapsed="false">
      <c r="A224" s="1" t="s">
        <v>392</v>
      </c>
      <c r="B224" s="1" t="s">
        <v>44</v>
      </c>
      <c r="C224" s="1" t="s">
        <v>571</v>
      </c>
      <c r="D224" s="1" t="s">
        <v>285</v>
      </c>
      <c r="E224" s="62" t="n">
        <v>-1</v>
      </c>
      <c r="F224" s="26" t="n">
        <v>1333.53</v>
      </c>
      <c r="G224" s="26" t="n">
        <v>-1333.53</v>
      </c>
      <c r="H224" s="1" t="s">
        <v>572</v>
      </c>
    </row>
    <row r="225" customFormat="false" ht="15" hidden="false" customHeight="true" outlineLevel="0" collapsed="false">
      <c r="A225" s="1" t="s">
        <v>392</v>
      </c>
      <c r="B225" s="1" t="s">
        <v>44</v>
      </c>
      <c r="C225" s="1" t="s">
        <v>571</v>
      </c>
      <c r="D225" s="1" t="s">
        <v>285</v>
      </c>
      <c r="E225" s="62" t="n">
        <v>1</v>
      </c>
      <c r="F225" s="26" t="n">
        <v>3555.83</v>
      </c>
      <c r="G225" s="26" t="n">
        <v>3555.83</v>
      </c>
      <c r="H225" s="1" t="s">
        <v>573</v>
      </c>
    </row>
    <row r="226" customFormat="false" ht="15" hidden="false" customHeight="true" outlineLevel="0" collapsed="false">
      <c r="A226" s="1" t="s">
        <v>392</v>
      </c>
      <c r="B226" s="1" t="s">
        <v>44</v>
      </c>
      <c r="C226" s="1" t="s">
        <v>583</v>
      </c>
      <c r="D226" s="1" t="s">
        <v>285</v>
      </c>
      <c r="E226" s="62" t="n">
        <v>0</v>
      </c>
      <c r="F226" s="26" t="n">
        <v>0</v>
      </c>
      <c r="G226" s="26" t="n">
        <v>0</v>
      </c>
      <c r="H226" s="1" t="s">
        <v>579</v>
      </c>
    </row>
    <row r="227" customFormat="false" ht="15" hidden="false" customHeight="true" outlineLevel="0" collapsed="false">
      <c r="A227" s="1" t="s">
        <v>392</v>
      </c>
      <c r="B227" s="1" t="s">
        <v>44</v>
      </c>
      <c r="C227" s="1" t="s">
        <v>584</v>
      </c>
      <c r="D227" s="1" t="s">
        <v>285</v>
      </c>
      <c r="E227" s="62" t="n">
        <v>0</v>
      </c>
      <c r="F227" s="26" t="n">
        <v>0</v>
      </c>
      <c r="G227" s="26" t="n">
        <v>0</v>
      </c>
      <c r="H227" s="1" t="s">
        <v>579</v>
      </c>
    </row>
    <row r="228" customFormat="false" ht="15" hidden="false" customHeight="true" outlineLevel="0" collapsed="false">
      <c r="A228" s="1" t="s">
        <v>392</v>
      </c>
      <c r="B228" s="1" t="s">
        <v>44</v>
      </c>
      <c r="C228" s="1" t="s">
        <v>571</v>
      </c>
      <c r="D228" s="1" t="s">
        <v>286</v>
      </c>
      <c r="E228" s="62" t="n">
        <v>1</v>
      </c>
      <c r="F228" s="26" t="n">
        <v>1957.68</v>
      </c>
      <c r="G228" s="26" t="n">
        <v>1957.68</v>
      </c>
      <c r="H228" s="1" t="s">
        <v>573</v>
      </c>
    </row>
    <row r="229" customFormat="false" ht="15" hidden="false" customHeight="true" outlineLevel="0" collapsed="false">
      <c r="A229" s="1" t="s">
        <v>392</v>
      </c>
      <c r="B229" s="1" t="s">
        <v>44</v>
      </c>
      <c r="C229" s="1" t="s">
        <v>571</v>
      </c>
      <c r="D229" s="1" t="s">
        <v>286</v>
      </c>
      <c r="E229" s="62" t="n">
        <v>0</v>
      </c>
      <c r="F229" s="26" t="n">
        <v>0</v>
      </c>
      <c r="G229" s="26" t="n">
        <v>0</v>
      </c>
      <c r="H229" s="1" t="s">
        <v>572</v>
      </c>
    </row>
    <row r="230" customFormat="false" ht="15" hidden="false" customHeight="true" outlineLevel="0" collapsed="false">
      <c r="A230" s="1" t="s">
        <v>392</v>
      </c>
      <c r="B230" s="1" t="s">
        <v>44</v>
      </c>
      <c r="C230" s="1" t="s">
        <v>571</v>
      </c>
      <c r="D230" s="1" t="s">
        <v>283</v>
      </c>
      <c r="E230" s="62" t="n">
        <v>1</v>
      </c>
      <c r="F230" s="26" t="n">
        <v>3624.23</v>
      </c>
      <c r="G230" s="26" t="n">
        <v>3624.23</v>
      </c>
      <c r="H230" s="1" t="s">
        <v>573</v>
      </c>
    </row>
    <row r="231" customFormat="false" ht="15" hidden="false" customHeight="true" outlineLevel="0" collapsed="false">
      <c r="A231" s="1" t="s">
        <v>392</v>
      </c>
      <c r="B231" s="1" t="s">
        <v>44</v>
      </c>
      <c r="C231" s="1" t="s">
        <v>571</v>
      </c>
      <c r="D231" s="1" t="s">
        <v>283</v>
      </c>
      <c r="E231" s="62" t="n">
        <v>-1</v>
      </c>
      <c r="F231" s="26" t="n">
        <v>494.68</v>
      </c>
      <c r="G231" s="26" t="n">
        <v>-494.68</v>
      </c>
      <c r="H231" s="1" t="s">
        <v>572</v>
      </c>
    </row>
    <row r="232" customFormat="false" ht="15" hidden="false" customHeight="true" outlineLevel="0" collapsed="false">
      <c r="A232" s="1" t="s">
        <v>392</v>
      </c>
      <c r="B232" s="1" t="s">
        <v>44</v>
      </c>
      <c r="C232" s="1" t="s">
        <v>586</v>
      </c>
      <c r="D232" s="1" t="s">
        <v>283</v>
      </c>
      <c r="E232" s="62" t="n">
        <v>0</v>
      </c>
      <c r="F232" s="26" t="n">
        <v>0</v>
      </c>
      <c r="G232" s="26" t="n">
        <v>0</v>
      </c>
      <c r="H232" s="1" t="s">
        <v>575</v>
      </c>
    </row>
    <row r="233" customFormat="false" ht="15" hidden="false" customHeight="true" outlineLevel="0" collapsed="false">
      <c r="A233" s="1" t="s">
        <v>392</v>
      </c>
      <c r="B233" s="1" t="s">
        <v>44</v>
      </c>
      <c r="C233" s="1" t="s">
        <v>581</v>
      </c>
      <c r="D233" s="1" t="s">
        <v>283</v>
      </c>
      <c r="E233" s="62" t="n">
        <v>0</v>
      </c>
      <c r="F233" s="26" t="n">
        <v>0</v>
      </c>
      <c r="G233" s="26" t="n">
        <v>0</v>
      </c>
      <c r="H233" s="1" t="s">
        <v>579</v>
      </c>
    </row>
    <row r="234" customFormat="false" ht="15" hidden="false" customHeight="true" outlineLevel="0" collapsed="false">
      <c r="A234" s="1" t="s">
        <v>392</v>
      </c>
      <c r="B234" s="1" t="s">
        <v>87</v>
      </c>
      <c r="C234" s="1" t="s">
        <v>587</v>
      </c>
      <c r="D234" s="1" t="s">
        <v>288</v>
      </c>
      <c r="E234" s="62" t="n">
        <v>2</v>
      </c>
      <c r="F234" s="26" t="n">
        <v>50</v>
      </c>
      <c r="G234" s="26" t="n">
        <v>100</v>
      </c>
      <c r="H234" s="1" t="s">
        <v>588</v>
      </c>
    </row>
    <row r="235" customFormat="false" ht="15" hidden="false" customHeight="true" outlineLevel="0" collapsed="false">
      <c r="A235" s="1" t="s">
        <v>392</v>
      </c>
      <c r="B235" s="1" t="s">
        <v>87</v>
      </c>
      <c r="C235" s="1" t="s">
        <v>587</v>
      </c>
      <c r="D235" s="1" t="s">
        <v>294</v>
      </c>
      <c r="E235" s="62" t="n">
        <v>1</v>
      </c>
      <c r="F235" s="26" t="n">
        <v>10</v>
      </c>
      <c r="G235" s="26" t="n">
        <v>10</v>
      </c>
      <c r="H235" s="1" t="s">
        <v>588</v>
      </c>
    </row>
    <row r="236" customFormat="false" ht="15" hidden="false" customHeight="true" outlineLevel="0" collapsed="false">
      <c r="A236" s="1" t="s">
        <v>392</v>
      </c>
      <c r="B236" s="1" t="s">
        <v>87</v>
      </c>
      <c r="C236" s="1" t="s">
        <v>587</v>
      </c>
      <c r="D236" s="1" t="s">
        <v>291</v>
      </c>
      <c r="E236" s="62" t="n">
        <v>1</v>
      </c>
      <c r="F236" s="26" t="n">
        <v>10</v>
      </c>
      <c r="G236" s="26" t="n">
        <v>10</v>
      </c>
      <c r="H236" s="1" t="s">
        <v>588</v>
      </c>
    </row>
    <row r="237" customFormat="false" ht="15" hidden="false" customHeight="true" outlineLevel="0" collapsed="false">
      <c r="A237" s="1" t="s">
        <v>392</v>
      </c>
      <c r="B237" s="1" t="s">
        <v>87</v>
      </c>
      <c r="C237" s="1" t="s">
        <v>587</v>
      </c>
      <c r="D237" s="1" t="s">
        <v>291</v>
      </c>
      <c r="E237" s="62" t="n">
        <v>5</v>
      </c>
      <c r="F237" s="26" t="n">
        <v>50</v>
      </c>
      <c r="G237" s="26" t="n">
        <v>250</v>
      </c>
      <c r="H237" s="1" t="s">
        <v>588</v>
      </c>
    </row>
    <row r="238" customFormat="false" ht="15" hidden="false" customHeight="true" outlineLevel="0" collapsed="false">
      <c r="A238" s="1" t="s">
        <v>392</v>
      </c>
      <c r="B238" s="1" t="s">
        <v>87</v>
      </c>
      <c r="C238" s="1" t="s">
        <v>587</v>
      </c>
      <c r="D238" s="1" t="s">
        <v>285</v>
      </c>
      <c r="E238" s="62" t="n">
        <v>2</v>
      </c>
      <c r="F238" s="26" t="n">
        <v>50</v>
      </c>
      <c r="G238" s="26" t="n">
        <v>100</v>
      </c>
      <c r="H238" s="1" t="s">
        <v>588</v>
      </c>
    </row>
    <row r="239" customFormat="false" ht="15" hidden="false" customHeight="true" outlineLevel="0" collapsed="false">
      <c r="A239" s="1" t="s">
        <v>392</v>
      </c>
      <c r="B239" s="1" t="s">
        <v>87</v>
      </c>
      <c r="C239" s="1" t="s">
        <v>587</v>
      </c>
      <c r="D239" s="1" t="s">
        <v>286</v>
      </c>
      <c r="E239" s="62" t="n">
        <v>1</v>
      </c>
      <c r="F239" s="26" t="n">
        <v>50</v>
      </c>
      <c r="G239" s="26" t="n">
        <v>50</v>
      </c>
      <c r="H239" s="1" t="s">
        <v>588</v>
      </c>
    </row>
    <row r="240" customFormat="false" ht="15" hidden="false" customHeight="true" outlineLevel="0" collapsed="false">
      <c r="A240" s="1" t="s">
        <v>392</v>
      </c>
      <c r="B240" s="1" t="s">
        <v>87</v>
      </c>
      <c r="C240" s="1" t="s">
        <v>587</v>
      </c>
      <c r="D240" s="1" t="s">
        <v>283</v>
      </c>
      <c r="E240" s="62" t="n">
        <v>1</v>
      </c>
      <c r="F240" s="26" t="n">
        <v>90</v>
      </c>
      <c r="G240" s="26" t="n">
        <v>90</v>
      </c>
      <c r="H240" s="1" t="s">
        <v>588</v>
      </c>
    </row>
    <row r="241" customFormat="false" ht="15" hidden="false" customHeight="true" outlineLevel="0" collapsed="false">
      <c r="A241" s="1" t="s">
        <v>392</v>
      </c>
      <c r="B241" s="1" t="s">
        <v>87</v>
      </c>
      <c r="C241" s="1" t="s">
        <v>587</v>
      </c>
      <c r="D241" s="1" t="s">
        <v>283</v>
      </c>
      <c r="E241" s="62" t="n">
        <v>2</v>
      </c>
      <c r="F241" s="26" t="n">
        <v>10</v>
      </c>
      <c r="G241" s="26" t="n">
        <v>20</v>
      </c>
      <c r="H241" s="1" t="s">
        <v>588</v>
      </c>
    </row>
    <row r="242" customFormat="false" ht="15" hidden="false" customHeight="true" outlineLevel="0" collapsed="false">
      <c r="A242" s="1" t="s">
        <v>392</v>
      </c>
      <c r="B242" s="1" t="s">
        <v>87</v>
      </c>
      <c r="C242" s="1" t="s">
        <v>587</v>
      </c>
      <c r="D242" s="1" t="s">
        <v>283</v>
      </c>
      <c r="E242" s="62" t="n">
        <v>3</v>
      </c>
      <c r="F242" s="26" t="n">
        <v>50</v>
      </c>
      <c r="G242" s="26" t="n">
        <v>150</v>
      </c>
      <c r="H242" s="1" t="s">
        <v>588</v>
      </c>
    </row>
    <row r="243" customFormat="false" ht="15" hidden="false" customHeight="true" outlineLevel="0" collapsed="false">
      <c r="A243" s="1" t="s">
        <v>589</v>
      </c>
      <c r="B243" s="1" t="s">
        <v>393</v>
      </c>
      <c r="C243" s="1" t="s">
        <v>394</v>
      </c>
      <c r="D243" s="1" t="s">
        <v>290</v>
      </c>
      <c r="E243" s="62" t="n">
        <v>13402</v>
      </c>
      <c r="F243" s="26" t="n">
        <v>0.369625478903327</v>
      </c>
      <c r="G243" s="26" t="n">
        <v>4953.72066826238</v>
      </c>
      <c r="H243" s="1" t="s">
        <v>395</v>
      </c>
    </row>
    <row r="244" customFormat="false" ht="15" hidden="false" customHeight="true" outlineLevel="0" collapsed="false">
      <c r="A244" s="1" t="s">
        <v>589</v>
      </c>
      <c r="B244" s="1" t="s">
        <v>396</v>
      </c>
      <c r="C244" s="1" t="s">
        <v>86</v>
      </c>
      <c r="D244" s="1" t="s">
        <v>290</v>
      </c>
      <c r="E244" s="62" t="n">
        <v>13402</v>
      </c>
      <c r="F244" s="26" t="n">
        <v>0.213162125376571</v>
      </c>
      <c r="G244" s="26" t="n">
        <v>2856.7988042968</v>
      </c>
      <c r="H244" s="1" t="s">
        <v>395</v>
      </c>
    </row>
    <row r="245" customFormat="false" ht="15" hidden="false" customHeight="true" outlineLevel="0" collapsed="false">
      <c r="A245" s="1" t="s">
        <v>589</v>
      </c>
      <c r="B245" s="1" t="s">
        <v>397</v>
      </c>
      <c r="C245" s="1" t="s">
        <v>398</v>
      </c>
      <c r="D245" s="1" t="s">
        <v>276</v>
      </c>
      <c r="E245" s="62" t="n">
        <v>1</v>
      </c>
      <c r="F245" s="26" t="n">
        <v>1391.04</v>
      </c>
      <c r="G245" s="26" t="n">
        <v>1391.04</v>
      </c>
      <c r="H245" s="1" t="s">
        <v>590</v>
      </c>
    </row>
    <row r="246" customFormat="false" ht="15" hidden="false" customHeight="true" outlineLevel="0" collapsed="false">
      <c r="A246" s="1" t="s">
        <v>589</v>
      </c>
      <c r="B246" s="1" t="s">
        <v>397</v>
      </c>
      <c r="C246" s="1" t="s">
        <v>400</v>
      </c>
      <c r="D246" s="1" t="s">
        <v>276</v>
      </c>
      <c r="E246" s="62" t="n">
        <v>1</v>
      </c>
      <c r="F246" s="26" t="n">
        <v>6752.06</v>
      </c>
      <c r="G246" s="26" t="n">
        <v>6752.06</v>
      </c>
      <c r="H246" s="1" t="s">
        <v>590</v>
      </c>
    </row>
    <row r="247" customFormat="false" ht="15" hidden="false" customHeight="true" outlineLevel="0" collapsed="false">
      <c r="A247" s="1" t="s">
        <v>589</v>
      </c>
      <c r="B247" s="1" t="s">
        <v>397</v>
      </c>
      <c r="C247" s="1" t="s">
        <v>398</v>
      </c>
      <c r="D247" s="1" t="s">
        <v>288</v>
      </c>
      <c r="E247" s="62" t="n">
        <v>0</v>
      </c>
      <c r="F247" s="26" t="n">
        <v>0</v>
      </c>
      <c r="G247" s="26" t="n">
        <v>0</v>
      </c>
      <c r="H247" s="1" t="s">
        <v>399</v>
      </c>
    </row>
    <row r="248" customFormat="false" ht="15" hidden="false" customHeight="true" outlineLevel="0" collapsed="false">
      <c r="A248" s="1" t="s">
        <v>589</v>
      </c>
      <c r="B248" s="1" t="s">
        <v>397</v>
      </c>
      <c r="C248" s="1" t="s">
        <v>400</v>
      </c>
      <c r="D248" s="1" t="s">
        <v>288</v>
      </c>
      <c r="E248" s="62" t="n">
        <v>1</v>
      </c>
      <c r="F248" s="26" t="n">
        <v>71.25</v>
      </c>
      <c r="G248" s="26" t="n">
        <v>71.25</v>
      </c>
      <c r="H248" s="1" t="s">
        <v>590</v>
      </c>
    </row>
    <row r="249" customFormat="false" ht="15" hidden="false" customHeight="true" outlineLevel="0" collapsed="false">
      <c r="A249" s="1" t="s">
        <v>589</v>
      </c>
      <c r="B249" s="1" t="s">
        <v>397</v>
      </c>
      <c r="C249" s="1" t="s">
        <v>398</v>
      </c>
      <c r="D249" s="1" t="s">
        <v>290</v>
      </c>
      <c r="E249" s="62" t="n">
        <v>0</v>
      </c>
      <c r="F249" s="26" t="n">
        <v>0</v>
      </c>
      <c r="G249" s="26" t="n">
        <v>0</v>
      </c>
      <c r="H249" s="1" t="s">
        <v>402</v>
      </c>
    </row>
    <row r="250" customFormat="false" ht="15" hidden="false" customHeight="true" outlineLevel="0" collapsed="false">
      <c r="A250" s="1" t="s">
        <v>589</v>
      </c>
      <c r="B250" s="1" t="s">
        <v>397</v>
      </c>
      <c r="C250" s="1" t="s">
        <v>403</v>
      </c>
      <c r="D250" s="1" t="s">
        <v>290</v>
      </c>
      <c r="E250" s="62" t="n">
        <v>0</v>
      </c>
      <c r="F250" s="26" t="n">
        <v>0</v>
      </c>
      <c r="G250" s="26" t="n">
        <v>0</v>
      </c>
      <c r="H250" s="1" t="s">
        <v>404</v>
      </c>
    </row>
    <row r="251" customFormat="false" ht="15" hidden="false" customHeight="true" outlineLevel="0" collapsed="false">
      <c r="A251" s="1" t="s">
        <v>589</v>
      </c>
      <c r="B251" s="1" t="s">
        <v>397</v>
      </c>
      <c r="C251" s="1" t="s">
        <v>398</v>
      </c>
      <c r="D251" s="1" t="s">
        <v>294</v>
      </c>
      <c r="E251" s="62" t="n">
        <v>0</v>
      </c>
      <c r="F251" s="26" t="n">
        <v>0</v>
      </c>
      <c r="G251" s="26" t="n">
        <v>0</v>
      </c>
      <c r="H251" s="1" t="s">
        <v>402</v>
      </c>
    </row>
    <row r="252" customFormat="false" ht="15" hidden="false" customHeight="true" outlineLevel="0" collapsed="false">
      <c r="A252" s="1" t="s">
        <v>589</v>
      </c>
      <c r="B252" s="1" t="s">
        <v>397</v>
      </c>
      <c r="C252" s="1" t="s">
        <v>400</v>
      </c>
      <c r="D252" s="1" t="s">
        <v>294</v>
      </c>
      <c r="E252" s="62" t="n">
        <v>1</v>
      </c>
      <c r="F252" s="26" t="n">
        <v>38.5</v>
      </c>
      <c r="G252" s="26" t="n">
        <v>38.5</v>
      </c>
      <c r="H252" s="1" t="s">
        <v>590</v>
      </c>
    </row>
    <row r="253" customFormat="false" ht="15" hidden="false" customHeight="true" outlineLevel="0" collapsed="false">
      <c r="A253" s="1" t="s">
        <v>589</v>
      </c>
      <c r="B253" s="1" t="s">
        <v>397</v>
      </c>
      <c r="C253" s="1" t="s">
        <v>398</v>
      </c>
      <c r="D253" s="1" t="s">
        <v>291</v>
      </c>
      <c r="E253" s="62" t="n">
        <v>0</v>
      </c>
      <c r="F253" s="26" t="n">
        <v>0</v>
      </c>
      <c r="G253" s="26" t="n">
        <v>0</v>
      </c>
      <c r="H253" s="1" t="s">
        <v>399</v>
      </c>
    </row>
    <row r="254" customFormat="false" ht="15" hidden="false" customHeight="true" outlineLevel="0" collapsed="false">
      <c r="A254" s="1" t="s">
        <v>589</v>
      </c>
      <c r="B254" s="1" t="s">
        <v>397</v>
      </c>
      <c r="C254" s="1" t="s">
        <v>400</v>
      </c>
      <c r="D254" s="1" t="s">
        <v>291</v>
      </c>
      <c r="E254" s="62" t="n">
        <v>0</v>
      </c>
      <c r="F254" s="26" t="n">
        <v>0</v>
      </c>
      <c r="G254" s="26" t="n">
        <v>0</v>
      </c>
      <c r="H254" s="1" t="s">
        <v>405</v>
      </c>
    </row>
    <row r="255" customFormat="false" ht="15" hidden="false" customHeight="true" outlineLevel="0" collapsed="false">
      <c r="A255" s="1" t="s">
        <v>589</v>
      </c>
      <c r="B255" s="1" t="s">
        <v>397</v>
      </c>
      <c r="C255" s="1" t="s">
        <v>398</v>
      </c>
      <c r="D255" s="1" t="s">
        <v>285</v>
      </c>
      <c r="E255" s="62" t="n">
        <v>0</v>
      </c>
      <c r="F255" s="26" t="n">
        <v>0</v>
      </c>
      <c r="G255" s="26" t="n">
        <v>0</v>
      </c>
      <c r="H255" s="1" t="s">
        <v>406</v>
      </c>
    </row>
    <row r="256" customFormat="false" ht="15" hidden="false" customHeight="true" outlineLevel="0" collapsed="false">
      <c r="A256" s="1" t="s">
        <v>589</v>
      </c>
      <c r="B256" s="1" t="s">
        <v>397</v>
      </c>
      <c r="C256" s="1" t="s">
        <v>400</v>
      </c>
      <c r="D256" s="1" t="s">
        <v>285</v>
      </c>
      <c r="E256" s="62" t="n">
        <v>1</v>
      </c>
      <c r="F256" s="26" t="n">
        <v>114</v>
      </c>
      <c r="G256" s="26" t="n">
        <v>114</v>
      </c>
      <c r="H256" s="1" t="s">
        <v>590</v>
      </c>
    </row>
    <row r="257" customFormat="false" ht="15" hidden="false" customHeight="true" outlineLevel="0" collapsed="false">
      <c r="A257" s="1" t="s">
        <v>589</v>
      </c>
      <c r="B257" s="1" t="s">
        <v>397</v>
      </c>
      <c r="C257" s="1" t="s">
        <v>400</v>
      </c>
      <c r="D257" s="1" t="s">
        <v>285</v>
      </c>
      <c r="E257" s="62" t="n">
        <v>0</v>
      </c>
      <c r="F257" s="26" t="n">
        <v>0</v>
      </c>
      <c r="G257" s="26" t="n">
        <v>0</v>
      </c>
      <c r="H257" s="1" t="s">
        <v>401</v>
      </c>
    </row>
    <row r="258" customFormat="false" ht="15" hidden="false" customHeight="true" outlineLevel="0" collapsed="false">
      <c r="A258" s="1" t="s">
        <v>589</v>
      </c>
      <c r="B258" s="1" t="s">
        <v>397</v>
      </c>
      <c r="C258" s="1" t="s">
        <v>398</v>
      </c>
      <c r="D258" s="1" t="s">
        <v>286</v>
      </c>
      <c r="E258" s="62" t="n">
        <v>0</v>
      </c>
      <c r="F258" s="26" t="n">
        <v>0</v>
      </c>
      <c r="G258" s="26" t="n">
        <v>0</v>
      </c>
      <c r="H258" s="1" t="s">
        <v>402</v>
      </c>
    </row>
    <row r="259" customFormat="false" ht="15" hidden="false" customHeight="true" outlineLevel="0" collapsed="false">
      <c r="A259" s="1" t="s">
        <v>589</v>
      </c>
      <c r="B259" s="1" t="s">
        <v>397</v>
      </c>
      <c r="C259" s="1" t="s">
        <v>398</v>
      </c>
      <c r="D259" s="1" t="s">
        <v>286</v>
      </c>
      <c r="E259" s="62" t="n">
        <v>0</v>
      </c>
      <c r="F259" s="26" t="n">
        <v>0</v>
      </c>
      <c r="G259" s="26" t="n">
        <v>0</v>
      </c>
      <c r="H259" s="1" t="s">
        <v>407</v>
      </c>
    </row>
    <row r="260" customFormat="false" ht="15" hidden="false" customHeight="true" outlineLevel="0" collapsed="false">
      <c r="A260" s="1" t="s">
        <v>589</v>
      </c>
      <c r="B260" s="1" t="s">
        <v>78</v>
      </c>
      <c r="C260" s="1" t="s">
        <v>408</v>
      </c>
      <c r="D260" s="1" t="s">
        <v>294</v>
      </c>
      <c r="E260" s="62" t="n">
        <v>3650</v>
      </c>
      <c r="F260" s="26" t="n">
        <v>0.4347261411092</v>
      </c>
      <c r="G260" s="26" t="n">
        <v>1586.750415</v>
      </c>
      <c r="H260" s="1" t="s">
        <v>395</v>
      </c>
    </row>
    <row r="261" customFormat="false" ht="15" hidden="false" customHeight="true" outlineLevel="0" collapsed="false">
      <c r="A261" s="1" t="s">
        <v>589</v>
      </c>
      <c r="B261" s="1" t="s">
        <v>78</v>
      </c>
      <c r="C261" s="1" t="s">
        <v>408</v>
      </c>
      <c r="D261" s="1" t="s">
        <v>291</v>
      </c>
      <c r="E261" s="62" t="n">
        <v>6396</v>
      </c>
      <c r="F261" s="26" t="n">
        <v>0.4347261411092</v>
      </c>
      <c r="G261" s="26" t="n">
        <v>2780.508399</v>
      </c>
      <c r="H261" s="1" t="s">
        <v>395</v>
      </c>
    </row>
    <row r="262" customFormat="false" ht="15" hidden="false" customHeight="true" outlineLevel="0" collapsed="false">
      <c r="A262" s="1" t="s">
        <v>589</v>
      </c>
      <c r="B262" s="1" t="s">
        <v>78</v>
      </c>
      <c r="C262" s="1" t="s">
        <v>408</v>
      </c>
      <c r="D262" s="1" t="s">
        <v>285</v>
      </c>
      <c r="E262" s="62" t="n">
        <v>14331</v>
      </c>
      <c r="F262" s="26" t="n">
        <v>0.4347261411092</v>
      </c>
      <c r="G262" s="26" t="n">
        <v>6230.060328</v>
      </c>
      <c r="H262" s="1" t="s">
        <v>395</v>
      </c>
    </row>
    <row r="263" customFormat="false" ht="15" hidden="false" customHeight="true" outlineLevel="0" collapsed="false">
      <c r="A263" s="1" t="s">
        <v>589</v>
      </c>
      <c r="B263" s="1" t="s">
        <v>78</v>
      </c>
      <c r="C263" s="1" t="s">
        <v>408</v>
      </c>
      <c r="D263" s="1" t="s">
        <v>283</v>
      </c>
      <c r="E263" s="62" t="n">
        <v>4782</v>
      </c>
      <c r="F263" s="26" t="n">
        <v>0.4347261411092</v>
      </c>
      <c r="G263" s="26" t="n">
        <v>2078.860407</v>
      </c>
      <c r="H263" s="1" t="s">
        <v>395</v>
      </c>
    </row>
    <row r="264" customFormat="false" ht="15" hidden="false" customHeight="true" outlineLevel="0" collapsed="false">
      <c r="A264" s="1" t="s">
        <v>589</v>
      </c>
      <c r="B264" s="1" t="s">
        <v>409</v>
      </c>
      <c r="C264" s="1" t="s">
        <v>410</v>
      </c>
      <c r="D264" s="1" t="s">
        <v>276</v>
      </c>
      <c r="E264" s="62" t="n">
        <v>4995</v>
      </c>
      <c r="F264" s="26" t="n">
        <v>1.86</v>
      </c>
      <c r="G264" s="26" t="n">
        <v>9290.7</v>
      </c>
      <c r="H264" s="1" t="s">
        <v>591</v>
      </c>
    </row>
    <row r="265" customFormat="false" ht="15" hidden="false" customHeight="true" outlineLevel="0" collapsed="false">
      <c r="A265" s="1" t="s">
        <v>589</v>
      </c>
      <c r="B265" s="1" t="s">
        <v>409</v>
      </c>
      <c r="C265" s="1" t="s">
        <v>410</v>
      </c>
      <c r="D265" s="1" t="s">
        <v>276</v>
      </c>
      <c r="E265" s="62" t="n">
        <v>4995</v>
      </c>
      <c r="F265" s="26" t="n">
        <v>1.86</v>
      </c>
      <c r="G265" s="26" t="n">
        <v>9290.7</v>
      </c>
      <c r="H265" s="1" t="s">
        <v>591</v>
      </c>
    </row>
    <row r="266" customFormat="false" ht="15" hidden="false" customHeight="true" outlineLevel="0" collapsed="false">
      <c r="A266" s="1" t="s">
        <v>589</v>
      </c>
      <c r="B266" s="1" t="s">
        <v>409</v>
      </c>
      <c r="C266" s="1" t="s">
        <v>410</v>
      </c>
      <c r="D266" s="1" t="s">
        <v>288</v>
      </c>
      <c r="E266" s="62" t="n">
        <v>305</v>
      </c>
      <c r="F266" s="26" t="n">
        <v>1.86</v>
      </c>
      <c r="G266" s="26" t="n">
        <v>567.3</v>
      </c>
      <c r="H266" s="1" t="s">
        <v>591</v>
      </c>
    </row>
    <row r="267" customFormat="false" ht="15" hidden="false" customHeight="true" outlineLevel="0" collapsed="false">
      <c r="A267" s="1" t="s">
        <v>589</v>
      </c>
      <c r="B267" s="1" t="s">
        <v>409</v>
      </c>
      <c r="C267" s="1" t="s">
        <v>410</v>
      </c>
      <c r="D267" s="1" t="s">
        <v>288</v>
      </c>
      <c r="E267" s="62" t="n">
        <v>305</v>
      </c>
      <c r="F267" s="26" t="n">
        <v>1.86</v>
      </c>
      <c r="G267" s="26" t="n">
        <v>567.3</v>
      </c>
      <c r="H267" s="1" t="s">
        <v>591</v>
      </c>
    </row>
    <row r="268" customFormat="false" ht="15" hidden="false" customHeight="true" outlineLevel="0" collapsed="false">
      <c r="A268" s="1" t="s">
        <v>589</v>
      </c>
      <c r="B268" s="1" t="s">
        <v>409</v>
      </c>
      <c r="C268" s="1" t="s">
        <v>412</v>
      </c>
      <c r="D268" s="1" t="s">
        <v>288</v>
      </c>
      <c r="E268" s="62" t="n">
        <v>2</v>
      </c>
      <c r="F268" s="26" t="n">
        <v>383.56</v>
      </c>
      <c r="G268" s="26" t="n">
        <v>767.12</v>
      </c>
      <c r="H268" s="1" t="s">
        <v>413</v>
      </c>
    </row>
    <row r="269" customFormat="false" ht="15" hidden="false" customHeight="true" outlineLevel="0" collapsed="false">
      <c r="A269" s="1" t="s">
        <v>589</v>
      </c>
      <c r="B269" s="1" t="s">
        <v>409</v>
      </c>
      <c r="C269" s="1" t="s">
        <v>414</v>
      </c>
      <c r="D269" s="1" t="s">
        <v>288</v>
      </c>
      <c r="E269" s="62" t="n">
        <v>0</v>
      </c>
      <c r="F269" s="26" t="n">
        <v>0</v>
      </c>
      <c r="G269" s="26" t="n">
        <v>0</v>
      </c>
      <c r="H269" s="1" t="s">
        <v>415</v>
      </c>
    </row>
    <row r="270" customFormat="false" ht="15" hidden="false" customHeight="true" outlineLevel="0" collapsed="false">
      <c r="A270" s="1" t="s">
        <v>589</v>
      </c>
      <c r="B270" s="1" t="s">
        <v>409</v>
      </c>
      <c r="C270" s="1" t="s">
        <v>416</v>
      </c>
      <c r="D270" s="1" t="s">
        <v>288</v>
      </c>
      <c r="E270" s="62" t="n">
        <v>0</v>
      </c>
      <c r="F270" s="26" t="n">
        <v>0</v>
      </c>
      <c r="G270" s="26" t="n">
        <v>0</v>
      </c>
      <c r="H270" s="1" t="s">
        <v>417</v>
      </c>
    </row>
    <row r="271" customFormat="false" ht="15" hidden="false" customHeight="true" outlineLevel="0" collapsed="false">
      <c r="A271" s="1" t="s">
        <v>589</v>
      </c>
      <c r="B271" s="1" t="s">
        <v>409</v>
      </c>
      <c r="C271" s="1" t="s">
        <v>418</v>
      </c>
      <c r="D271" s="1" t="s">
        <v>288</v>
      </c>
      <c r="E271" s="62" t="n">
        <v>-1</v>
      </c>
      <c r="F271" s="26" t="n">
        <v>774.2</v>
      </c>
      <c r="G271" s="26" t="n">
        <v>-774.2</v>
      </c>
      <c r="H271" s="1" t="s">
        <v>419</v>
      </c>
    </row>
    <row r="272" customFormat="false" ht="15" hidden="false" customHeight="true" outlineLevel="0" collapsed="false">
      <c r="A272" s="1" t="s">
        <v>589</v>
      </c>
      <c r="B272" s="1" t="s">
        <v>409</v>
      </c>
      <c r="C272" s="1" t="s">
        <v>418</v>
      </c>
      <c r="D272" s="1" t="s">
        <v>288</v>
      </c>
      <c r="E272" s="62" t="n">
        <v>-1</v>
      </c>
      <c r="F272" s="26" t="n">
        <v>4167</v>
      </c>
      <c r="G272" s="26" t="n">
        <v>-4167</v>
      </c>
      <c r="H272" s="1" t="s">
        <v>420</v>
      </c>
    </row>
    <row r="273" customFormat="false" ht="15" hidden="false" customHeight="true" outlineLevel="0" collapsed="false">
      <c r="A273" s="1" t="s">
        <v>589</v>
      </c>
      <c r="B273" s="1" t="s">
        <v>409</v>
      </c>
      <c r="C273" s="1" t="s">
        <v>421</v>
      </c>
      <c r="D273" s="1" t="s">
        <v>288</v>
      </c>
      <c r="E273" s="62" t="n">
        <v>3</v>
      </c>
      <c r="F273" s="26" t="n">
        <v>0</v>
      </c>
      <c r="G273" s="26" t="n">
        <v>0</v>
      </c>
      <c r="H273" s="1" t="s">
        <v>422</v>
      </c>
    </row>
    <row r="274" customFormat="false" ht="15" hidden="false" customHeight="true" outlineLevel="0" collapsed="false">
      <c r="A274" s="1" t="s">
        <v>589</v>
      </c>
      <c r="B274" s="1" t="s">
        <v>409</v>
      </c>
      <c r="C274" s="1" t="s">
        <v>423</v>
      </c>
      <c r="D274" s="1" t="s">
        <v>288</v>
      </c>
      <c r="E274" s="62" t="n">
        <v>0</v>
      </c>
      <c r="F274" s="26" t="n">
        <v>0</v>
      </c>
      <c r="G274" s="26" t="n">
        <v>0</v>
      </c>
      <c r="H274" s="1" t="s">
        <v>422</v>
      </c>
    </row>
    <row r="275" customFormat="false" ht="15" hidden="false" customHeight="true" outlineLevel="0" collapsed="false">
      <c r="A275" s="1" t="s">
        <v>589</v>
      </c>
      <c r="B275" s="1" t="s">
        <v>409</v>
      </c>
      <c r="C275" s="1" t="s">
        <v>424</v>
      </c>
      <c r="D275" s="1" t="s">
        <v>288</v>
      </c>
      <c r="E275" s="62" t="n">
        <v>0</v>
      </c>
      <c r="F275" s="26" t="n">
        <v>0</v>
      </c>
      <c r="G275" s="26" t="n">
        <v>0</v>
      </c>
      <c r="H275" s="1" t="s">
        <v>422</v>
      </c>
    </row>
    <row r="276" customFormat="false" ht="15" hidden="false" customHeight="true" outlineLevel="0" collapsed="false">
      <c r="A276" s="1" t="s">
        <v>589</v>
      </c>
      <c r="B276" s="1" t="s">
        <v>409</v>
      </c>
      <c r="C276" s="1" t="s">
        <v>425</v>
      </c>
      <c r="D276" s="1" t="s">
        <v>288</v>
      </c>
      <c r="E276" s="62" t="n">
        <v>5</v>
      </c>
      <c r="F276" s="26" t="n">
        <v>0</v>
      </c>
      <c r="G276" s="26" t="n">
        <v>0</v>
      </c>
      <c r="H276" s="1" t="s">
        <v>422</v>
      </c>
    </row>
    <row r="277" customFormat="false" ht="15" hidden="false" customHeight="true" outlineLevel="0" collapsed="false">
      <c r="A277" s="1" t="s">
        <v>589</v>
      </c>
      <c r="B277" s="1" t="s">
        <v>409</v>
      </c>
      <c r="C277" s="1" t="s">
        <v>426</v>
      </c>
      <c r="D277" s="1" t="s">
        <v>288</v>
      </c>
      <c r="E277" s="62" t="n">
        <v>0</v>
      </c>
      <c r="F277" s="26" t="n">
        <v>0</v>
      </c>
      <c r="G277" s="26" t="n">
        <v>0</v>
      </c>
      <c r="H277" s="1" t="s">
        <v>422</v>
      </c>
    </row>
    <row r="278" customFormat="false" ht="15" hidden="false" customHeight="true" outlineLevel="0" collapsed="false">
      <c r="A278" s="1" t="s">
        <v>589</v>
      </c>
      <c r="B278" s="1" t="s">
        <v>409</v>
      </c>
      <c r="C278" s="1" t="s">
        <v>427</v>
      </c>
      <c r="D278" s="1" t="s">
        <v>290</v>
      </c>
      <c r="E278" s="62" t="n">
        <v>1</v>
      </c>
      <c r="F278" s="26" t="n">
        <v>33.5</v>
      </c>
      <c r="G278" s="26" t="n">
        <v>33.5</v>
      </c>
      <c r="H278" s="1" t="s">
        <v>428</v>
      </c>
    </row>
    <row r="279" customFormat="false" ht="15" hidden="false" customHeight="true" outlineLevel="0" collapsed="false">
      <c r="A279" s="1" t="s">
        <v>589</v>
      </c>
      <c r="B279" s="1" t="s">
        <v>409</v>
      </c>
      <c r="C279" s="1" t="s">
        <v>427</v>
      </c>
      <c r="D279" s="1" t="s">
        <v>290</v>
      </c>
      <c r="E279" s="62" t="n">
        <v>1</v>
      </c>
      <c r="F279" s="26" t="n">
        <v>22</v>
      </c>
      <c r="G279" s="26" t="n">
        <v>22</v>
      </c>
      <c r="H279" s="1" t="s">
        <v>429</v>
      </c>
    </row>
    <row r="280" customFormat="false" ht="15" hidden="false" customHeight="true" outlineLevel="0" collapsed="false">
      <c r="A280" s="1" t="s">
        <v>589</v>
      </c>
      <c r="B280" s="1" t="s">
        <v>409</v>
      </c>
      <c r="C280" s="1" t="s">
        <v>410</v>
      </c>
      <c r="D280" s="1" t="s">
        <v>290</v>
      </c>
      <c r="E280" s="62" t="n">
        <v>322</v>
      </c>
      <c r="F280" s="26" t="n">
        <v>1.86</v>
      </c>
      <c r="G280" s="26" t="n">
        <v>598.92</v>
      </c>
      <c r="H280" s="1" t="s">
        <v>591</v>
      </c>
    </row>
    <row r="281" customFormat="false" ht="15" hidden="false" customHeight="true" outlineLevel="0" collapsed="false">
      <c r="A281" s="1" t="s">
        <v>589</v>
      </c>
      <c r="B281" s="1" t="s">
        <v>409</v>
      </c>
      <c r="C281" s="1" t="s">
        <v>410</v>
      </c>
      <c r="D281" s="1" t="s">
        <v>290</v>
      </c>
      <c r="E281" s="62" t="n">
        <v>322</v>
      </c>
      <c r="F281" s="26" t="n">
        <v>1.86</v>
      </c>
      <c r="G281" s="26" t="n">
        <v>598.92</v>
      </c>
      <c r="H281" s="1" t="s">
        <v>591</v>
      </c>
    </row>
    <row r="282" customFormat="false" ht="15" hidden="false" customHeight="true" outlineLevel="0" collapsed="false">
      <c r="A282" s="1" t="s">
        <v>589</v>
      </c>
      <c r="B282" s="1" t="s">
        <v>409</v>
      </c>
      <c r="C282" s="1" t="s">
        <v>412</v>
      </c>
      <c r="D282" s="1" t="s">
        <v>290</v>
      </c>
      <c r="E282" s="62" t="n">
        <v>5</v>
      </c>
      <c r="F282" s="26" t="n">
        <v>383.56</v>
      </c>
      <c r="G282" s="26" t="n">
        <v>1917.8</v>
      </c>
      <c r="H282" s="1" t="s">
        <v>430</v>
      </c>
    </row>
    <row r="283" customFormat="false" ht="15" hidden="false" customHeight="true" outlineLevel="0" collapsed="false">
      <c r="A283" s="1" t="s">
        <v>589</v>
      </c>
      <c r="B283" s="1" t="s">
        <v>409</v>
      </c>
      <c r="C283" s="1" t="s">
        <v>414</v>
      </c>
      <c r="D283" s="1" t="s">
        <v>290</v>
      </c>
      <c r="E283" s="62" t="n">
        <v>1</v>
      </c>
      <c r="F283" s="26" t="n">
        <v>338.53</v>
      </c>
      <c r="G283" s="26" t="n">
        <v>338.53</v>
      </c>
      <c r="H283" s="1" t="s">
        <v>431</v>
      </c>
    </row>
    <row r="284" customFormat="false" ht="15" hidden="false" customHeight="true" outlineLevel="0" collapsed="false">
      <c r="A284" s="1" t="s">
        <v>589</v>
      </c>
      <c r="B284" s="1" t="s">
        <v>409</v>
      </c>
      <c r="C284" s="1" t="s">
        <v>416</v>
      </c>
      <c r="D284" s="1" t="s">
        <v>290</v>
      </c>
      <c r="E284" s="62" t="n">
        <v>1</v>
      </c>
      <c r="F284" s="26" t="n">
        <v>400.26</v>
      </c>
      <c r="G284" s="26" t="n">
        <v>400.26</v>
      </c>
      <c r="H284" s="1" t="s">
        <v>432</v>
      </c>
    </row>
    <row r="285" customFormat="false" ht="15" hidden="false" customHeight="true" outlineLevel="0" collapsed="false">
      <c r="A285" s="1" t="s">
        <v>589</v>
      </c>
      <c r="B285" s="1" t="s">
        <v>409</v>
      </c>
      <c r="C285" s="1" t="s">
        <v>418</v>
      </c>
      <c r="D285" s="1" t="s">
        <v>290</v>
      </c>
      <c r="E285" s="62" t="n">
        <v>1</v>
      </c>
      <c r="F285" s="26" t="n">
        <v>324</v>
      </c>
      <c r="G285" s="26" t="n">
        <v>324</v>
      </c>
      <c r="H285" s="1" t="s">
        <v>433</v>
      </c>
    </row>
    <row r="286" customFormat="false" ht="15" hidden="false" customHeight="true" outlineLevel="0" collapsed="false">
      <c r="A286" s="1" t="s">
        <v>589</v>
      </c>
      <c r="B286" s="1" t="s">
        <v>409</v>
      </c>
      <c r="C286" s="1" t="s">
        <v>418</v>
      </c>
      <c r="D286" s="1" t="s">
        <v>290</v>
      </c>
      <c r="E286" s="62" t="n">
        <v>64</v>
      </c>
      <c r="F286" s="26" t="n">
        <v>23.15</v>
      </c>
      <c r="G286" s="26" t="n">
        <v>1481.6</v>
      </c>
      <c r="H286" s="1" t="s">
        <v>434</v>
      </c>
    </row>
    <row r="287" customFormat="false" ht="15" hidden="false" customHeight="true" outlineLevel="0" collapsed="false">
      <c r="A287" s="1" t="s">
        <v>589</v>
      </c>
      <c r="B287" s="1" t="s">
        <v>409</v>
      </c>
      <c r="C287" s="1" t="s">
        <v>435</v>
      </c>
      <c r="D287" s="1" t="s">
        <v>290</v>
      </c>
      <c r="E287" s="62" t="n">
        <v>3</v>
      </c>
      <c r="F287" s="26" t="n">
        <v>0</v>
      </c>
      <c r="G287" s="26" t="n">
        <v>0</v>
      </c>
      <c r="H287" s="1" t="s">
        <v>422</v>
      </c>
    </row>
    <row r="288" customFormat="false" ht="15" hidden="false" customHeight="true" outlineLevel="0" collapsed="false">
      <c r="A288" s="1" t="s">
        <v>589</v>
      </c>
      <c r="B288" s="1" t="s">
        <v>409</v>
      </c>
      <c r="C288" s="1" t="s">
        <v>423</v>
      </c>
      <c r="D288" s="1" t="s">
        <v>290</v>
      </c>
      <c r="E288" s="62" t="n">
        <v>1</v>
      </c>
      <c r="F288" s="26" t="n">
        <v>0</v>
      </c>
      <c r="G288" s="26" t="n">
        <v>0</v>
      </c>
      <c r="H288" s="1" t="s">
        <v>422</v>
      </c>
    </row>
    <row r="289" customFormat="false" ht="15" hidden="false" customHeight="true" outlineLevel="0" collapsed="false">
      <c r="A289" s="1" t="s">
        <v>589</v>
      </c>
      <c r="B289" s="1" t="s">
        <v>409</v>
      </c>
      <c r="C289" s="1" t="s">
        <v>436</v>
      </c>
      <c r="D289" s="1" t="s">
        <v>290</v>
      </c>
      <c r="E289" s="62" t="n">
        <v>0</v>
      </c>
      <c r="F289" s="26" t="n">
        <v>0</v>
      </c>
      <c r="G289" s="26" t="n">
        <v>0</v>
      </c>
      <c r="H289" s="1" t="s">
        <v>422</v>
      </c>
    </row>
    <row r="290" customFormat="false" ht="15" hidden="false" customHeight="true" outlineLevel="0" collapsed="false">
      <c r="A290" s="1" t="s">
        <v>589</v>
      </c>
      <c r="B290" s="1" t="s">
        <v>409</v>
      </c>
      <c r="C290" s="1" t="s">
        <v>437</v>
      </c>
      <c r="D290" s="1" t="s">
        <v>290</v>
      </c>
      <c r="E290" s="62" t="n">
        <v>2</v>
      </c>
      <c r="F290" s="26" t="n">
        <v>0</v>
      </c>
      <c r="G290" s="26" t="n">
        <v>0</v>
      </c>
      <c r="H290" s="1" t="s">
        <v>422</v>
      </c>
    </row>
    <row r="291" customFormat="false" ht="15" hidden="false" customHeight="true" outlineLevel="0" collapsed="false">
      <c r="A291" s="1" t="s">
        <v>589</v>
      </c>
      <c r="B291" s="1" t="s">
        <v>409</v>
      </c>
      <c r="C291" s="1" t="s">
        <v>438</v>
      </c>
      <c r="D291" s="1" t="s">
        <v>290</v>
      </c>
      <c r="E291" s="62" t="n">
        <v>5</v>
      </c>
      <c r="F291" s="26" t="n">
        <v>0</v>
      </c>
      <c r="G291" s="26" t="n">
        <v>0</v>
      </c>
      <c r="H291" s="1" t="s">
        <v>422</v>
      </c>
    </row>
    <row r="292" customFormat="false" ht="15" hidden="false" customHeight="true" outlineLevel="0" collapsed="false">
      <c r="A292" s="1" t="s">
        <v>589</v>
      </c>
      <c r="B292" s="1" t="s">
        <v>409</v>
      </c>
      <c r="C292" s="1" t="s">
        <v>439</v>
      </c>
      <c r="D292" s="1" t="s">
        <v>290</v>
      </c>
      <c r="E292" s="62" t="n">
        <v>0</v>
      </c>
      <c r="F292" s="26" t="n">
        <v>0</v>
      </c>
      <c r="G292" s="26" t="n">
        <v>0</v>
      </c>
      <c r="H292" s="1" t="s">
        <v>422</v>
      </c>
    </row>
    <row r="293" customFormat="false" ht="15" hidden="false" customHeight="true" outlineLevel="0" collapsed="false">
      <c r="A293" s="1" t="s">
        <v>589</v>
      </c>
      <c r="B293" s="1" t="s">
        <v>409</v>
      </c>
      <c r="C293" s="1" t="s">
        <v>410</v>
      </c>
      <c r="D293" s="1" t="s">
        <v>294</v>
      </c>
      <c r="E293" s="62" t="n">
        <v>240</v>
      </c>
      <c r="F293" s="26" t="n">
        <v>1.86</v>
      </c>
      <c r="G293" s="26" t="n">
        <v>446.4</v>
      </c>
      <c r="H293" s="1" t="s">
        <v>591</v>
      </c>
    </row>
    <row r="294" customFormat="false" ht="15" hidden="false" customHeight="true" outlineLevel="0" collapsed="false">
      <c r="A294" s="1" t="s">
        <v>589</v>
      </c>
      <c r="B294" s="1" t="s">
        <v>409</v>
      </c>
      <c r="C294" s="1" t="s">
        <v>410</v>
      </c>
      <c r="D294" s="1" t="s">
        <v>294</v>
      </c>
      <c r="E294" s="62" t="n">
        <v>240</v>
      </c>
      <c r="F294" s="26" t="n">
        <v>1.86</v>
      </c>
      <c r="G294" s="26" t="n">
        <v>446.4</v>
      </c>
      <c r="H294" s="1" t="s">
        <v>591</v>
      </c>
    </row>
    <row r="295" customFormat="false" ht="15" hidden="false" customHeight="true" outlineLevel="0" collapsed="false">
      <c r="A295" s="1" t="s">
        <v>589</v>
      </c>
      <c r="B295" s="1" t="s">
        <v>409</v>
      </c>
      <c r="C295" s="1" t="s">
        <v>412</v>
      </c>
      <c r="D295" s="1" t="s">
        <v>294</v>
      </c>
      <c r="E295" s="62" t="n">
        <v>0</v>
      </c>
      <c r="F295" s="26" t="n">
        <v>0</v>
      </c>
      <c r="G295" s="26" t="n">
        <v>0</v>
      </c>
      <c r="H295" s="1" t="s">
        <v>413</v>
      </c>
    </row>
    <row r="296" customFormat="false" ht="15" hidden="false" customHeight="true" outlineLevel="0" collapsed="false">
      <c r="A296" s="1" t="s">
        <v>589</v>
      </c>
      <c r="B296" s="1" t="s">
        <v>409</v>
      </c>
      <c r="C296" s="1" t="s">
        <v>414</v>
      </c>
      <c r="D296" s="1" t="s">
        <v>294</v>
      </c>
      <c r="E296" s="62" t="n">
        <v>2</v>
      </c>
      <c r="F296" s="26" t="n">
        <v>338.53</v>
      </c>
      <c r="G296" s="26" t="n">
        <v>677.06</v>
      </c>
      <c r="H296" s="1" t="s">
        <v>413</v>
      </c>
    </row>
    <row r="297" customFormat="false" ht="15" hidden="false" customHeight="true" outlineLevel="0" collapsed="false">
      <c r="A297" s="1" t="s">
        <v>589</v>
      </c>
      <c r="B297" s="1" t="s">
        <v>409</v>
      </c>
      <c r="C297" s="1" t="s">
        <v>416</v>
      </c>
      <c r="D297" s="1" t="s">
        <v>294</v>
      </c>
      <c r="E297" s="62" t="n">
        <v>0</v>
      </c>
      <c r="F297" s="26" t="n">
        <v>0</v>
      </c>
      <c r="G297" s="26" t="n">
        <v>0</v>
      </c>
      <c r="H297" s="1" t="s">
        <v>440</v>
      </c>
    </row>
    <row r="298" customFormat="false" ht="15" hidden="false" customHeight="true" outlineLevel="0" collapsed="false">
      <c r="A298" s="1" t="s">
        <v>589</v>
      </c>
      <c r="B298" s="1" t="s">
        <v>409</v>
      </c>
      <c r="C298" s="1" t="s">
        <v>423</v>
      </c>
      <c r="D298" s="1" t="s">
        <v>294</v>
      </c>
      <c r="E298" s="62" t="n">
        <v>1</v>
      </c>
      <c r="F298" s="26" t="n">
        <v>0</v>
      </c>
      <c r="G298" s="26" t="n">
        <v>0</v>
      </c>
      <c r="H298" s="1" t="s">
        <v>422</v>
      </c>
    </row>
    <row r="299" customFormat="false" ht="15" hidden="false" customHeight="true" outlineLevel="0" collapsed="false">
      <c r="A299" s="1" t="s">
        <v>589</v>
      </c>
      <c r="B299" s="1" t="s">
        <v>409</v>
      </c>
      <c r="C299" s="1" t="s">
        <v>441</v>
      </c>
      <c r="D299" s="1" t="s">
        <v>294</v>
      </c>
      <c r="E299" s="62" t="n">
        <v>3</v>
      </c>
      <c r="F299" s="26" t="n">
        <v>0</v>
      </c>
      <c r="G299" s="26" t="n">
        <v>0</v>
      </c>
      <c r="H299" s="1" t="s">
        <v>422</v>
      </c>
    </row>
    <row r="300" customFormat="false" ht="15" hidden="false" customHeight="true" outlineLevel="0" collapsed="false">
      <c r="A300" s="1" t="s">
        <v>589</v>
      </c>
      <c r="B300" s="1" t="s">
        <v>409</v>
      </c>
      <c r="C300" s="1" t="s">
        <v>442</v>
      </c>
      <c r="D300" s="1" t="s">
        <v>294</v>
      </c>
      <c r="E300" s="62" t="n">
        <v>0</v>
      </c>
      <c r="F300" s="26" t="n">
        <v>0</v>
      </c>
      <c r="G300" s="26" t="n">
        <v>0</v>
      </c>
      <c r="H300" s="1" t="s">
        <v>422</v>
      </c>
    </row>
    <row r="301" customFormat="false" ht="15" hidden="false" customHeight="true" outlineLevel="0" collapsed="false">
      <c r="A301" s="1" t="s">
        <v>589</v>
      </c>
      <c r="B301" s="1" t="s">
        <v>409</v>
      </c>
      <c r="C301" s="1" t="s">
        <v>443</v>
      </c>
      <c r="D301" s="1" t="s">
        <v>294</v>
      </c>
      <c r="E301" s="62" t="n">
        <v>0</v>
      </c>
      <c r="F301" s="26" t="n">
        <v>0</v>
      </c>
      <c r="G301" s="26" t="n">
        <v>0</v>
      </c>
      <c r="H301" s="1" t="s">
        <v>422</v>
      </c>
    </row>
    <row r="302" customFormat="false" ht="15" hidden="false" customHeight="true" outlineLevel="0" collapsed="false">
      <c r="A302" s="1" t="s">
        <v>589</v>
      </c>
      <c r="B302" s="1" t="s">
        <v>409</v>
      </c>
      <c r="C302" s="1" t="s">
        <v>410</v>
      </c>
      <c r="D302" s="1" t="s">
        <v>291</v>
      </c>
      <c r="E302" s="62" t="n">
        <v>679</v>
      </c>
      <c r="F302" s="26" t="n">
        <v>1.86</v>
      </c>
      <c r="G302" s="26" t="n">
        <v>1262.94</v>
      </c>
      <c r="H302" s="1" t="s">
        <v>591</v>
      </c>
    </row>
    <row r="303" customFormat="false" ht="15" hidden="false" customHeight="true" outlineLevel="0" collapsed="false">
      <c r="A303" s="1" t="s">
        <v>589</v>
      </c>
      <c r="B303" s="1" t="s">
        <v>409</v>
      </c>
      <c r="C303" s="1" t="s">
        <v>410</v>
      </c>
      <c r="D303" s="1" t="s">
        <v>291</v>
      </c>
      <c r="E303" s="62" t="n">
        <v>679</v>
      </c>
      <c r="F303" s="26" t="n">
        <v>1.86</v>
      </c>
      <c r="G303" s="26" t="n">
        <v>1262.94</v>
      </c>
      <c r="H303" s="1" t="s">
        <v>591</v>
      </c>
    </row>
    <row r="304" customFormat="false" ht="15" hidden="false" customHeight="true" outlineLevel="0" collapsed="false">
      <c r="A304" s="1" t="s">
        <v>589</v>
      </c>
      <c r="B304" s="1" t="s">
        <v>409</v>
      </c>
      <c r="C304" s="1" t="s">
        <v>412</v>
      </c>
      <c r="D304" s="1" t="s">
        <v>291</v>
      </c>
      <c r="E304" s="62" t="n">
        <v>4</v>
      </c>
      <c r="F304" s="26" t="n">
        <v>383.56</v>
      </c>
      <c r="G304" s="26" t="n">
        <v>1534.24</v>
      </c>
      <c r="H304" s="1" t="s">
        <v>444</v>
      </c>
    </row>
    <row r="305" customFormat="false" ht="15" hidden="false" customHeight="true" outlineLevel="0" collapsed="false">
      <c r="A305" s="1" t="s">
        <v>589</v>
      </c>
      <c r="B305" s="1" t="s">
        <v>409</v>
      </c>
      <c r="C305" s="1" t="s">
        <v>414</v>
      </c>
      <c r="D305" s="1" t="s">
        <v>291</v>
      </c>
      <c r="E305" s="62" t="n">
        <v>4</v>
      </c>
      <c r="F305" s="26" t="n">
        <v>338.53</v>
      </c>
      <c r="G305" s="26" t="n">
        <v>1354.12</v>
      </c>
      <c r="H305" s="1" t="s">
        <v>445</v>
      </c>
    </row>
    <row r="306" customFormat="false" ht="15" hidden="false" customHeight="true" outlineLevel="0" collapsed="false">
      <c r="A306" s="1" t="s">
        <v>589</v>
      </c>
      <c r="B306" s="1" t="s">
        <v>409</v>
      </c>
      <c r="C306" s="1" t="s">
        <v>416</v>
      </c>
      <c r="D306" s="1" t="s">
        <v>291</v>
      </c>
      <c r="E306" s="62" t="n">
        <v>2</v>
      </c>
      <c r="F306" s="26" t="n">
        <v>400.26</v>
      </c>
      <c r="G306" s="26" t="n">
        <v>800.52</v>
      </c>
      <c r="H306" s="1" t="s">
        <v>446</v>
      </c>
    </row>
    <row r="307" customFormat="false" ht="15" hidden="false" customHeight="true" outlineLevel="0" collapsed="false">
      <c r="A307" s="1" t="s">
        <v>589</v>
      </c>
      <c r="B307" s="1" t="s">
        <v>409</v>
      </c>
      <c r="C307" s="1" t="s">
        <v>418</v>
      </c>
      <c r="D307" s="1" t="s">
        <v>291</v>
      </c>
      <c r="E307" s="62" t="n">
        <v>1</v>
      </c>
      <c r="F307" s="26" t="n">
        <v>448</v>
      </c>
      <c r="G307" s="26" t="n">
        <v>448</v>
      </c>
      <c r="H307" s="1" t="s">
        <v>447</v>
      </c>
    </row>
    <row r="308" customFormat="false" ht="15" hidden="false" customHeight="true" outlineLevel="0" collapsed="false">
      <c r="A308" s="1" t="s">
        <v>589</v>
      </c>
      <c r="B308" s="1" t="s">
        <v>409</v>
      </c>
      <c r="C308" s="1" t="s">
        <v>418</v>
      </c>
      <c r="D308" s="1" t="s">
        <v>291</v>
      </c>
      <c r="E308" s="62" t="n">
        <v>116</v>
      </c>
      <c r="F308" s="26" t="n">
        <v>23.15</v>
      </c>
      <c r="G308" s="26" t="n">
        <v>2685.4</v>
      </c>
      <c r="H308" s="1" t="s">
        <v>448</v>
      </c>
    </row>
    <row r="309" customFormat="false" ht="15" hidden="false" customHeight="true" outlineLevel="0" collapsed="false">
      <c r="A309" s="1" t="s">
        <v>589</v>
      </c>
      <c r="B309" s="1" t="s">
        <v>409</v>
      </c>
      <c r="C309" s="1" t="s">
        <v>449</v>
      </c>
      <c r="D309" s="1" t="s">
        <v>291</v>
      </c>
      <c r="E309" s="62" t="n">
        <v>2</v>
      </c>
      <c r="F309" s="26" t="n">
        <v>0</v>
      </c>
      <c r="G309" s="26" t="n">
        <v>0</v>
      </c>
      <c r="H309" s="1" t="s">
        <v>422</v>
      </c>
    </row>
    <row r="310" customFormat="false" ht="15" hidden="false" customHeight="true" outlineLevel="0" collapsed="false">
      <c r="A310" s="1" t="s">
        <v>589</v>
      </c>
      <c r="B310" s="1" t="s">
        <v>409</v>
      </c>
      <c r="C310" s="1" t="s">
        <v>450</v>
      </c>
      <c r="D310" s="1" t="s">
        <v>291</v>
      </c>
      <c r="E310" s="62" t="n">
        <v>0</v>
      </c>
      <c r="F310" s="26" t="n">
        <v>0</v>
      </c>
      <c r="G310" s="26" t="n">
        <v>0</v>
      </c>
      <c r="H310" s="1" t="s">
        <v>422</v>
      </c>
    </row>
    <row r="311" customFormat="false" ht="15" hidden="false" customHeight="true" outlineLevel="0" collapsed="false">
      <c r="A311" s="1" t="s">
        <v>589</v>
      </c>
      <c r="B311" s="1" t="s">
        <v>409</v>
      </c>
      <c r="C311" s="1" t="s">
        <v>451</v>
      </c>
      <c r="D311" s="1" t="s">
        <v>291</v>
      </c>
      <c r="E311" s="62" t="n">
        <v>0</v>
      </c>
      <c r="F311" s="26" t="n">
        <v>0</v>
      </c>
      <c r="G311" s="26" t="n">
        <v>0</v>
      </c>
      <c r="H311" s="1" t="s">
        <v>422</v>
      </c>
    </row>
    <row r="312" customFormat="false" ht="15" hidden="false" customHeight="true" outlineLevel="0" collapsed="false">
      <c r="A312" s="1" t="s">
        <v>589</v>
      </c>
      <c r="B312" s="1" t="s">
        <v>409</v>
      </c>
      <c r="C312" s="1" t="s">
        <v>452</v>
      </c>
      <c r="D312" s="1" t="s">
        <v>291</v>
      </c>
      <c r="E312" s="62" t="n">
        <v>0</v>
      </c>
      <c r="F312" s="26" t="n">
        <v>0</v>
      </c>
      <c r="G312" s="26" t="n">
        <v>0</v>
      </c>
      <c r="H312" s="1" t="s">
        <v>422</v>
      </c>
    </row>
    <row r="313" customFormat="false" ht="15" hidden="false" customHeight="true" outlineLevel="0" collapsed="false">
      <c r="A313" s="1" t="s">
        <v>589</v>
      </c>
      <c r="B313" s="1" t="s">
        <v>409</v>
      </c>
      <c r="C313" s="1" t="s">
        <v>410</v>
      </c>
      <c r="D313" s="1" t="s">
        <v>285</v>
      </c>
      <c r="E313" s="62" t="n">
        <v>508</v>
      </c>
      <c r="F313" s="26" t="n">
        <v>1.86</v>
      </c>
      <c r="G313" s="26" t="n">
        <v>944.88</v>
      </c>
      <c r="H313" s="1" t="s">
        <v>591</v>
      </c>
    </row>
    <row r="314" customFormat="false" ht="15" hidden="false" customHeight="true" outlineLevel="0" collapsed="false">
      <c r="A314" s="1" t="s">
        <v>589</v>
      </c>
      <c r="B314" s="1" t="s">
        <v>409</v>
      </c>
      <c r="C314" s="1" t="s">
        <v>410</v>
      </c>
      <c r="D314" s="1" t="s">
        <v>285</v>
      </c>
      <c r="E314" s="62" t="n">
        <v>508</v>
      </c>
      <c r="F314" s="26" t="n">
        <v>1.86</v>
      </c>
      <c r="G314" s="26" t="n">
        <v>944.88</v>
      </c>
      <c r="H314" s="1" t="s">
        <v>591</v>
      </c>
    </row>
    <row r="315" customFormat="false" ht="15" hidden="false" customHeight="true" outlineLevel="0" collapsed="false">
      <c r="A315" s="1" t="s">
        <v>589</v>
      </c>
      <c r="B315" s="1" t="s">
        <v>409</v>
      </c>
      <c r="C315" s="1" t="s">
        <v>412</v>
      </c>
      <c r="D315" s="1" t="s">
        <v>285</v>
      </c>
      <c r="E315" s="62" t="n">
        <v>1</v>
      </c>
      <c r="F315" s="26" t="n">
        <v>383.56</v>
      </c>
      <c r="G315" s="26" t="n">
        <v>383.56</v>
      </c>
      <c r="H315" s="1" t="s">
        <v>453</v>
      </c>
    </row>
    <row r="316" customFormat="false" ht="15" hidden="false" customHeight="true" outlineLevel="0" collapsed="false">
      <c r="A316" s="1" t="s">
        <v>589</v>
      </c>
      <c r="B316" s="1" t="s">
        <v>409</v>
      </c>
      <c r="C316" s="1" t="s">
        <v>414</v>
      </c>
      <c r="D316" s="1" t="s">
        <v>285</v>
      </c>
      <c r="E316" s="62" t="n">
        <v>4</v>
      </c>
      <c r="F316" s="26" t="n">
        <v>338.53</v>
      </c>
      <c r="G316" s="26" t="n">
        <v>1354.12</v>
      </c>
      <c r="H316" s="1" t="s">
        <v>454</v>
      </c>
    </row>
    <row r="317" customFormat="false" ht="15" hidden="false" customHeight="true" outlineLevel="0" collapsed="false">
      <c r="A317" s="1" t="s">
        <v>589</v>
      </c>
      <c r="B317" s="1" t="s">
        <v>409</v>
      </c>
      <c r="C317" s="1" t="s">
        <v>416</v>
      </c>
      <c r="D317" s="1" t="s">
        <v>285</v>
      </c>
      <c r="E317" s="62" t="n">
        <v>1</v>
      </c>
      <c r="F317" s="26" t="n">
        <v>400.26</v>
      </c>
      <c r="G317" s="26" t="n">
        <v>400.26</v>
      </c>
      <c r="H317" s="1" t="s">
        <v>455</v>
      </c>
    </row>
    <row r="318" customFormat="false" ht="15" hidden="false" customHeight="true" outlineLevel="0" collapsed="false">
      <c r="A318" s="1" t="s">
        <v>589</v>
      </c>
      <c r="B318" s="1" t="s">
        <v>409</v>
      </c>
      <c r="C318" s="1" t="s">
        <v>456</v>
      </c>
      <c r="D318" s="1" t="s">
        <v>285</v>
      </c>
      <c r="E318" s="62" t="n">
        <v>1</v>
      </c>
      <c r="F318" s="26" t="n">
        <v>443</v>
      </c>
      <c r="G318" s="26" t="n">
        <v>443</v>
      </c>
      <c r="H318" s="1" t="s">
        <v>457</v>
      </c>
    </row>
    <row r="319" customFormat="false" ht="15" hidden="false" customHeight="true" outlineLevel="0" collapsed="false">
      <c r="A319" s="1" t="s">
        <v>589</v>
      </c>
      <c r="B319" s="1" t="s">
        <v>409</v>
      </c>
      <c r="C319" s="1" t="s">
        <v>456</v>
      </c>
      <c r="D319" s="1" t="s">
        <v>285</v>
      </c>
      <c r="E319" s="62" t="n">
        <v>182</v>
      </c>
      <c r="F319" s="26" t="n">
        <v>12.34</v>
      </c>
      <c r="G319" s="26" t="n">
        <v>2245.88</v>
      </c>
      <c r="H319" s="1" t="s">
        <v>434</v>
      </c>
    </row>
    <row r="320" customFormat="false" ht="15" hidden="false" customHeight="true" outlineLevel="0" collapsed="false">
      <c r="A320" s="1" t="s">
        <v>589</v>
      </c>
      <c r="B320" s="1" t="s">
        <v>409</v>
      </c>
      <c r="C320" s="1" t="s">
        <v>423</v>
      </c>
      <c r="D320" s="1" t="s">
        <v>285</v>
      </c>
      <c r="E320" s="62" t="n">
        <v>15</v>
      </c>
      <c r="F320" s="26" t="n">
        <v>0</v>
      </c>
      <c r="G320" s="26" t="n">
        <v>0</v>
      </c>
      <c r="H320" s="1" t="s">
        <v>422</v>
      </c>
    </row>
    <row r="321" customFormat="false" ht="15" hidden="false" customHeight="true" outlineLevel="0" collapsed="false">
      <c r="A321" s="1" t="s">
        <v>589</v>
      </c>
      <c r="B321" s="1" t="s">
        <v>409</v>
      </c>
      <c r="C321" s="1" t="s">
        <v>458</v>
      </c>
      <c r="D321" s="1" t="s">
        <v>285</v>
      </c>
      <c r="E321" s="62" t="n">
        <v>0</v>
      </c>
      <c r="F321" s="26" t="n">
        <v>0</v>
      </c>
      <c r="G321" s="26" t="n">
        <v>0</v>
      </c>
      <c r="H321" s="1" t="s">
        <v>422</v>
      </c>
    </row>
    <row r="322" customFormat="false" ht="15" hidden="false" customHeight="true" outlineLevel="0" collapsed="false">
      <c r="A322" s="1" t="s">
        <v>589</v>
      </c>
      <c r="B322" s="1" t="s">
        <v>409</v>
      </c>
      <c r="C322" s="1" t="s">
        <v>459</v>
      </c>
      <c r="D322" s="1" t="s">
        <v>285</v>
      </c>
      <c r="E322" s="62" t="n">
        <v>0</v>
      </c>
      <c r="F322" s="26" t="n">
        <v>0</v>
      </c>
      <c r="G322" s="26" t="n">
        <v>0</v>
      </c>
      <c r="H322" s="1" t="s">
        <v>422</v>
      </c>
    </row>
    <row r="323" customFormat="false" ht="15" hidden="false" customHeight="true" outlineLevel="0" collapsed="false">
      <c r="A323" s="1" t="s">
        <v>589</v>
      </c>
      <c r="B323" s="1" t="s">
        <v>409</v>
      </c>
      <c r="C323" s="1" t="s">
        <v>460</v>
      </c>
      <c r="D323" s="1" t="s">
        <v>285</v>
      </c>
      <c r="E323" s="62" t="n">
        <v>0</v>
      </c>
      <c r="F323" s="26" t="n">
        <v>0</v>
      </c>
      <c r="G323" s="26" t="n">
        <v>0</v>
      </c>
      <c r="H323" s="1" t="s">
        <v>422</v>
      </c>
    </row>
    <row r="324" customFormat="false" ht="15" hidden="false" customHeight="true" outlineLevel="0" collapsed="false">
      <c r="A324" s="1" t="s">
        <v>589</v>
      </c>
      <c r="B324" s="1" t="s">
        <v>409</v>
      </c>
      <c r="C324" s="1" t="s">
        <v>410</v>
      </c>
      <c r="D324" s="1" t="s">
        <v>286</v>
      </c>
      <c r="E324" s="62" t="n">
        <v>111</v>
      </c>
      <c r="F324" s="26" t="n">
        <v>1.86</v>
      </c>
      <c r="G324" s="26" t="n">
        <v>206.46</v>
      </c>
      <c r="H324" s="1" t="s">
        <v>591</v>
      </c>
    </row>
    <row r="325" customFormat="false" ht="15" hidden="false" customHeight="true" outlineLevel="0" collapsed="false">
      <c r="A325" s="1" t="s">
        <v>589</v>
      </c>
      <c r="B325" s="1" t="s">
        <v>409</v>
      </c>
      <c r="C325" s="1" t="s">
        <v>410</v>
      </c>
      <c r="D325" s="1" t="s">
        <v>286</v>
      </c>
      <c r="E325" s="62" t="n">
        <v>111</v>
      </c>
      <c r="F325" s="26" t="n">
        <v>1.86</v>
      </c>
      <c r="G325" s="26" t="n">
        <v>206.46</v>
      </c>
      <c r="H325" s="1" t="s">
        <v>591</v>
      </c>
    </row>
    <row r="326" customFormat="false" ht="15" hidden="false" customHeight="true" outlineLevel="0" collapsed="false">
      <c r="A326" s="1" t="s">
        <v>589</v>
      </c>
      <c r="B326" s="1" t="s">
        <v>409</v>
      </c>
      <c r="C326" s="1" t="s">
        <v>412</v>
      </c>
      <c r="D326" s="1" t="s">
        <v>286</v>
      </c>
      <c r="E326" s="62" t="n">
        <v>1</v>
      </c>
      <c r="F326" s="26" t="n">
        <v>383.56</v>
      </c>
      <c r="G326" s="26" t="n">
        <v>383.56</v>
      </c>
      <c r="H326" s="1" t="s">
        <v>461</v>
      </c>
    </row>
    <row r="327" customFormat="false" ht="15" hidden="false" customHeight="true" outlineLevel="0" collapsed="false">
      <c r="A327" s="1" t="s">
        <v>589</v>
      </c>
      <c r="B327" s="1" t="s">
        <v>409</v>
      </c>
      <c r="C327" s="1" t="s">
        <v>414</v>
      </c>
      <c r="D327" s="1" t="s">
        <v>286</v>
      </c>
      <c r="E327" s="62" t="n">
        <v>0</v>
      </c>
      <c r="F327" s="26" t="n">
        <v>0</v>
      </c>
      <c r="G327" s="26" t="n">
        <v>0</v>
      </c>
      <c r="H327" s="1" t="s">
        <v>462</v>
      </c>
    </row>
    <row r="328" customFormat="false" ht="15" hidden="false" customHeight="true" outlineLevel="0" collapsed="false">
      <c r="A328" s="1" t="s">
        <v>589</v>
      </c>
      <c r="B328" s="1" t="s">
        <v>409</v>
      </c>
      <c r="C328" s="1" t="s">
        <v>416</v>
      </c>
      <c r="D328" s="1" t="s">
        <v>286</v>
      </c>
      <c r="E328" s="62" t="n">
        <v>1</v>
      </c>
      <c r="F328" s="26" t="n">
        <v>400.26</v>
      </c>
      <c r="G328" s="26" t="n">
        <v>400.26</v>
      </c>
      <c r="H328" s="1" t="s">
        <v>413</v>
      </c>
    </row>
    <row r="329" customFormat="false" ht="15" hidden="false" customHeight="true" outlineLevel="0" collapsed="false">
      <c r="A329" s="1" t="s">
        <v>589</v>
      </c>
      <c r="B329" s="1" t="s">
        <v>409</v>
      </c>
      <c r="C329" s="1" t="s">
        <v>456</v>
      </c>
      <c r="D329" s="1" t="s">
        <v>286</v>
      </c>
      <c r="E329" s="62" t="n">
        <v>1</v>
      </c>
      <c r="F329" s="26" t="n">
        <v>867</v>
      </c>
      <c r="G329" s="26" t="n">
        <v>867</v>
      </c>
      <c r="H329" s="1" t="s">
        <v>463</v>
      </c>
    </row>
    <row r="330" customFormat="false" ht="15" hidden="false" customHeight="true" outlineLevel="0" collapsed="false">
      <c r="A330" s="1" t="s">
        <v>589</v>
      </c>
      <c r="B330" s="1" t="s">
        <v>409</v>
      </c>
      <c r="C330" s="1" t="s">
        <v>456</v>
      </c>
      <c r="D330" s="1" t="s">
        <v>286</v>
      </c>
      <c r="E330" s="62" t="n">
        <v>96</v>
      </c>
      <c r="F330" s="26" t="n">
        <v>12.34</v>
      </c>
      <c r="G330" s="26" t="n">
        <v>1184.64</v>
      </c>
      <c r="H330" s="1" t="s">
        <v>434</v>
      </c>
    </row>
    <row r="331" customFormat="false" ht="15" hidden="false" customHeight="true" outlineLevel="0" collapsed="false">
      <c r="A331" s="1" t="s">
        <v>589</v>
      </c>
      <c r="B331" s="1" t="s">
        <v>409</v>
      </c>
      <c r="C331" s="1" t="s">
        <v>423</v>
      </c>
      <c r="D331" s="1" t="s">
        <v>286</v>
      </c>
      <c r="E331" s="62" t="n">
        <v>1</v>
      </c>
      <c r="F331" s="26" t="n">
        <v>0</v>
      </c>
      <c r="G331" s="26" t="n">
        <v>0</v>
      </c>
      <c r="H331" s="1" t="s">
        <v>422</v>
      </c>
    </row>
    <row r="332" customFormat="false" ht="15" hidden="false" customHeight="true" outlineLevel="0" collapsed="false">
      <c r="A332" s="1" t="s">
        <v>589</v>
      </c>
      <c r="B332" s="1" t="s">
        <v>409</v>
      </c>
      <c r="C332" s="1" t="s">
        <v>464</v>
      </c>
      <c r="D332" s="1" t="s">
        <v>286</v>
      </c>
      <c r="E332" s="62" t="n">
        <v>2</v>
      </c>
      <c r="F332" s="26" t="n">
        <v>0</v>
      </c>
      <c r="G332" s="26" t="n">
        <v>0</v>
      </c>
      <c r="H332" s="1" t="s">
        <v>422</v>
      </c>
    </row>
    <row r="333" customFormat="false" ht="15" hidden="false" customHeight="true" outlineLevel="0" collapsed="false">
      <c r="A333" s="1" t="s">
        <v>589</v>
      </c>
      <c r="B333" s="1" t="s">
        <v>409</v>
      </c>
      <c r="C333" s="1" t="s">
        <v>427</v>
      </c>
      <c r="D333" s="1" t="s">
        <v>283</v>
      </c>
      <c r="E333" s="62" t="n">
        <v>1</v>
      </c>
      <c r="F333" s="26" t="n">
        <v>25.5</v>
      </c>
      <c r="G333" s="26" t="n">
        <v>25.5</v>
      </c>
      <c r="H333" s="1" t="s">
        <v>551</v>
      </c>
    </row>
    <row r="334" customFormat="false" ht="15" hidden="false" customHeight="true" outlineLevel="0" collapsed="false">
      <c r="A334" s="1" t="s">
        <v>589</v>
      </c>
      <c r="B334" s="1" t="s">
        <v>409</v>
      </c>
      <c r="C334" s="1" t="s">
        <v>410</v>
      </c>
      <c r="D334" s="1" t="s">
        <v>283</v>
      </c>
      <c r="E334" s="62" t="n">
        <v>285</v>
      </c>
      <c r="F334" s="26" t="n">
        <v>1.86</v>
      </c>
      <c r="G334" s="26" t="n">
        <v>530.1</v>
      </c>
      <c r="H334" s="1" t="s">
        <v>591</v>
      </c>
    </row>
    <row r="335" customFormat="false" ht="15" hidden="false" customHeight="true" outlineLevel="0" collapsed="false">
      <c r="A335" s="1" t="s">
        <v>589</v>
      </c>
      <c r="B335" s="1" t="s">
        <v>409</v>
      </c>
      <c r="C335" s="1" t="s">
        <v>410</v>
      </c>
      <c r="D335" s="1" t="s">
        <v>283</v>
      </c>
      <c r="E335" s="62" t="n">
        <v>0</v>
      </c>
      <c r="F335" s="26" t="n">
        <v>0</v>
      </c>
      <c r="G335" s="26" t="n">
        <v>0</v>
      </c>
      <c r="H335" s="1" t="s">
        <v>411</v>
      </c>
    </row>
    <row r="336" customFormat="false" ht="15" hidden="false" customHeight="true" outlineLevel="0" collapsed="false">
      <c r="A336" s="1" t="s">
        <v>589</v>
      </c>
      <c r="B336" s="1" t="s">
        <v>409</v>
      </c>
      <c r="C336" s="1" t="s">
        <v>410</v>
      </c>
      <c r="D336" s="1" t="s">
        <v>283</v>
      </c>
      <c r="E336" s="62" t="n">
        <v>285</v>
      </c>
      <c r="F336" s="26" t="n">
        <v>1.86</v>
      </c>
      <c r="G336" s="26" t="n">
        <v>530.1</v>
      </c>
      <c r="H336" s="1" t="s">
        <v>591</v>
      </c>
    </row>
    <row r="337" customFormat="false" ht="15" hidden="false" customHeight="true" outlineLevel="0" collapsed="false">
      <c r="A337" s="1" t="s">
        <v>589</v>
      </c>
      <c r="B337" s="1" t="s">
        <v>409</v>
      </c>
      <c r="C337" s="1" t="s">
        <v>412</v>
      </c>
      <c r="D337" s="1" t="s">
        <v>283</v>
      </c>
      <c r="E337" s="62" t="n">
        <v>1</v>
      </c>
      <c r="F337" s="26" t="n">
        <v>383.56</v>
      </c>
      <c r="G337" s="26" t="n">
        <v>383.56</v>
      </c>
      <c r="H337" s="1" t="s">
        <v>465</v>
      </c>
    </row>
    <row r="338" customFormat="false" ht="15" hidden="false" customHeight="true" outlineLevel="0" collapsed="false">
      <c r="A338" s="1" t="s">
        <v>589</v>
      </c>
      <c r="B338" s="1" t="s">
        <v>409</v>
      </c>
      <c r="C338" s="1" t="s">
        <v>414</v>
      </c>
      <c r="D338" s="1" t="s">
        <v>283</v>
      </c>
      <c r="E338" s="62" t="n">
        <v>2</v>
      </c>
      <c r="F338" s="26" t="n">
        <v>338.53</v>
      </c>
      <c r="G338" s="26" t="n">
        <v>677.06</v>
      </c>
      <c r="H338" s="1" t="s">
        <v>466</v>
      </c>
    </row>
    <row r="339" customFormat="false" ht="15" hidden="false" customHeight="true" outlineLevel="0" collapsed="false">
      <c r="A339" s="1" t="s">
        <v>589</v>
      </c>
      <c r="B339" s="1" t="s">
        <v>409</v>
      </c>
      <c r="C339" s="1" t="s">
        <v>416</v>
      </c>
      <c r="D339" s="1" t="s">
        <v>283</v>
      </c>
      <c r="E339" s="62" t="n">
        <v>2</v>
      </c>
      <c r="F339" s="26" t="n">
        <v>400.26</v>
      </c>
      <c r="G339" s="26" t="n">
        <v>800.52</v>
      </c>
      <c r="H339" s="1" t="s">
        <v>467</v>
      </c>
    </row>
    <row r="340" customFormat="false" ht="15" hidden="false" customHeight="true" outlineLevel="0" collapsed="false">
      <c r="A340" s="1" t="s">
        <v>589</v>
      </c>
      <c r="B340" s="1" t="s">
        <v>409</v>
      </c>
      <c r="C340" s="1" t="s">
        <v>423</v>
      </c>
      <c r="D340" s="1" t="s">
        <v>283</v>
      </c>
      <c r="E340" s="62" t="n">
        <v>4</v>
      </c>
      <c r="F340" s="26" t="n">
        <v>0</v>
      </c>
      <c r="G340" s="26" t="n">
        <v>0</v>
      </c>
      <c r="H340" s="1" t="s">
        <v>422</v>
      </c>
    </row>
    <row r="341" customFormat="false" ht="15" hidden="false" customHeight="true" outlineLevel="0" collapsed="false">
      <c r="A341" s="1" t="s">
        <v>589</v>
      </c>
      <c r="B341" s="1" t="s">
        <v>409</v>
      </c>
      <c r="C341" s="1" t="s">
        <v>468</v>
      </c>
      <c r="D341" s="1" t="s">
        <v>283</v>
      </c>
      <c r="E341" s="62" t="n">
        <v>0</v>
      </c>
      <c r="F341" s="26" t="n">
        <v>0</v>
      </c>
      <c r="G341" s="26" t="n">
        <v>0</v>
      </c>
      <c r="H341" s="1" t="s">
        <v>422</v>
      </c>
    </row>
    <row r="342" customFormat="false" ht="15" hidden="false" customHeight="true" outlineLevel="0" collapsed="false">
      <c r="A342" s="1" t="s">
        <v>589</v>
      </c>
      <c r="B342" s="1" t="s">
        <v>409</v>
      </c>
      <c r="C342" s="1" t="s">
        <v>469</v>
      </c>
      <c r="D342" s="1" t="s">
        <v>283</v>
      </c>
      <c r="E342" s="62" t="n">
        <v>-15</v>
      </c>
      <c r="F342" s="26" t="n">
        <v>0</v>
      </c>
      <c r="G342" s="26" t="n">
        <v>0</v>
      </c>
      <c r="H342" s="1" t="s">
        <v>422</v>
      </c>
    </row>
    <row r="343" customFormat="false" ht="15" hidden="false" customHeight="true" outlineLevel="0" collapsed="false">
      <c r="A343" s="1" t="s">
        <v>589</v>
      </c>
      <c r="B343" s="1" t="s">
        <v>409</v>
      </c>
      <c r="C343" s="1" t="s">
        <v>470</v>
      </c>
      <c r="D343" s="1" t="s">
        <v>283</v>
      </c>
      <c r="E343" s="62" t="n">
        <v>0</v>
      </c>
      <c r="F343" s="26" t="n">
        <v>0</v>
      </c>
      <c r="G343" s="26" t="n">
        <v>0</v>
      </c>
      <c r="H343" s="1" t="s">
        <v>422</v>
      </c>
    </row>
    <row r="344" customFormat="false" ht="15" hidden="false" customHeight="true" outlineLevel="0" collapsed="false">
      <c r="A344" s="1" t="s">
        <v>589</v>
      </c>
      <c r="B344" s="1" t="s">
        <v>409</v>
      </c>
      <c r="C344" s="1" t="s">
        <v>471</v>
      </c>
      <c r="D344" s="1" t="s">
        <v>283</v>
      </c>
      <c r="E344" s="62" t="n">
        <v>0</v>
      </c>
      <c r="F344" s="26" t="n">
        <v>0</v>
      </c>
      <c r="G344" s="26" t="n">
        <v>0</v>
      </c>
      <c r="H344" s="1" t="s">
        <v>422</v>
      </c>
    </row>
    <row r="345" customFormat="false" ht="15" hidden="false" customHeight="true" outlineLevel="0" collapsed="false">
      <c r="A345" s="1" t="s">
        <v>589</v>
      </c>
      <c r="B345" s="1" t="s">
        <v>143</v>
      </c>
      <c r="C345" s="1" t="s">
        <v>472</v>
      </c>
      <c r="D345" s="1" t="s">
        <v>288</v>
      </c>
      <c r="E345" s="62" t="n">
        <v>6280</v>
      </c>
      <c r="F345" s="26" t="n">
        <v>0.212371943123151</v>
      </c>
      <c r="G345" s="26" t="n">
        <v>1333.69580281339</v>
      </c>
      <c r="H345" s="1" t="s">
        <v>395</v>
      </c>
    </row>
    <row r="346" customFormat="false" ht="15" hidden="false" customHeight="true" outlineLevel="0" collapsed="false">
      <c r="A346" s="1" t="s">
        <v>589</v>
      </c>
      <c r="B346" s="1" t="s">
        <v>143</v>
      </c>
      <c r="C346" s="1" t="s">
        <v>472</v>
      </c>
      <c r="D346" s="1" t="s">
        <v>290</v>
      </c>
      <c r="E346" s="62" t="n">
        <v>13402</v>
      </c>
      <c r="F346" s="26" t="n">
        <v>0.212371943123151</v>
      </c>
      <c r="G346" s="26" t="n">
        <v>2846.20878173647</v>
      </c>
      <c r="H346" s="1" t="s">
        <v>395</v>
      </c>
    </row>
    <row r="347" customFormat="false" ht="15" hidden="false" customHeight="true" outlineLevel="0" collapsed="false">
      <c r="A347" s="1" t="s">
        <v>589</v>
      </c>
      <c r="B347" s="1" t="s">
        <v>143</v>
      </c>
      <c r="C347" s="1" t="s">
        <v>472</v>
      </c>
      <c r="D347" s="1" t="s">
        <v>294</v>
      </c>
      <c r="E347" s="62" t="n">
        <v>3650</v>
      </c>
      <c r="F347" s="26" t="n">
        <v>0.212371943123151</v>
      </c>
      <c r="G347" s="26" t="n">
        <v>775.157592399501</v>
      </c>
      <c r="H347" s="1" t="s">
        <v>395</v>
      </c>
    </row>
    <row r="348" customFormat="false" ht="15" hidden="false" customHeight="true" outlineLevel="0" collapsed="false">
      <c r="A348" s="1" t="s">
        <v>589</v>
      </c>
      <c r="B348" s="1" t="s">
        <v>143</v>
      </c>
      <c r="C348" s="1" t="s">
        <v>472</v>
      </c>
      <c r="D348" s="1" t="s">
        <v>291</v>
      </c>
      <c r="E348" s="62" t="n">
        <v>6396</v>
      </c>
      <c r="F348" s="26" t="n">
        <v>0.212371943123151</v>
      </c>
      <c r="G348" s="26" t="n">
        <v>1358.33094821567</v>
      </c>
      <c r="H348" s="1" t="s">
        <v>395</v>
      </c>
    </row>
    <row r="349" customFormat="false" ht="15" hidden="false" customHeight="true" outlineLevel="0" collapsed="false">
      <c r="A349" s="1" t="s">
        <v>589</v>
      </c>
      <c r="B349" s="1" t="s">
        <v>143</v>
      </c>
      <c r="C349" s="1" t="s">
        <v>472</v>
      </c>
      <c r="D349" s="1" t="s">
        <v>285</v>
      </c>
      <c r="E349" s="62" t="n">
        <v>14331</v>
      </c>
      <c r="F349" s="26" t="n">
        <v>0.212371943123151</v>
      </c>
      <c r="G349" s="26" t="n">
        <v>3043.50231689788</v>
      </c>
      <c r="H349" s="1" t="s">
        <v>395</v>
      </c>
    </row>
    <row r="350" customFormat="false" ht="15" hidden="false" customHeight="true" outlineLevel="0" collapsed="false">
      <c r="A350" s="1" t="s">
        <v>589</v>
      </c>
      <c r="B350" s="1" t="s">
        <v>143</v>
      </c>
      <c r="C350" s="1" t="s">
        <v>472</v>
      </c>
      <c r="D350" s="1" t="s">
        <v>286</v>
      </c>
      <c r="E350" s="62" t="n">
        <v>4730</v>
      </c>
      <c r="F350" s="26" t="n">
        <v>0.212371943123151</v>
      </c>
      <c r="G350" s="26" t="n">
        <v>1004.5192909725</v>
      </c>
      <c r="H350" s="1" t="s">
        <v>395</v>
      </c>
    </row>
    <row r="351" customFormat="false" ht="15" hidden="false" customHeight="true" outlineLevel="0" collapsed="false">
      <c r="A351" s="1" t="s">
        <v>589</v>
      </c>
      <c r="B351" s="1" t="s">
        <v>143</v>
      </c>
      <c r="C351" s="1" t="s">
        <v>472</v>
      </c>
      <c r="D351" s="1" t="s">
        <v>283</v>
      </c>
      <c r="E351" s="62" t="n">
        <v>4782</v>
      </c>
      <c r="F351" s="26" t="n">
        <v>0.212371943123151</v>
      </c>
      <c r="G351" s="26" t="n">
        <v>1015.56263201491</v>
      </c>
      <c r="H351" s="1" t="s">
        <v>395</v>
      </c>
    </row>
    <row r="352" customFormat="false" ht="15" hidden="false" customHeight="true" outlineLevel="0" collapsed="false">
      <c r="A352" s="1" t="s">
        <v>589</v>
      </c>
      <c r="B352" s="1" t="s">
        <v>141</v>
      </c>
      <c r="C352" s="1" t="s">
        <v>473</v>
      </c>
      <c r="D352" s="1" t="s">
        <v>290</v>
      </c>
      <c r="E352" s="62" t="n">
        <v>13402</v>
      </c>
      <c r="F352" s="26" t="n">
        <v>0.0959225828032635</v>
      </c>
      <c r="G352" s="26" t="n">
        <v>1285.554455</v>
      </c>
      <c r="H352" s="1" t="s">
        <v>395</v>
      </c>
    </row>
    <row r="353" customFormat="false" ht="15" hidden="false" customHeight="true" outlineLevel="0" collapsed="false">
      <c r="A353" s="1" t="s">
        <v>589</v>
      </c>
      <c r="B353" s="1" t="s">
        <v>45</v>
      </c>
      <c r="C353" s="1" t="s">
        <v>474</v>
      </c>
      <c r="D353" s="1" t="s">
        <v>288</v>
      </c>
      <c r="E353" s="62" t="n">
        <v>1</v>
      </c>
      <c r="F353" s="26" t="n">
        <v>9145.68</v>
      </c>
      <c r="G353" s="26" t="n">
        <v>9145.68</v>
      </c>
      <c r="H353" s="1" t="s">
        <v>475</v>
      </c>
    </row>
    <row r="354" customFormat="false" ht="15" hidden="false" customHeight="true" outlineLevel="0" collapsed="false">
      <c r="A354" s="1" t="s">
        <v>589</v>
      </c>
      <c r="B354" s="1" t="s">
        <v>45</v>
      </c>
      <c r="C354" s="1" t="s">
        <v>474</v>
      </c>
      <c r="D354" s="1" t="s">
        <v>294</v>
      </c>
      <c r="E354" s="62" t="n">
        <v>1</v>
      </c>
      <c r="F354" s="26" t="n">
        <v>3372.11</v>
      </c>
      <c r="G354" s="26" t="n">
        <v>3372.11</v>
      </c>
      <c r="H354" s="1" t="s">
        <v>475</v>
      </c>
    </row>
    <row r="355" customFormat="false" ht="15" hidden="false" customHeight="true" outlineLevel="0" collapsed="false">
      <c r="A355" s="1" t="s">
        <v>589</v>
      </c>
      <c r="B355" s="1" t="s">
        <v>45</v>
      </c>
      <c r="C355" s="1" t="s">
        <v>474</v>
      </c>
      <c r="D355" s="1" t="s">
        <v>286</v>
      </c>
      <c r="E355" s="62" t="n">
        <v>1</v>
      </c>
      <c r="F355" s="26" t="n">
        <v>15695.77</v>
      </c>
      <c r="G355" s="26" t="n">
        <v>15695.77</v>
      </c>
      <c r="H355" s="1" t="s">
        <v>475</v>
      </c>
    </row>
    <row r="356" customFormat="false" ht="15" hidden="false" customHeight="true" outlineLevel="0" collapsed="false">
      <c r="A356" s="1" t="s">
        <v>589</v>
      </c>
      <c r="B356" s="1" t="s">
        <v>45</v>
      </c>
      <c r="C356" s="1" t="s">
        <v>476</v>
      </c>
      <c r="D356" s="1" t="s">
        <v>283</v>
      </c>
      <c r="E356" s="62" t="n">
        <v>0</v>
      </c>
      <c r="F356" s="26" t="n">
        <v>0</v>
      </c>
      <c r="G356" s="26" t="n">
        <v>0</v>
      </c>
      <c r="H356" s="1" t="s">
        <v>477</v>
      </c>
    </row>
    <row r="357" customFormat="false" ht="15" hidden="false" customHeight="true" outlineLevel="0" collapsed="false">
      <c r="A357" s="1" t="s">
        <v>589</v>
      </c>
      <c r="B357" s="1" t="s">
        <v>45</v>
      </c>
      <c r="C357" s="1" t="s">
        <v>553</v>
      </c>
      <c r="D357" s="1" t="s">
        <v>283</v>
      </c>
      <c r="E357" s="62" t="n">
        <v>1</v>
      </c>
      <c r="F357" s="26" t="n">
        <v>22320</v>
      </c>
      <c r="G357" s="26" t="n">
        <v>22320</v>
      </c>
      <c r="H357" s="1" t="s">
        <v>592</v>
      </c>
    </row>
    <row r="358" customFormat="false" ht="15" hidden="false" customHeight="true" outlineLevel="0" collapsed="false">
      <c r="A358" s="1" t="s">
        <v>589</v>
      </c>
      <c r="B358" s="1" t="s">
        <v>50</v>
      </c>
      <c r="C358" s="1" t="s">
        <v>478</v>
      </c>
      <c r="D358" s="1" t="s">
        <v>288</v>
      </c>
      <c r="E358" s="62" t="n">
        <v>1</v>
      </c>
      <c r="F358" s="26" t="n">
        <v>676.8</v>
      </c>
      <c r="G358" s="26" t="n">
        <v>676.8</v>
      </c>
      <c r="H358" s="1" t="s">
        <v>479</v>
      </c>
    </row>
    <row r="359" customFormat="false" ht="15" hidden="false" customHeight="true" outlineLevel="0" collapsed="false">
      <c r="A359" s="1" t="s">
        <v>589</v>
      </c>
      <c r="B359" s="1" t="s">
        <v>50</v>
      </c>
      <c r="C359" s="1" t="s">
        <v>478</v>
      </c>
      <c r="D359" s="1" t="s">
        <v>294</v>
      </c>
      <c r="E359" s="62" t="n">
        <v>1</v>
      </c>
      <c r="F359" s="26" t="n">
        <v>676.8</v>
      </c>
      <c r="G359" s="26" t="n">
        <v>676.8</v>
      </c>
      <c r="H359" s="1" t="s">
        <v>479</v>
      </c>
    </row>
    <row r="360" customFormat="false" ht="15" hidden="false" customHeight="true" outlineLevel="0" collapsed="false">
      <c r="A360" s="1" t="s">
        <v>589</v>
      </c>
      <c r="B360" s="1" t="s">
        <v>50</v>
      </c>
      <c r="C360" s="1" t="s">
        <v>478</v>
      </c>
      <c r="D360" s="1" t="s">
        <v>291</v>
      </c>
      <c r="E360" s="62" t="n">
        <v>1</v>
      </c>
      <c r="F360" s="26" t="n">
        <v>676.8</v>
      </c>
      <c r="G360" s="26" t="n">
        <v>676.8</v>
      </c>
      <c r="H360" s="1" t="s">
        <v>480</v>
      </c>
    </row>
    <row r="361" customFormat="false" ht="15" hidden="false" customHeight="true" outlineLevel="0" collapsed="false">
      <c r="A361" s="1" t="s">
        <v>589</v>
      </c>
      <c r="B361" s="1" t="s">
        <v>50</v>
      </c>
      <c r="C361" s="1" t="s">
        <v>478</v>
      </c>
      <c r="D361" s="1" t="s">
        <v>291</v>
      </c>
      <c r="E361" s="62" t="n">
        <v>1</v>
      </c>
      <c r="F361" s="26" t="n">
        <v>676.8</v>
      </c>
      <c r="G361" s="26" t="n">
        <v>676.8</v>
      </c>
      <c r="H361" s="1" t="s">
        <v>479</v>
      </c>
    </row>
    <row r="362" customFormat="false" ht="15" hidden="false" customHeight="true" outlineLevel="0" collapsed="false">
      <c r="A362" s="1" t="s">
        <v>589</v>
      </c>
      <c r="B362" s="1" t="s">
        <v>50</v>
      </c>
      <c r="C362" s="1" t="s">
        <v>478</v>
      </c>
      <c r="D362" s="1" t="s">
        <v>285</v>
      </c>
      <c r="E362" s="62" t="n">
        <v>1</v>
      </c>
      <c r="F362" s="26" t="n">
        <v>676.8</v>
      </c>
      <c r="G362" s="26" t="n">
        <v>676.8</v>
      </c>
      <c r="H362" s="1" t="s">
        <v>481</v>
      </c>
    </row>
    <row r="363" customFormat="false" ht="15" hidden="false" customHeight="true" outlineLevel="0" collapsed="false">
      <c r="A363" s="1" t="s">
        <v>589</v>
      </c>
      <c r="B363" s="1" t="s">
        <v>50</v>
      </c>
      <c r="C363" s="1" t="s">
        <v>478</v>
      </c>
      <c r="D363" s="1" t="s">
        <v>285</v>
      </c>
      <c r="E363" s="62" t="n">
        <v>1</v>
      </c>
      <c r="F363" s="26" t="n">
        <v>676.8</v>
      </c>
      <c r="G363" s="26" t="n">
        <v>676.8</v>
      </c>
      <c r="H363" s="1" t="s">
        <v>479</v>
      </c>
    </row>
    <row r="364" customFormat="false" ht="15" hidden="false" customHeight="true" outlineLevel="0" collapsed="false">
      <c r="A364" s="1" t="s">
        <v>589</v>
      </c>
      <c r="B364" s="1" t="s">
        <v>50</v>
      </c>
      <c r="C364" s="1" t="s">
        <v>478</v>
      </c>
      <c r="D364" s="1" t="s">
        <v>286</v>
      </c>
      <c r="E364" s="62" t="n">
        <v>1</v>
      </c>
      <c r="F364" s="26" t="n">
        <v>676.8</v>
      </c>
      <c r="G364" s="26" t="n">
        <v>676.8</v>
      </c>
      <c r="H364" s="1" t="s">
        <v>479</v>
      </c>
    </row>
    <row r="365" customFormat="false" ht="15" hidden="false" customHeight="true" outlineLevel="0" collapsed="false">
      <c r="A365" s="1" t="s">
        <v>589</v>
      </c>
      <c r="B365" s="1" t="s">
        <v>50</v>
      </c>
      <c r="C365" s="1" t="s">
        <v>478</v>
      </c>
      <c r="D365" s="1" t="s">
        <v>283</v>
      </c>
      <c r="E365" s="62" t="n">
        <v>1</v>
      </c>
      <c r="F365" s="26" t="n">
        <v>676.8</v>
      </c>
      <c r="G365" s="26" t="n">
        <v>676.8</v>
      </c>
      <c r="H365" s="1" t="s">
        <v>479</v>
      </c>
    </row>
    <row r="366" customFormat="false" ht="15" hidden="false" customHeight="true" outlineLevel="0" collapsed="false">
      <c r="A366" s="1" t="s">
        <v>589</v>
      </c>
      <c r="B366" s="1" t="s">
        <v>482</v>
      </c>
      <c r="C366" s="1" t="s">
        <v>483</v>
      </c>
      <c r="D366" s="1" t="s">
        <v>288</v>
      </c>
      <c r="E366" s="62" t="n">
        <v>0</v>
      </c>
      <c r="F366" s="26" t="n">
        <v>0</v>
      </c>
      <c r="G366" s="26" t="n">
        <v>0</v>
      </c>
      <c r="H366" s="1" t="s">
        <v>484</v>
      </c>
    </row>
    <row r="367" customFormat="false" ht="15" hidden="false" customHeight="true" outlineLevel="0" collapsed="false">
      <c r="A367" s="1" t="s">
        <v>589</v>
      </c>
      <c r="B367" s="1" t="s">
        <v>482</v>
      </c>
      <c r="C367" s="1" t="s">
        <v>485</v>
      </c>
      <c r="D367" s="1" t="s">
        <v>288</v>
      </c>
      <c r="E367" s="62" t="n">
        <v>0</v>
      </c>
      <c r="F367" s="26" t="n">
        <v>0</v>
      </c>
      <c r="G367" s="26" t="n">
        <v>0</v>
      </c>
      <c r="H367" s="1" t="s">
        <v>486</v>
      </c>
    </row>
    <row r="368" customFormat="false" ht="15" hidden="false" customHeight="true" outlineLevel="0" collapsed="false">
      <c r="A368" s="1" t="s">
        <v>589</v>
      </c>
      <c r="B368" s="1" t="s">
        <v>482</v>
      </c>
      <c r="C368" s="1" t="s">
        <v>487</v>
      </c>
      <c r="D368" s="1" t="s">
        <v>288</v>
      </c>
      <c r="E368" s="62" t="n">
        <v>10</v>
      </c>
      <c r="F368" s="26" t="n">
        <v>20</v>
      </c>
      <c r="G368" s="26" t="n">
        <v>200</v>
      </c>
      <c r="H368" s="1" t="s">
        <v>488</v>
      </c>
    </row>
    <row r="369" customFormat="false" ht="15" hidden="false" customHeight="true" outlineLevel="0" collapsed="false">
      <c r="A369" s="1" t="s">
        <v>589</v>
      </c>
      <c r="B369" s="1" t="s">
        <v>482</v>
      </c>
      <c r="C369" s="1" t="s">
        <v>489</v>
      </c>
      <c r="D369" s="1" t="s">
        <v>288</v>
      </c>
      <c r="E369" s="62" t="n">
        <v>1</v>
      </c>
      <c r="F369" s="26" t="n">
        <v>745.21</v>
      </c>
      <c r="G369" s="26" t="n">
        <v>745.21</v>
      </c>
      <c r="H369" s="1" t="s">
        <v>490</v>
      </c>
    </row>
    <row r="370" customFormat="false" ht="15" hidden="false" customHeight="true" outlineLevel="0" collapsed="false">
      <c r="A370" s="1" t="s">
        <v>589</v>
      </c>
      <c r="B370" s="1" t="s">
        <v>482</v>
      </c>
      <c r="C370" s="1" t="s">
        <v>491</v>
      </c>
      <c r="D370" s="1" t="s">
        <v>288</v>
      </c>
      <c r="E370" s="62" t="n">
        <v>0</v>
      </c>
      <c r="F370" s="26" t="n">
        <v>0</v>
      </c>
      <c r="G370" s="26" t="n">
        <v>0</v>
      </c>
      <c r="H370" s="1" t="s">
        <v>492</v>
      </c>
    </row>
    <row r="371" customFormat="false" ht="15" hidden="false" customHeight="true" outlineLevel="0" collapsed="false">
      <c r="A371" s="1" t="s">
        <v>589</v>
      </c>
      <c r="B371" s="1" t="s">
        <v>482</v>
      </c>
      <c r="C371" s="1" t="s">
        <v>489</v>
      </c>
      <c r="D371" s="1" t="s">
        <v>290</v>
      </c>
      <c r="E371" s="62" t="n">
        <v>0</v>
      </c>
      <c r="F371" s="26" t="n">
        <v>0</v>
      </c>
      <c r="G371" s="26" t="n">
        <v>0</v>
      </c>
      <c r="H371" s="1" t="s">
        <v>490</v>
      </c>
    </row>
    <row r="372" customFormat="false" ht="15" hidden="false" customHeight="true" outlineLevel="0" collapsed="false">
      <c r="A372" s="1" t="s">
        <v>589</v>
      </c>
      <c r="B372" s="1" t="s">
        <v>482</v>
      </c>
      <c r="C372" s="1" t="s">
        <v>487</v>
      </c>
      <c r="D372" s="1" t="s">
        <v>294</v>
      </c>
      <c r="E372" s="62" t="n">
        <v>3</v>
      </c>
      <c r="F372" s="26" t="n">
        <v>20</v>
      </c>
      <c r="G372" s="26" t="n">
        <v>60</v>
      </c>
      <c r="H372" s="1" t="s">
        <v>488</v>
      </c>
    </row>
    <row r="373" customFormat="false" ht="15" hidden="false" customHeight="true" outlineLevel="0" collapsed="false">
      <c r="A373" s="1" t="s">
        <v>589</v>
      </c>
      <c r="B373" s="1" t="s">
        <v>482</v>
      </c>
      <c r="C373" s="1" t="s">
        <v>489</v>
      </c>
      <c r="D373" s="1" t="s">
        <v>294</v>
      </c>
      <c r="E373" s="62" t="n">
        <v>1</v>
      </c>
      <c r="F373" s="26" t="n">
        <v>373.15</v>
      </c>
      <c r="G373" s="26" t="n">
        <v>373.15</v>
      </c>
      <c r="H373" s="1" t="s">
        <v>490</v>
      </c>
    </row>
    <row r="374" customFormat="false" ht="15" hidden="false" customHeight="true" outlineLevel="0" collapsed="false">
      <c r="A374" s="1" t="s">
        <v>589</v>
      </c>
      <c r="B374" s="1" t="s">
        <v>482</v>
      </c>
      <c r="C374" s="1" t="s">
        <v>491</v>
      </c>
      <c r="D374" s="1" t="s">
        <v>294</v>
      </c>
      <c r="E374" s="62" t="n">
        <v>0</v>
      </c>
      <c r="F374" s="26" t="n">
        <v>0</v>
      </c>
      <c r="G374" s="26" t="n">
        <v>0</v>
      </c>
      <c r="H374" s="1" t="s">
        <v>492</v>
      </c>
    </row>
    <row r="375" customFormat="false" ht="15" hidden="false" customHeight="true" outlineLevel="0" collapsed="false">
      <c r="A375" s="1" t="s">
        <v>589</v>
      </c>
      <c r="B375" s="1" t="s">
        <v>482</v>
      </c>
      <c r="C375" s="1" t="s">
        <v>483</v>
      </c>
      <c r="D375" s="1" t="s">
        <v>291</v>
      </c>
      <c r="E375" s="62" t="n">
        <v>0</v>
      </c>
      <c r="F375" s="26" t="n">
        <v>0</v>
      </c>
      <c r="G375" s="26" t="n">
        <v>0</v>
      </c>
      <c r="H375" s="1" t="s">
        <v>493</v>
      </c>
    </row>
    <row r="376" customFormat="false" ht="15" hidden="false" customHeight="true" outlineLevel="0" collapsed="false">
      <c r="A376" s="1" t="s">
        <v>589</v>
      </c>
      <c r="B376" s="1" t="s">
        <v>482</v>
      </c>
      <c r="C376" s="1" t="s">
        <v>485</v>
      </c>
      <c r="D376" s="1" t="s">
        <v>291</v>
      </c>
      <c r="E376" s="62" t="n">
        <v>0</v>
      </c>
      <c r="F376" s="26" t="n">
        <v>0</v>
      </c>
      <c r="G376" s="26" t="n">
        <v>0</v>
      </c>
      <c r="H376" s="1" t="s">
        <v>494</v>
      </c>
    </row>
    <row r="377" customFormat="false" ht="15" hidden="false" customHeight="true" outlineLevel="0" collapsed="false">
      <c r="A377" s="1" t="s">
        <v>589</v>
      </c>
      <c r="B377" s="1" t="s">
        <v>482</v>
      </c>
      <c r="C377" s="1" t="s">
        <v>495</v>
      </c>
      <c r="D377" s="1" t="s">
        <v>291</v>
      </c>
      <c r="E377" s="62" t="n">
        <v>0</v>
      </c>
      <c r="F377" s="26" t="n">
        <v>0</v>
      </c>
      <c r="G377" s="26" t="n">
        <v>0</v>
      </c>
      <c r="H377" s="1" t="s">
        <v>492</v>
      </c>
    </row>
    <row r="378" customFormat="false" ht="15" hidden="false" customHeight="true" outlineLevel="0" collapsed="false">
      <c r="A378" s="1" t="s">
        <v>589</v>
      </c>
      <c r="B378" s="1" t="s">
        <v>482</v>
      </c>
      <c r="C378" s="1" t="s">
        <v>487</v>
      </c>
      <c r="D378" s="1" t="s">
        <v>291</v>
      </c>
      <c r="E378" s="62" t="n">
        <v>13</v>
      </c>
      <c r="F378" s="26" t="n">
        <v>20</v>
      </c>
      <c r="G378" s="26" t="n">
        <v>260</v>
      </c>
      <c r="H378" s="1" t="s">
        <v>488</v>
      </c>
    </row>
    <row r="379" customFormat="false" ht="15" hidden="false" customHeight="true" outlineLevel="0" collapsed="false">
      <c r="A379" s="1" t="s">
        <v>589</v>
      </c>
      <c r="B379" s="1" t="s">
        <v>482</v>
      </c>
      <c r="C379" s="1" t="s">
        <v>489</v>
      </c>
      <c r="D379" s="1" t="s">
        <v>291</v>
      </c>
      <c r="E379" s="62" t="n">
        <v>0</v>
      </c>
      <c r="F379" s="26" t="n">
        <v>0</v>
      </c>
      <c r="G379" s="26" t="n">
        <v>0</v>
      </c>
      <c r="H379" s="1" t="s">
        <v>490</v>
      </c>
    </row>
    <row r="380" customFormat="false" ht="15" hidden="false" customHeight="true" outlineLevel="0" collapsed="false">
      <c r="A380" s="1" t="s">
        <v>589</v>
      </c>
      <c r="B380" s="1" t="s">
        <v>482</v>
      </c>
      <c r="C380" s="1" t="s">
        <v>491</v>
      </c>
      <c r="D380" s="1" t="s">
        <v>291</v>
      </c>
      <c r="E380" s="62" t="n">
        <v>0</v>
      </c>
      <c r="F380" s="26" t="n">
        <v>0</v>
      </c>
      <c r="G380" s="26" t="n">
        <v>0</v>
      </c>
      <c r="H380" s="1" t="s">
        <v>492</v>
      </c>
    </row>
    <row r="381" customFormat="false" ht="15" hidden="false" customHeight="true" outlineLevel="0" collapsed="false">
      <c r="A381" s="1" t="s">
        <v>589</v>
      </c>
      <c r="B381" s="1" t="s">
        <v>482</v>
      </c>
      <c r="C381" s="1" t="s">
        <v>487</v>
      </c>
      <c r="D381" s="1" t="s">
        <v>285</v>
      </c>
      <c r="E381" s="62" t="n">
        <v>19</v>
      </c>
      <c r="F381" s="26" t="n">
        <v>20</v>
      </c>
      <c r="G381" s="26" t="n">
        <v>380</v>
      </c>
      <c r="H381" s="1" t="s">
        <v>488</v>
      </c>
    </row>
    <row r="382" customFormat="false" ht="15" hidden="false" customHeight="true" outlineLevel="0" collapsed="false">
      <c r="A382" s="1" t="s">
        <v>589</v>
      </c>
      <c r="B382" s="1" t="s">
        <v>482</v>
      </c>
      <c r="C382" s="1" t="s">
        <v>489</v>
      </c>
      <c r="D382" s="1" t="s">
        <v>285</v>
      </c>
      <c r="E382" s="62" t="n">
        <v>1</v>
      </c>
      <c r="F382" s="26" t="n">
        <v>1381.14</v>
      </c>
      <c r="G382" s="26" t="n">
        <v>1381.14</v>
      </c>
      <c r="H382" s="1" t="s">
        <v>490</v>
      </c>
    </row>
    <row r="383" customFormat="false" ht="15" hidden="false" customHeight="true" outlineLevel="0" collapsed="false">
      <c r="A383" s="1" t="s">
        <v>589</v>
      </c>
      <c r="B383" s="1" t="s">
        <v>482</v>
      </c>
      <c r="C383" s="1" t="s">
        <v>496</v>
      </c>
      <c r="D383" s="1" t="s">
        <v>285</v>
      </c>
      <c r="E383" s="62" t="n">
        <v>0</v>
      </c>
      <c r="F383" s="26" t="n">
        <v>0</v>
      </c>
      <c r="G383" s="26" t="n">
        <v>0</v>
      </c>
      <c r="H383" s="1" t="s">
        <v>492</v>
      </c>
    </row>
    <row r="384" customFormat="false" ht="15" hidden="false" customHeight="true" outlineLevel="0" collapsed="false">
      <c r="A384" s="1" t="s">
        <v>589</v>
      </c>
      <c r="B384" s="1" t="s">
        <v>482</v>
      </c>
      <c r="C384" s="1" t="s">
        <v>495</v>
      </c>
      <c r="D384" s="1" t="s">
        <v>286</v>
      </c>
      <c r="E384" s="62" t="n">
        <v>0</v>
      </c>
      <c r="F384" s="26" t="n">
        <v>0</v>
      </c>
      <c r="G384" s="26" t="n">
        <v>0</v>
      </c>
      <c r="H384" s="1" t="s">
        <v>497</v>
      </c>
    </row>
    <row r="385" customFormat="false" ht="15" hidden="false" customHeight="true" outlineLevel="0" collapsed="false">
      <c r="A385" s="1" t="s">
        <v>589</v>
      </c>
      <c r="B385" s="1" t="s">
        <v>482</v>
      </c>
      <c r="C385" s="1" t="s">
        <v>487</v>
      </c>
      <c r="D385" s="1" t="s">
        <v>286</v>
      </c>
      <c r="E385" s="62" t="n">
        <v>4</v>
      </c>
      <c r="F385" s="26" t="n">
        <v>20</v>
      </c>
      <c r="G385" s="26" t="n">
        <v>80</v>
      </c>
      <c r="H385" s="1" t="s">
        <v>488</v>
      </c>
    </row>
    <row r="386" customFormat="false" ht="15" hidden="false" customHeight="true" outlineLevel="0" collapsed="false">
      <c r="A386" s="1" t="s">
        <v>589</v>
      </c>
      <c r="B386" s="1" t="s">
        <v>482</v>
      </c>
      <c r="C386" s="1" t="s">
        <v>489</v>
      </c>
      <c r="D386" s="1" t="s">
        <v>286</v>
      </c>
      <c r="E386" s="62" t="n">
        <v>0</v>
      </c>
      <c r="F386" s="26" t="n">
        <v>0</v>
      </c>
      <c r="G386" s="26" t="n">
        <v>0</v>
      </c>
      <c r="H386" s="1" t="s">
        <v>490</v>
      </c>
    </row>
    <row r="387" customFormat="false" ht="15" hidden="false" customHeight="true" outlineLevel="0" collapsed="false">
      <c r="A387" s="1" t="s">
        <v>589</v>
      </c>
      <c r="B387" s="1" t="s">
        <v>482</v>
      </c>
      <c r="C387" s="1" t="s">
        <v>496</v>
      </c>
      <c r="D387" s="1" t="s">
        <v>286</v>
      </c>
      <c r="E387" s="62" t="n">
        <v>0</v>
      </c>
      <c r="F387" s="26" t="n">
        <v>0</v>
      </c>
      <c r="G387" s="26" t="n">
        <v>0</v>
      </c>
      <c r="H387" s="1" t="s">
        <v>492</v>
      </c>
    </row>
    <row r="388" customFormat="false" ht="15" hidden="false" customHeight="true" outlineLevel="0" collapsed="false">
      <c r="A388" s="1" t="s">
        <v>589</v>
      </c>
      <c r="B388" s="1" t="s">
        <v>482</v>
      </c>
      <c r="C388" s="1" t="s">
        <v>483</v>
      </c>
      <c r="D388" s="1" t="s">
        <v>283</v>
      </c>
      <c r="E388" s="62" t="n">
        <v>0</v>
      </c>
      <c r="F388" s="26" t="n">
        <v>0</v>
      </c>
      <c r="G388" s="26" t="n">
        <v>0</v>
      </c>
      <c r="H388" s="1" t="s">
        <v>498</v>
      </c>
    </row>
    <row r="389" customFormat="false" ht="15" hidden="false" customHeight="true" outlineLevel="0" collapsed="false">
      <c r="A389" s="1" t="s">
        <v>589</v>
      </c>
      <c r="B389" s="1" t="s">
        <v>482</v>
      </c>
      <c r="C389" s="1" t="s">
        <v>487</v>
      </c>
      <c r="D389" s="1" t="s">
        <v>283</v>
      </c>
      <c r="E389" s="62" t="n">
        <v>8</v>
      </c>
      <c r="F389" s="26" t="n">
        <v>20</v>
      </c>
      <c r="G389" s="26" t="n">
        <v>160</v>
      </c>
      <c r="H389" s="1" t="s">
        <v>488</v>
      </c>
    </row>
    <row r="390" customFormat="false" ht="15" hidden="false" customHeight="true" outlineLevel="0" collapsed="false">
      <c r="A390" s="1" t="s">
        <v>589</v>
      </c>
      <c r="B390" s="1" t="s">
        <v>482</v>
      </c>
      <c r="C390" s="1" t="s">
        <v>489</v>
      </c>
      <c r="D390" s="1" t="s">
        <v>283</v>
      </c>
      <c r="E390" s="62" t="n">
        <v>1</v>
      </c>
      <c r="F390" s="26" t="n">
        <v>414.35</v>
      </c>
      <c r="G390" s="26" t="n">
        <v>414.35</v>
      </c>
      <c r="H390" s="1" t="s">
        <v>490</v>
      </c>
    </row>
    <row r="391" customFormat="false" ht="15" hidden="false" customHeight="true" outlineLevel="0" collapsed="false">
      <c r="A391" s="1" t="s">
        <v>589</v>
      </c>
      <c r="B391" s="1" t="s">
        <v>482</v>
      </c>
      <c r="C391" s="1" t="s">
        <v>491</v>
      </c>
      <c r="D391" s="1" t="s">
        <v>283</v>
      </c>
      <c r="E391" s="62" t="n">
        <v>0</v>
      </c>
      <c r="F391" s="26" t="n">
        <v>0</v>
      </c>
      <c r="G391" s="26" t="n">
        <v>0</v>
      </c>
      <c r="H391" s="1" t="s">
        <v>492</v>
      </c>
    </row>
    <row r="392" customFormat="false" ht="15" hidden="false" customHeight="true" outlineLevel="0" collapsed="false">
      <c r="A392" s="1" t="s">
        <v>589</v>
      </c>
      <c r="B392" s="1" t="s">
        <v>499</v>
      </c>
      <c r="C392" s="1" t="s">
        <v>500</v>
      </c>
      <c r="D392" s="1" t="s">
        <v>288</v>
      </c>
      <c r="E392" s="62" t="n">
        <v>0</v>
      </c>
      <c r="F392" s="26" t="n">
        <v>0</v>
      </c>
      <c r="G392" s="26" t="n">
        <v>0</v>
      </c>
      <c r="H392" s="1" t="s">
        <v>501</v>
      </c>
    </row>
    <row r="393" customFormat="false" ht="15" hidden="false" customHeight="true" outlineLevel="0" collapsed="false">
      <c r="A393" s="1" t="s">
        <v>589</v>
      </c>
      <c r="B393" s="1" t="s">
        <v>499</v>
      </c>
      <c r="C393" s="1" t="s">
        <v>502</v>
      </c>
      <c r="D393" s="1" t="s">
        <v>288</v>
      </c>
      <c r="E393" s="62" t="n">
        <v>0</v>
      </c>
      <c r="F393" s="26" t="n">
        <v>0</v>
      </c>
      <c r="G393" s="26" t="n">
        <v>0</v>
      </c>
      <c r="H393" s="1" t="s">
        <v>503</v>
      </c>
    </row>
    <row r="394" customFormat="false" ht="15" hidden="false" customHeight="true" outlineLevel="0" collapsed="false">
      <c r="A394" s="1" t="s">
        <v>589</v>
      </c>
      <c r="B394" s="1" t="s">
        <v>499</v>
      </c>
      <c r="C394" s="1" t="s">
        <v>504</v>
      </c>
      <c r="D394" s="1" t="s">
        <v>288</v>
      </c>
      <c r="E394" s="62" t="n">
        <v>0</v>
      </c>
      <c r="F394" s="26" t="n">
        <v>0</v>
      </c>
      <c r="G394" s="26" t="n">
        <v>0</v>
      </c>
      <c r="H394" s="1" t="s">
        <v>505</v>
      </c>
    </row>
    <row r="395" customFormat="false" ht="15" hidden="false" customHeight="true" outlineLevel="0" collapsed="false">
      <c r="A395" s="1" t="s">
        <v>589</v>
      </c>
      <c r="B395" s="1" t="s">
        <v>499</v>
      </c>
      <c r="C395" s="1" t="s">
        <v>506</v>
      </c>
      <c r="D395" s="1" t="s">
        <v>288</v>
      </c>
      <c r="E395" s="62" t="n">
        <v>0</v>
      </c>
      <c r="F395" s="26" t="n">
        <v>0</v>
      </c>
      <c r="G395" s="26" t="n">
        <v>0</v>
      </c>
      <c r="H395" s="1" t="s">
        <v>507</v>
      </c>
    </row>
    <row r="396" customFormat="false" ht="15" hidden="false" customHeight="true" outlineLevel="0" collapsed="false">
      <c r="A396" s="1" t="s">
        <v>589</v>
      </c>
      <c r="B396" s="1" t="s">
        <v>499</v>
      </c>
      <c r="C396" s="1" t="s">
        <v>508</v>
      </c>
      <c r="D396" s="1" t="s">
        <v>290</v>
      </c>
      <c r="E396" s="62" t="n">
        <v>1</v>
      </c>
      <c r="F396" s="26" t="n">
        <v>315.66</v>
      </c>
      <c r="G396" s="26" t="n">
        <v>315.66</v>
      </c>
      <c r="H396" s="1" t="s">
        <v>509</v>
      </c>
    </row>
    <row r="397" customFormat="false" ht="15" hidden="false" customHeight="true" outlineLevel="0" collapsed="false">
      <c r="A397" s="1" t="s">
        <v>589</v>
      </c>
      <c r="B397" s="1" t="s">
        <v>499</v>
      </c>
      <c r="C397" s="1" t="s">
        <v>510</v>
      </c>
      <c r="D397" s="1" t="s">
        <v>290</v>
      </c>
      <c r="E397" s="62" t="n">
        <v>1</v>
      </c>
      <c r="F397" s="26" t="n">
        <v>345.94</v>
      </c>
      <c r="G397" s="26" t="n">
        <v>345.94</v>
      </c>
      <c r="H397" s="1" t="s">
        <v>511</v>
      </c>
    </row>
    <row r="398" customFormat="false" ht="15" hidden="false" customHeight="true" outlineLevel="0" collapsed="false">
      <c r="A398" s="1" t="s">
        <v>589</v>
      </c>
      <c r="B398" s="1" t="s">
        <v>499</v>
      </c>
      <c r="C398" s="1" t="s">
        <v>512</v>
      </c>
      <c r="D398" s="1" t="s">
        <v>294</v>
      </c>
      <c r="E398" s="62" t="n">
        <v>0</v>
      </c>
      <c r="F398" s="26" t="n">
        <v>0</v>
      </c>
      <c r="G398" s="26" t="n">
        <v>0</v>
      </c>
      <c r="H398" s="1" t="s">
        <v>513</v>
      </c>
    </row>
    <row r="399" customFormat="false" ht="15" hidden="false" customHeight="true" outlineLevel="0" collapsed="false">
      <c r="A399" s="1" t="s">
        <v>589</v>
      </c>
      <c r="B399" s="1" t="s">
        <v>499</v>
      </c>
      <c r="C399" s="1" t="s">
        <v>514</v>
      </c>
      <c r="D399" s="1" t="s">
        <v>294</v>
      </c>
      <c r="E399" s="62" t="n">
        <v>0</v>
      </c>
      <c r="F399" s="26" t="n">
        <v>0</v>
      </c>
      <c r="G399" s="26" t="n">
        <v>0</v>
      </c>
      <c r="H399" s="1" t="s">
        <v>515</v>
      </c>
    </row>
    <row r="400" customFormat="false" ht="15" hidden="false" customHeight="true" outlineLevel="0" collapsed="false">
      <c r="A400" s="1" t="s">
        <v>589</v>
      </c>
      <c r="B400" s="1" t="s">
        <v>499</v>
      </c>
      <c r="C400" s="1" t="s">
        <v>516</v>
      </c>
      <c r="D400" s="1" t="s">
        <v>294</v>
      </c>
      <c r="E400" s="62" t="n">
        <v>0</v>
      </c>
      <c r="F400" s="26" t="n">
        <v>0</v>
      </c>
      <c r="G400" s="26" t="n">
        <v>0</v>
      </c>
      <c r="H400" s="1" t="s">
        <v>509</v>
      </c>
    </row>
    <row r="401" customFormat="false" ht="15" hidden="false" customHeight="true" outlineLevel="0" collapsed="false">
      <c r="A401" s="1" t="s">
        <v>589</v>
      </c>
      <c r="B401" s="1" t="s">
        <v>499</v>
      </c>
      <c r="C401" s="1" t="s">
        <v>517</v>
      </c>
      <c r="D401" s="1" t="s">
        <v>294</v>
      </c>
      <c r="E401" s="62" t="n">
        <v>0</v>
      </c>
      <c r="F401" s="26" t="n">
        <v>0</v>
      </c>
      <c r="G401" s="26" t="n">
        <v>0</v>
      </c>
      <c r="H401" s="1" t="s">
        <v>518</v>
      </c>
    </row>
    <row r="402" customFormat="false" ht="15" hidden="false" customHeight="true" outlineLevel="0" collapsed="false">
      <c r="A402" s="1" t="s">
        <v>589</v>
      </c>
      <c r="B402" s="1" t="s">
        <v>499</v>
      </c>
      <c r="C402" s="1" t="s">
        <v>519</v>
      </c>
      <c r="D402" s="1" t="s">
        <v>294</v>
      </c>
      <c r="E402" s="62" t="n">
        <v>0</v>
      </c>
      <c r="F402" s="26" t="n">
        <v>0</v>
      </c>
      <c r="G402" s="26" t="n">
        <v>0</v>
      </c>
      <c r="H402" s="1" t="s">
        <v>518</v>
      </c>
    </row>
    <row r="403" customFormat="false" ht="15" hidden="false" customHeight="true" outlineLevel="0" collapsed="false">
      <c r="A403" s="1" t="s">
        <v>589</v>
      </c>
      <c r="B403" s="1" t="s">
        <v>499</v>
      </c>
      <c r="C403" s="1" t="s">
        <v>520</v>
      </c>
      <c r="D403" s="1" t="s">
        <v>294</v>
      </c>
      <c r="E403" s="62" t="n">
        <v>1</v>
      </c>
      <c r="F403" s="26" t="n">
        <v>2438.04</v>
      </c>
      <c r="G403" s="26" t="n">
        <v>2438.04</v>
      </c>
      <c r="H403" s="1" t="s">
        <v>521</v>
      </c>
    </row>
    <row r="404" customFormat="false" ht="15" hidden="false" customHeight="true" outlineLevel="0" collapsed="false">
      <c r="A404" s="1" t="s">
        <v>589</v>
      </c>
      <c r="B404" s="1" t="s">
        <v>499</v>
      </c>
      <c r="C404" s="1" t="s">
        <v>522</v>
      </c>
      <c r="D404" s="1" t="s">
        <v>291</v>
      </c>
      <c r="E404" s="62" t="n">
        <v>0</v>
      </c>
      <c r="F404" s="26" t="n">
        <v>0</v>
      </c>
      <c r="G404" s="26" t="n">
        <v>0</v>
      </c>
      <c r="H404" s="1" t="s">
        <v>509</v>
      </c>
    </row>
    <row r="405" customFormat="false" ht="15" hidden="false" customHeight="true" outlineLevel="0" collapsed="false">
      <c r="A405" s="1" t="s">
        <v>589</v>
      </c>
      <c r="B405" s="1" t="s">
        <v>499</v>
      </c>
      <c r="C405" s="1" t="s">
        <v>523</v>
      </c>
      <c r="D405" s="1" t="s">
        <v>291</v>
      </c>
      <c r="E405" s="62" t="n">
        <v>0</v>
      </c>
      <c r="F405" s="26" t="n">
        <v>0</v>
      </c>
      <c r="G405" s="26" t="n">
        <v>0</v>
      </c>
      <c r="H405" s="1" t="s">
        <v>524</v>
      </c>
    </row>
    <row r="406" customFormat="false" ht="15" hidden="false" customHeight="true" outlineLevel="0" collapsed="false">
      <c r="A406" s="1" t="s">
        <v>589</v>
      </c>
      <c r="B406" s="1" t="s">
        <v>499</v>
      </c>
      <c r="C406" s="1" t="s">
        <v>525</v>
      </c>
      <c r="D406" s="1" t="s">
        <v>285</v>
      </c>
      <c r="E406" s="62" t="n">
        <v>0</v>
      </c>
      <c r="F406" s="26" t="n">
        <v>0</v>
      </c>
      <c r="G406" s="26" t="n">
        <v>0</v>
      </c>
      <c r="H406" s="1" t="s">
        <v>526</v>
      </c>
    </row>
    <row r="407" customFormat="false" ht="15" hidden="false" customHeight="true" outlineLevel="0" collapsed="false">
      <c r="A407" s="1" t="s">
        <v>589</v>
      </c>
      <c r="B407" s="1" t="s">
        <v>499</v>
      </c>
      <c r="C407" s="1" t="s">
        <v>527</v>
      </c>
      <c r="D407" s="1" t="s">
        <v>285</v>
      </c>
      <c r="E407" s="62" t="n">
        <v>0</v>
      </c>
      <c r="F407" s="26" t="n">
        <v>0</v>
      </c>
      <c r="G407" s="26" t="n">
        <v>0</v>
      </c>
      <c r="H407" s="1" t="s">
        <v>501</v>
      </c>
    </row>
    <row r="408" customFormat="false" ht="15" hidden="false" customHeight="true" outlineLevel="0" collapsed="false">
      <c r="A408" s="1" t="s">
        <v>589</v>
      </c>
      <c r="B408" s="1" t="s">
        <v>499</v>
      </c>
      <c r="C408" s="1" t="s">
        <v>528</v>
      </c>
      <c r="D408" s="1" t="s">
        <v>285</v>
      </c>
      <c r="E408" s="62" t="n">
        <v>0</v>
      </c>
      <c r="F408" s="26" t="n">
        <v>0</v>
      </c>
      <c r="G408" s="26" t="n">
        <v>0</v>
      </c>
      <c r="H408" s="1" t="s">
        <v>505</v>
      </c>
    </row>
    <row r="409" customFormat="false" ht="15" hidden="false" customHeight="true" outlineLevel="0" collapsed="false">
      <c r="A409" s="1" t="s">
        <v>589</v>
      </c>
      <c r="B409" s="1" t="s">
        <v>499</v>
      </c>
      <c r="C409" s="1" t="s">
        <v>529</v>
      </c>
      <c r="D409" s="1" t="s">
        <v>285</v>
      </c>
      <c r="E409" s="62" t="n">
        <v>0</v>
      </c>
      <c r="F409" s="26" t="n">
        <v>0</v>
      </c>
      <c r="G409" s="26" t="n">
        <v>0</v>
      </c>
      <c r="H409" s="1" t="s">
        <v>511</v>
      </c>
    </row>
    <row r="410" customFormat="false" ht="15" hidden="false" customHeight="true" outlineLevel="0" collapsed="false">
      <c r="A410" s="1" t="s">
        <v>589</v>
      </c>
      <c r="B410" s="1" t="s">
        <v>499</v>
      </c>
      <c r="C410" s="1" t="s">
        <v>525</v>
      </c>
      <c r="D410" s="1" t="s">
        <v>286</v>
      </c>
      <c r="E410" s="62" t="n">
        <v>0</v>
      </c>
      <c r="F410" s="26" t="n">
        <v>0</v>
      </c>
      <c r="G410" s="26" t="n">
        <v>0</v>
      </c>
      <c r="H410" s="1" t="s">
        <v>509</v>
      </c>
    </row>
    <row r="411" customFormat="false" ht="15" hidden="false" customHeight="true" outlineLevel="0" collapsed="false">
      <c r="A411" s="1" t="s">
        <v>589</v>
      </c>
      <c r="B411" s="1" t="s">
        <v>499</v>
      </c>
      <c r="C411" s="1" t="s">
        <v>530</v>
      </c>
      <c r="D411" s="1" t="s">
        <v>286</v>
      </c>
      <c r="E411" s="62" t="n">
        <v>0</v>
      </c>
      <c r="F411" s="26" t="n">
        <v>0</v>
      </c>
      <c r="G411" s="26" t="n">
        <v>0</v>
      </c>
      <c r="H411" s="1" t="s">
        <v>509</v>
      </c>
    </row>
    <row r="412" customFormat="false" ht="15" hidden="false" customHeight="true" outlineLevel="0" collapsed="false">
      <c r="A412" s="1" t="s">
        <v>589</v>
      </c>
      <c r="B412" s="1" t="s">
        <v>499</v>
      </c>
      <c r="C412" s="1" t="s">
        <v>531</v>
      </c>
      <c r="D412" s="1" t="s">
        <v>286</v>
      </c>
      <c r="E412" s="62" t="n">
        <v>0</v>
      </c>
      <c r="F412" s="26" t="n">
        <v>0</v>
      </c>
      <c r="G412" s="26" t="n">
        <v>0</v>
      </c>
      <c r="H412" s="1" t="s">
        <v>524</v>
      </c>
    </row>
    <row r="413" customFormat="false" ht="15" hidden="false" customHeight="true" outlineLevel="0" collapsed="false">
      <c r="A413" s="1" t="s">
        <v>589</v>
      </c>
      <c r="B413" s="1" t="s">
        <v>499</v>
      </c>
      <c r="C413" s="1" t="s">
        <v>529</v>
      </c>
      <c r="D413" s="1" t="s">
        <v>286</v>
      </c>
      <c r="E413" s="62" t="n">
        <v>0</v>
      </c>
      <c r="F413" s="26" t="n">
        <v>0</v>
      </c>
      <c r="G413" s="26" t="n">
        <v>0</v>
      </c>
      <c r="H413" s="1" t="s">
        <v>532</v>
      </c>
    </row>
    <row r="414" customFormat="false" ht="15" hidden="false" customHeight="true" outlineLevel="0" collapsed="false">
      <c r="A414" s="1" t="s">
        <v>589</v>
      </c>
      <c r="B414" s="1" t="s">
        <v>499</v>
      </c>
      <c r="C414" s="1" t="s">
        <v>533</v>
      </c>
      <c r="D414" s="1" t="s">
        <v>283</v>
      </c>
      <c r="E414" s="62" t="n">
        <v>4782</v>
      </c>
      <c r="F414" s="26" t="n">
        <v>1.01</v>
      </c>
      <c r="G414" s="26" t="n">
        <v>4829.82</v>
      </c>
      <c r="H414" s="1" t="s">
        <v>395</v>
      </c>
    </row>
    <row r="415" customFormat="false" ht="15" hidden="false" customHeight="true" outlineLevel="0" collapsed="false">
      <c r="A415" s="1" t="s">
        <v>589</v>
      </c>
      <c r="B415" s="1" t="s">
        <v>499</v>
      </c>
      <c r="C415" s="1" t="s">
        <v>534</v>
      </c>
      <c r="D415" s="1" t="s">
        <v>283</v>
      </c>
      <c r="E415" s="62" t="n">
        <v>1</v>
      </c>
      <c r="F415" s="26" t="n">
        <v>2480.38</v>
      </c>
      <c r="G415" s="26" t="n">
        <v>2480.38</v>
      </c>
      <c r="H415" s="1" t="s">
        <v>509</v>
      </c>
    </row>
    <row r="416" customFormat="false" ht="15" hidden="false" customHeight="true" outlineLevel="0" collapsed="false">
      <c r="A416" s="1" t="s">
        <v>589</v>
      </c>
      <c r="B416" s="1" t="s">
        <v>499</v>
      </c>
      <c r="C416" s="1" t="s">
        <v>535</v>
      </c>
      <c r="D416" s="1" t="s">
        <v>283</v>
      </c>
      <c r="E416" s="62" t="n">
        <v>0</v>
      </c>
      <c r="F416" s="26" t="n">
        <v>0</v>
      </c>
      <c r="G416" s="26" t="n">
        <v>0</v>
      </c>
      <c r="H416" s="1" t="s">
        <v>509</v>
      </c>
    </row>
    <row r="417" customFormat="false" ht="15" hidden="false" customHeight="true" outlineLevel="0" collapsed="false">
      <c r="A417" s="1" t="s">
        <v>589</v>
      </c>
      <c r="B417" s="1" t="s">
        <v>499</v>
      </c>
      <c r="C417" s="1" t="s">
        <v>536</v>
      </c>
      <c r="D417" s="1" t="s">
        <v>283</v>
      </c>
      <c r="E417" s="62" t="n">
        <v>1</v>
      </c>
      <c r="F417" s="26" t="n">
        <v>13877.08</v>
      </c>
      <c r="G417" s="26" t="n">
        <v>13877.08</v>
      </c>
      <c r="H417" s="1" t="s">
        <v>532</v>
      </c>
    </row>
    <row r="418" customFormat="false" ht="15" hidden="false" customHeight="true" outlineLevel="0" collapsed="false">
      <c r="A418" s="1" t="s">
        <v>589</v>
      </c>
      <c r="B418" s="1" t="s">
        <v>499</v>
      </c>
      <c r="C418" s="1" t="s">
        <v>537</v>
      </c>
      <c r="D418" s="1" t="s">
        <v>283</v>
      </c>
      <c r="E418" s="62" t="n">
        <v>0</v>
      </c>
      <c r="F418" s="26" t="n">
        <v>0</v>
      </c>
      <c r="G418" s="26" t="n">
        <v>0</v>
      </c>
      <c r="H418" s="1" t="s">
        <v>524</v>
      </c>
    </row>
    <row r="419" customFormat="false" ht="15" hidden="false" customHeight="true" outlineLevel="0" collapsed="false">
      <c r="A419" s="1" t="s">
        <v>589</v>
      </c>
      <c r="B419" s="1" t="s">
        <v>538</v>
      </c>
      <c r="C419" s="1" t="s">
        <v>539</v>
      </c>
      <c r="D419" s="1" t="s">
        <v>290</v>
      </c>
      <c r="E419" s="62" t="n">
        <v>1</v>
      </c>
      <c r="F419" s="26" t="n">
        <v>238.88</v>
      </c>
      <c r="G419" s="26" t="n">
        <v>238.88</v>
      </c>
      <c r="H419" s="1" t="s">
        <v>544</v>
      </c>
    </row>
    <row r="420" customFormat="false" ht="15" hidden="false" customHeight="true" outlineLevel="0" collapsed="false">
      <c r="A420" s="1" t="s">
        <v>589</v>
      </c>
      <c r="B420" s="1" t="s">
        <v>538</v>
      </c>
      <c r="C420" s="1" t="s">
        <v>541</v>
      </c>
      <c r="D420" s="1" t="s">
        <v>290</v>
      </c>
      <c r="E420" s="62" t="n">
        <v>1</v>
      </c>
      <c r="F420" s="26" t="n">
        <v>609.17</v>
      </c>
      <c r="G420" s="26" t="n">
        <v>609.17</v>
      </c>
      <c r="H420" s="1" t="s">
        <v>544</v>
      </c>
    </row>
    <row r="421" customFormat="false" ht="15" hidden="false" customHeight="true" outlineLevel="0" collapsed="false">
      <c r="A421" s="1" t="s">
        <v>589</v>
      </c>
      <c r="B421" s="1" t="s">
        <v>538</v>
      </c>
      <c r="C421" s="1" t="s">
        <v>542</v>
      </c>
      <c r="D421" s="1" t="s">
        <v>290</v>
      </c>
      <c r="E421" s="62" t="n">
        <v>1</v>
      </c>
      <c r="F421" s="26" t="n">
        <v>510</v>
      </c>
      <c r="G421" s="26" t="n">
        <v>510</v>
      </c>
      <c r="H421" s="1" t="s">
        <v>544</v>
      </c>
    </row>
    <row r="422" customFormat="false" ht="15" hidden="false" customHeight="true" outlineLevel="0" collapsed="false">
      <c r="A422" s="1" t="s">
        <v>589</v>
      </c>
      <c r="B422" s="1" t="s">
        <v>538</v>
      </c>
      <c r="C422" s="1" t="s">
        <v>543</v>
      </c>
      <c r="D422" s="1" t="s">
        <v>290</v>
      </c>
      <c r="E422" s="62" t="n">
        <v>1</v>
      </c>
      <c r="F422" s="26" t="n">
        <v>333.1</v>
      </c>
      <c r="G422" s="26" t="n">
        <v>333.1</v>
      </c>
      <c r="H422" s="1" t="s">
        <v>593</v>
      </c>
    </row>
    <row r="423" customFormat="false" ht="15" hidden="false" customHeight="true" outlineLevel="0" collapsed="false">
      <c r="A423" s="1" t="s">
        <v>589</v>
      </c>
      <c r="B423" s="1" t="s">
        <v>538</v>
      </c>
      <c r="C423" s="1" t="s">
        <v>545</v>
      </c>
      <c r="D423" s="1" t="s">
        <v>290</v>
      </c>
      <c r="E423" s="62" t="n">
        <v>1</v>
      </c>
      <c r="F423" s="26" t="n">
        <v>1833.24</v>
      </c>
      <c r="G423" s="26" t="n">
        <v>1833.24</v>
      </c>
      <c r="H423" s="1" t="s">
        <v>544</v>
      </c>
    </row>
    <row r="424" customFormat="false" ht="15" hidden="false" customHeight="true" outlineLevel="0" collapsed="false">
      <c r="A424" s="1" t="s">
        <v>589</v>
      </c>
      <c r="B424" s="1" t="s">
        <v>538</v>
      </c>
      <c r="C424" s="1" t="s">
        <v>546</v>
      </c>
      <c r="D424" s="1" t="s">
        <v>290</v>
      </c>
      <c r="E424" s="62" t="n">
        <v>1</v>
      </c>
      <c r="F424" s="26" t="n">
        <v>2973.2</v>
      </c>
      <c r="G424" s="26" t="n">
        <v>2973.2</v>
      </c>
      <c r="H424" s="1" t="s">
        <v>544</v>
      </c>
    </row>
    <row r="425" customFormat="false" ht="15" hidden="false" customHeight="true" outlineLevel="0" collapsed="false">
      <c r="A425" s="1" t="s">
        <v>589</v>
      </c>
      <c r="B425" s="1" t="s">
        <v>538</v>
      </c>
      <c r="C425" s="1" t="s">
        <v>547</v>
      </c>
      <c r="D425" s="1" t="s">
        <v>290</v>
      </c>
      <c r="E425" s="62" t="n">
        <v>1</v>
      </c>
      <c r="F425" s="26" t="n">
        <v>7615.46</v>
      </c>
      <c r="G425" s="26" t="n">
        <v>7615.46</v>
      </c>
      <c r="H425" s="1" t="s">
        <v>544</v>
      </c>
    </row>
    <row r="426" customFormat="false" ht="15" hidden="false" customHeight="true" outlineLevel="0" collapsed="false">
      <c r="A426" s="1" t="s">
        <v>589</v>
      </c>
      <c r="B426" s="1" t="s">
        <v>538</v>
      </c>
      <c r="C426" s="1" t="s">
        <v>548</v>
      </c>
      <c r="D426" s="1" t="s">
        <v>291</v>
      </c>
      <c r="E426" s="62" t="n">
        <v>-1</v>
      </c>
      <c r="F426" s="26" t="n">
        <v>837.25</v>
      </c>
      <c r="G426" s="26" t="n">
        <v>-837.25</v>
      </c>
      <c r="H426" s="1" t="s">
        <v>549</v>
      </c>
    </row>
    <row r="427" customFormat="false" ht="15" hidden="false" customHeight="true" outlineLevel="0" collapsed="false">
      <c r="A427" s="1" t="s">
        <v>589</v>
      </c>
      <c r="B427" s="1" t="s">
        <v>538</v>
      </c>
      <c r="C427" s="1" t="s">
        <v>539</v>
      </c>
      <c r="D427" s="1" t="s">
        <v>291</v>
      </c>
      <c r="E427" s="62" t="n">
        <v>-1</v>
      </c>
      <c r="F427" s="26" t="n">
        <v>238.88</v>
      </c>
      <c r="G427" s="26" t="n">
        <v>-238.88</v>
      </c>
      <c r="H427" s="1" t="s">
        <v>550</v>
      </c>
    </row>
    <row r="428" customFormat="false" ht="15" hidden="false" customHeight="true" outlineLevel="0" collapsed="false">
      <c r="A428" s="1" t="s">
        <v>589</v>
      </c>
      <c r="B428" s="1" t="s">
        <v>538</v>
      </c>
      <c r="C428" s="1" t="s">
        <v>539</v>
      </c>
      <c r="D428" s="1" t="s">
        <v>291</v>
      </c>
      <c r="E428" s="62" t="n">
        <v>-1</v>
      </c>
      <c r="F428" s="26" t="n">
        <v>238.88</v>
      </c>
      <c r="G428" s="26" t="n">
        <v>-238.88</v>
      </c>
      <c r="H428" s="1" t="s">
        <v>544</v>
      </c>
    </row>
    <row r="429" customFormat="false" ht="15" hidden="false" customHeight="true" outlineLevel="0" collapsed="false">
      <c r="A429" s="1" t="s">
        <v>589</v>
      </c>
      <c r="B429" s="1" t="s">
        <v>538</v>
      </c>
      <c r="C429" s="1" t="s">
        <v>542</v>
      </c>
      <c r="D429" s="1" t="s">
        <v>283</v>
      </c>
      <c r="E429" s="62" t="n">
        <v>1</v>
      </c>
      <c r="F429" s="26" t="n">
        <v>67.33</v>
      </c>
      <c r="G429" s="26" t="n">
        <v>67.33</v>
      </c>
      <c r="H429" s="1" t="s">
        <v>552</v>
      </c>
    </row>
    <row r="430" customFormat="false" ht="15" hidden="false" customHeight="true" outlineLevel="0" collapsed="false">
      <c r="A430" s="1" t="s">
        <v>589</v>
      </c>
      <c r="B430" s="1" t="s">
        <v>538</v>
      </c>
      <c r="C430" s="1" t="s">
        <v>542</v>
      </c>
      <c r="D430" s="1" t="s">
        <v>283</v>
      </c>
      <c r="E430" s="62" t="n">
        <v>-1</v>
      </c>
      <c r="F430" s="26" t="n">
        <v>510</v>
      </c>
      <c r="G430" s="26" t="n">
        <v>-510</v>
      </c>
      <c r="H430" s="1" t="s">
        <v>544</v>
      </c>
    </row>
    <row r="431" customFormat="false" ht="15" hidden="false" customHeight="true" outlineLevel="0" collapsed="false">
      <c r="A431" s="1" t="s">
        <v>589</v>
      </c>
      <c r="B431" s="1" t="s">
        <v>47</v>
      </c>
      <c r="C431" s="1" t="s">
        <v>553</v>
      </c>
      <c r="D431" s="1" t="s">
        <v>288</v>
      </c>
      <c r="E431" s="62" t="n">
        <v>1</v>
      </c>
      <c r="F431" s="26" t="n">
        <v>1583.45</v>
      </c>
      <c r="G431" s="26" t="n">
        <v>1583.45</v>
      </c>
      <c r="H431" s="1" t="s">
        <v>594</v>
      </c>
    </row>
    <row r="432" customFormat="false" ht="15" hidden="false" customHeight="true" outlineLevel="0" collapsed="false">
      <c r="A432" s="1" t="s">
        <v>589</v>
      </c>
      <c r="B432" s="1" t="s">
        <v>47</v>
      </c>
      <c r="C432" s="1" t="s">
        <v>553</v>
      </c>
      <c r="D432" s="1" t="s">
        <v>290</v>
      </c>
      <c r="E432" s="62" t="n">
        <v>1</v>
      </c>
      <c r="F432" s="26" t="n">
        <v>1138.52</v>
      </c>
      <c r="G432" s="26" t="n">
        <v>1138.52</v>
      </c>
      <c r="H432" s="1" t="s">
        <v>595</v>
      </c>
    </row>
    <row r="433" customFormat="false" ht="15" hidden="false" customHeight="true" outlineLevel="0" collapsed="false">
      <c r="A433" s="1" t="s">
        <v>589</v>
      </c>
      <c r="B433" s="1" t="s">
        <v>47</v>
      </c>
      <c r="C433" s="1" t="s">
        <v>553</v>
      </c>
      <c r="D433" s="1" t="s">
        <v>294</v>
      </c>
      <c r="E433" s="62" t="n">
        <v>0</v>
      </c>
      <c r="F433" s="26" t="n">
        <v>0</v>
      </c>
      <c r="G433" s="26" t="n">
        <v>0</v>
      </c>
      <c r="H433" s="1" t="s">
        <v>556</v>
      </c>
    </row>
    <row r="434" customFormat="false" ht="15" hidden="false" customHeight="true" outlineLevel="0" collapsed="false">
      <c r="A434" s="1" t="s">
        <v>589</v>
      </c>
      <c r="B434" s="1" t="s">
        <v>47</v>
      </c>
      <c r="C434" s="1" t="s">
        <v>553</v>
      </c>
      <c r="D434" s="1" t="s">
        <v>291</v>
      </c>
      <c r="E434" s="62" t="n">
        <v>1</v>
      </c>
      <c r="F434" s="26" t="n">
        <v>1989.74</v>
      </c>
      <c r="G434" s="26" t="n">
        <v>1989.74</v>
      </c>
      <c r="H434" s="1" t="s">
        <v>596</v>
      </c>
    </row>
    <row r="435" customFormat="false" ht="15" hidden="false" customHeight="true" outlineLevel="0" collapsed="false">
      <c r="A435" s="1" t="s">
        <v>589</v>
      </c>
      <c r="B435" s="1" t="s">
        <v>47</v>
      </c>
      <c r="C435" s="1" t="s">
        <v>553</v>
      </c>
      <c r="D435" s="1" t="s">
        <v>285</v>
      </c>
      <c r="E435" s="62" t="n">
        <v>0</v>
      </c>
      <c r="F435" s="26" t="n">
        <v>0</v>
      </c>
      <c r="G435" s="26" t="n">
        <v>0</v>
      </c>
      <c r="H435" s="1" t="s">
        <v>558</v>
      </c>
    </row>
    <row r="436" customFormat="false" ht="15" hidden="false" customHeight="true" outlineLevel="0" collapsed="false">
      <c r="A436" s="1" t="s">
        <v>589</v>
      </c>
      <c r="B436" s="1" t="s">
        <v>47</v>
      </c>
      <c r="C436" s="1" t="s">
        <v>553</v>
      </c>
      <c r="D436" s="1" t="s">
        <v>286</v>
      </c>
      <c r="E436" s="62" t="n">
        <v>0</v>
      </c>
      <c r="F436" s="26" t="n">
        <v>0</v>
      </c>
      <c r="G436" s="26" t="n">
        <v>0</v>
      </c>
      <c r="H436" s="1" t="s">
        <v>556</v>
      </c>
    </row>
    <row r="437" customFormat="false" ht="15" hidden="false" customHeight="true" outlineLevel="0" collapsed="false">
      <c r="A437" s="1" t="s">
        <v>589</v>
      </c>
      <c r="B437" s="1" t="s">
        <v>85</v>
      </c>
      <c r="C437" s="1" t="s">
        <v>560</v>
      </c>
      <c r="D437" s="1" t="s">
        <v>276</v>
      </c>
      <c r="E437" s="62" t="n">
        <v>119</v>
      </c>
      <c r="F437" s="26" t="n">
        <v>122.31</v>
      </c>
      <c r="G437" s="26" t="n">
        <v>14554.89</v>
      </c>
      <c r="H437" s="1" t="s">
        <v>561</v>
      </c>
    </row>
    <row r="438" customFormat="false" ht="15" hidden="false" customHeight="true" outlineLevel="0" collapsed="false">
      <c r="A438" s="1" t="s">
        <v>589</v>
      </c>
      <c r="B438" s="1" t="s">
        <v>85</v>
      </c>
      <c r="C438" s="1" t="s">
        <v>560</v>
      </c>
      <c r="D438" s="1" t="s">
        <v>276</v>
      </c>
      <c r="E438" s="62" t="n">
        <v>119</v>
      </c>
      <c r="F438" s="26" t="n">
        <v>122.31</v>
      </c>
      <c r="G438" s="26" t="n">
        <v>14554.89</v>
      </c>
      <c r="H438" s="1" t="s">
        <v>561</v>
      </c>
    </row>
    <row r="439" customFormat="false" ht="15" hidden="false" customHeight="true" outlineLevel="0" collapsed="false">
      <c r="A439" s="1" t="s">
        <v>589</v>
      </c>
      <c r="B439" s="1" t="s">
        <v>85</v>
      </c>
      <c r="C439" s="1" t="s">
        <v>560</v>
      </c>
      <c r="D439" s="1" t="s">
        <v>288</v>
      </c>
      <c r="E439" s="62" t="n">
        <v>4</v>
      </c>
      <c r="F439" s="26" t="n">
        <v>127.35</v>
      </c>
      <c r="G439" s="26" t="n">
        <v>509.4</v>
      </c>
      <c r="H439" s="1" t="s">
        <v>561</v>
      </c>
    </row>
    <row r="440" customFormat="false" ht="15" hidden="false" customHeight="true" outlineLevel="0" collapsed="false">
      <c r="A440" s="1" t="s">
        <v>589</v>
      </c>
      <c r="B440" s="1" t="s">
        <v>85</v>
      </c>
      <c r="C440" s="1" t="s">
        <v>560</v>
      </c>
      <c r="D440" s="1" t="s">
        <v>288</v>
      </c>
      <c r="E440" s="62" t="n">
        <v>4</v>
      </c>
      <c r="F440" s="26" t="n">
        <v>127.35</v>
      </c>
      <c r="G440" s="26" t="n">
        <v>509.4</v>
      </c>
      <c r="H440" s="1" t="s">
        <v>561</v>
      </c>
    </row>
    <row r="441" customFormat="false" ht="15" hidden="false" customHeight="true" outlineLevel="0" collapsed="false">
      <c r="A441" s="1" t="s">
        <v>589</v>
      </c>
      <c r="B441" s="1" t="s">
        <v>85</v>
      </c>
      <c r="C441" s="1" t="s">
        <v>560</v>
      </c>
      <c r="D441" s="1" t="s">
        <v>290</v>
      </c>
      <c r="E441" s="62" t="n">
        <v>18</v>
      </c>
      <c r="F441" s="26" t="n">
        <v>128.18</v>
      </c>
      <c r="G441" s="26" t="n">
        <v>2307.24</v>
      </c>
      <c r="H441" s="1" t="s">
        <v>561</v>
      </c>
    </row>
    <row r="442" customFormat="false" ht="15" hidden="false" customHeight="true" outlineLevel="0" collapsed="false">
      <c r="A442" s="1" t="s">
        <v>589</v>
      </c>
      <c r="B442" s="1" t="s">
        <v>85</v>
      </c>
      <c r="C442" s="1" t="s">
        <v>560</v>
      </c>
      <c r="D442" s="1" t="s">
        <v>290</v>
      </c>
      <c r="E442" s="62" t="n">
        <v>18</v>
      </c>
      <c r="F442" s="26" t="n">
        <v>128.18</v>
      </c>
      <c r="G442" s="26" t="n">
        <v>2307.24</v>
      </c>
      <c r="H442" s="1" t="s">
        <v>561</v>
      </c>
    </row>
    <row r="443" customFormat="false" ht="15" hidden="false" customHeight="true" outlineLevel="0" collapsed="false">
      <c r="A443" s="1" t="s">
        <v>589</v>
      </c>
      <c r="B443" s="1" t="s">
        <v>85</v>
      </c>
      <c r="C443" s="1" t="s">
        <v>560</v>
      </c>
      <c r="D443" s="1" t="s">
        <v>294</v>
      </c>
      <c r="E443" s="62" t="n">
        <v>11</v>
      </c>
      <c r="F443" s="26" t="n">
        <v>122.58</v>
      </c>
      <c r="G443" s="26" t="n">
        <v>1348.38</v>
      </c>
      <c r="H443" s="1" t="s">
        <v>561</v>
      </c>
    </row>
    <row r="444" customFormat="false" ht="15" hidden="false" customHeight="true" outlineLevel="0" collapsed="false">
      <c r="A444" s="1" t="s">
        <v>589</v>
      </c>
      <c r="B444" s="1" t="s">
        <v>85</v>
      </c>
      <c r="C444" s="1" t="s">
        <v>560</v>
      </c>
      <c r="D444" s="1" t="s">
        <v>294</v>
      </c>
      <c r="E444" s="62" t="n">
        <v>11</v>
      </c>
      <c r="F444" s="26" t="n">
        <v>122.58</v>
      </c>
      <c r="G444" s="26" t="n">
        <v>1348.38</v>
      </c>
      <c r="H444" s="1" t="s">
        <v>561</v>
      </c>
    </row>
    <row r="445" customFormat="false" ht="15" hidden="false" customHeight="true" outlineLevel="0" collapsed="false">
      <c r="A445" s="1" t="s">
        <v>589</v>
      </c>
      <c r="B445" s="1" t="s">
        <v>85</v>
      </c>
      <c r="C445" s="1" t="s">
        <v>560</v>
      </c>
      <c r="D445" s="1" t="s">
        <v>291</v>
      </c>
      <c r="E445" s="62" t="n">
        <v>20</v>
      </c>
      <c r="F445" s="26" t="n">
        <v>134.1</v>
      </c>
      <c r="G445" s="26" t="n">
        <v>2682</v>
      </c>
      <c r="H445" s="1" t="s">
        <v>561</v>
      </c>
    </row>
    <row r="446" customFormat="false" ht="15" hidden="false" customHeight="true" outlineLevel="0" collapsed="false">
      <c r="A446" s="1" t="s">
        <v>589</v>
      </c>
      <c r="B446" s="1" t="s">
        <v>85</v>
      </c>
      <c r="C446" s="1" t="s">
        <v>560</v>
      </c>
      <c r="D446" s="1" t="s">
        <v>291</v>
      </c>
      <c r="E446" s="62" t="n">
        <v>1</v>
      </c>
      <c r="F446" s="26" t="n">
        <v>119.85</v>
      </c>
      <c r="G446" s="26" t="n">
        <v>119.85</v>
      </c>
      <c r="H446" s="1" t="s">
        <v>597</v>
      </c>
    </row>
    <row r="447" customFormat="false" ht="15" hidden="false" customHeight="true" outlineLevel="0" collapsed="false">
      <c r="A447" s="1" t="s">
        <v>589</v>
      </c>
      <c r="B447" s="1" t="s">
        <v>85</v>
      </c>
      <c r="C447" s="1" t="s">
        <v>560</v>
      </c>
      <c r="D447" s="1" t="s">
        <v>285</v>
      </c>
      <c r="E447" s="62" t="n">
        <v>4</v>
      </c>
      <c r="F447" s="26" t="n">
        <v>119.85</v>
      </c>
      <c r="G447" s="26" t="n">
        <v>479.4</v>
      </c>
      <c r="H447" s="1" t="s">
        <v>561</v>
      </c>
    </row>
    <row r="448" customFormat="false" ht="15" hidden="false" customHeight="true" outlineLevel="0" collapsed="false">
      <c r="A448" s="1" t="s">
        <v>589</v>
      </c>
      <c r="B448" s="1" t="s">
        <v>85</v>
      </c>
      <c r="C448" s="1" t="s">
        <v>560</v>
      </c>
      <c r="D448" s="1" t="s">
        <v>285</v>
      </c>
      <c r="E448" s="62" t="n">
        <v>4</v>
      </c>
      <c r="F448" s="26" t="n">
        <v>119.85</v>
      </c>
      <c r="G448" s="26" t="n">
        <v>479.4</v>
      </c>
      <c r="H448" s="1" t="s">
        <v>561</v>
      </c>
    </row>
    <row r="449" customFormat="false" ht="15" hidden="false" customHeight="true" outlineLevel="0" collapsed="false">
      <c r="A449" s="1" t="s">
        <v>589</v>
      </c>
      <c r="B449" s="1" t="s">
        <v>85</v>
      </c>
      <c r="C449" s="1" t="s">
        <v>560</v>
      </c>
      <c r="D449" s="1" t="s">
        <v>286</v>
      </c>
      <c r="E449" s="62" t="n">
        <v>0</v>
      </c>
      <c r="F449" s="26" t="n">
        <v>0</v>
      </c>
      <c r="G449" s="26" t="n">
        <v>0</v>
      </c>
      <c r="H449" s="1" t="s">
        <v>562</v>
      </c>
    </row>
    <row r="450" customFormat="false" ht="15" hidden="false" customHeight="true" outlineLevel="0" collapsed="false">
      <c r="A450" s="1" t="s">
        <v>589</v>
      </c>
      <c r="B450" s="1" t="s">
        <v>85</v>
      </c>
      <c r="C450" s="1" t="s">
        <v>560</v>
      </c>
      <c r="D450" s="1" t="s">
        <v>283</v>
      </c>
      <c r="E450" s="62" t="n">
        <v>8</v>
      </c>
      <c r="F450" s="26" t="n">
        <v>123.6</v>
      </c>
      <c r="G450" s="26" t="n">
        <v>988.8</v>
      </c>
      <c r="H450" s="1" t="s">
        <v>561</v>
      </c>
    </row>
    <row r="451" customFormat="false" ht="15" hidden="false" customHeight="true" outlineLevel="0" collapsed="false">
      <c r="A451" s="1" t="s">
        <v>589</v>
      </c>
      <c r="B451" s="1" t="s">
        <v>85</v>
      </c>
      <c r="C451" s="1" t="s">
        <v>560</v>
      </c>
      <c r="D451" s="1" t="s">
        <v>283</v>
      </c>
      <c r="E451" s="62" t="n">
        <v>1</v>
      </c>
      <c r="F451" s="26" t="n">
        <v>988.8</v>
      </c>
      <c r="G451" s="26" t="n">
        <v>988.8</v>
      </c>
      <c r="H451" s="1" t="s">
        <v>562</v>
      </c>
    </row>
    <row r="452" customFormat="false" ht="15" hidden="false" customHeight="true" outlineLevel="0" collapsed="false">
      <c r="A452" s="1" t="s">
        <v>589</v>
      </c>
      <c r="B452" s="1" t="s">
        <v>32</v>
      </c>
      <c r="C452" s="1" t="s">
        <v>563</v>
      </c>
      <c r="D452" s="1" t="s">
        <v>288</v>
      </c>
      <c r="E452" s="62" t="n">
        <v>0</v>
      </c>
      <c r="F452" s="26" t="n">
        <v>0</v>
      </c>
      <c r="G452" s="26" t="n">
        <v>0</v>
      </c>
      <c r="H452" s="1" t="s">
        <v>564</v>
      </c>
    </row>
    <row r="453" customFormat="false" ht="15" hidden="false" customHeight="true" outlineLevel="0" collapsed="false">
      <c r="A453" s="1" t="s">
        <v>589</v>
      </c>
      <c r="B453" s="1" t="s">
        <v>32</v>
      </c>
      <c r="C453" s="1" t="s">
        <v>565</v>
      </c>
      <c r="D453" s="1" t="s">
        <v>288</v>
      </c>
      <c r="E453" s="62" t="n">
        <v>0</v>
      </c>
      <c r="F453" s="26" t="n">
        <v>0</v>
      </c>
      <c r="G453" s="26" t="n">
        <v>0</v>
      </c>
      <c r="H453" s="1" t="s">
        <v>566</v>
      </c>
    </row>
    <row r="454" customFormat="false" ht="15" hidden="false" customHeight="true" outlineLevel="0" collapsed="false">
      <c r="A454" s="1" t="s">
        <v>589</v>
      </c>
      <c r="B454" s="1" t="s">
        <v>32</v>
      </c>
      <c r="C454" s="1" t="s">
        <v>563</v>
      </c>
      <c r="D454" s="1" t="s">
        <v>294</v>
      </c>
      <c r="E454" s="62" t="n">
        <v>0</v>
      </c>
      <c r="F454" s="26" t="n">
        <v>0</v>
      </c>
      <c r="G454" s="26" t="n">
        <v>0</v>
      </c>
      <c r="H454" s="1" t="s">
        <v>564</v>
      </c>
    </row>
    <row r="455" customFormat="false" ht="15" hidden="false" customHeight="true" outlineLevel="0" collapsed="false">
      <c r="A455" s="1" t="s">
        <v>589</v>
      </c>
      <c r="B455" s="1" t="s">
        <v>32</v>
      </c>
      <c r="C455" s="1" t="s">
        <v>565</v>
      </c>
      <c r="D455" s="1" t="s">
        <v>294</v>
      </c>
      <c r="E455" s="62" t="n">
        <v>0</v>
      </c>
      <c r="F455" s="26" t="n">
        <v>0</v>
      </c>
      <c r="G455" s="26" t="n">
        <v>0</v>
      </c>
      <c r="H455" s="1" t="s">
        <v>567</v>
      </c>
    </row>
    <row r="456" customFormat="false" ht="15" hidden="false" customHeight="true" outlineLevel="0" collapsed="false">
      <c r="A456" s="1" t="s">
        <v>589</v>
      </c>
      <c r="B456" s="1" t="s">
        <v>32</v>
      </c>
      <c r="C456" s="1" t="s">
        <v>563</v>
      </c>
      <c r="D456" s="1" t="s">
        <v>291</v>
      </c>
      <c r="E456" s="62" t="n">
        <v>0</v>
      </c>
      <c r="F456" s="26" t="n">
        <v>0</v>
      </c>
      <c r="G456" s="26" t="n">
        <v>0</v>
      </c>
      <c r="H456" s="1" t="s">
        <v>564</v>
      </c>
    </row>
    <row r="457" customFormat="false" ht="15" hidden="false" customHeight="true" outlineLevel="0" collapsed="false">
      <c r="A457" s="1" t="s">
        <v>589</v>
      </c>
      <c r="B457" s="1" t="s">
        <v>32</v>
      </c>
      <c r="C457" s="1" t="s">
        <v>563</v>
      </c>
      <c r="D457" s="1" t="s">
        <v>291</v>
      </c>
      <c r="E457" s="62" t="n">
        <v>0</v>
      </c>
      <c r="F457" s="26" t="n">
        <v>0</v>
      </c>
      <c r="G457" s="26" t="n">
        <v>0</v>
      </c>
      <c r="H457" s="1" t="s">
        <v>564</v>
      </c>
    </row>
    <row r="458" customFormat="false" ht="15" hidden="false" customHeight="true" outlineLevel="0" collapsed="false">
      <c r="A458" s="1" t="s">
        <v>589</v>
      </c>
      <c r="B458" s="1" t="s">
        <v>32</v>
      </c>
      <c r="C458" s="1" t="s">
        <v>563</v>
      </c>
      <c r="D458" s="1" t="s">
        <v>285</v>
      </c>
      <c r="E458" s="62" t="n">
        <v>0</v>
      </c>
      <c r="F458" s="26" t="n">
        <v>0</v>
      </c>
      <c r="G458" s="26" t="n">
        <v>0</v>
      </c>
      <c r="H458" s="1" t="s">
        <v>564</v>
      </c>
    </row>
    <row r="459" customFormat="false" ht="15" hidden="false" customHeight="true" outlineLevel="0" collapsed="false">
      <c r="A459" s="1" t="s">
        <v>589</v>
      </c>
      <c r="B459" s="1" t="s">
        <v>32</v>
      </c>
      <c r="C459" s="1" t="s">
        <v>565</v>
      </c>
      <c r="D459" s="1" t="s">
        <v>285</v>
      </c>
      <c r="E459" s="62" t="n">
        <v>0</v>
      </c>
      <c r="F459" s="26" t="n">
        <v>0</v>
      </c>
      <c r="G459" s="26" t="n">
        <v>0</v>
      </c>
      <c r="H459" s="1" t="s">
        <v>566</v>
      </c>
    </row>
    <row r="460" customFormat="false" ht="15" hidden="false" customHeight="true" outlineLevel="0" collapsed="false">
      <c r="A460" s="1" t="s">
        <v>589</v>
      </c>
      <c r="B460" s="1" t="s">
        <v>32</v>
      </c>
      <c r="C460" s="1" t="s">
        <v>563</v>
      </c>
      <c r="D460" s="1" t="s">
        <v>286</v>
      </c>
      <c r="E460" s="62" t="n">
        <v>0</v>
      </c>
      <c r="F460" s="26" t="n">
        <v>0</v>
      </c>
      <c r="G460" s="26" t="n">
        <v>0</v>
      </c>
      <c r="H460" s="1" t="s">
        <v>564</v>
      </c>
    </row>
    <row r="461" customFormat="false" ht="15" hidden="false" customHeight="true" outlineLevel="0" collapsed="false">
      <c r="A461" s="1" t="s">
        <v>589</v>
      </c>
      <c r="B461" s="1" t="s">
        <v>32</v>
      </c>
      <c r="C461" s="1" t="s">
        <v>563</v>
      </c>
      <c r="D461" s="1" t="s">
        <v>283</v>
      </c>
      <c r="E461" s="62" t="n">
        <v>0</v>
      </c>
      <c r="F461" s="26" t="n">
        <v>0</v>
      </c>
      <c r="G461" s="26" t="n">
        <v>0</v>
      </c>
      <c r="H461" s="1" t="s">
        <v>564</v>
      </c>
    </row>
    <row r="462" customFormat="false" ht="15" hidden="false" customHeight="true" outlineLevel="0" collapsed="false">
      <c r="A462" s="1" t="s">
        <v>589</v>
      </c>
      <c r="B462" s="1" t="s">
        <v>32</v>
      </c>
      <c r="C462" s="1" t="s">
        <v>565</v>
      </c>
      <c r="D462" s="1" t="s">
        <v>283</v>
      </c>
      <c r="E462" s="62" t="n">
        <v>0</v>
      </c>
      <c r="F462" s="26" t="n">
        <v>0</v>
      </c>
      <c r="G462" s="26" t="n">
        <v>0</v>
      </c>
      <c r="H462" s="1" t="s">
        <v>568</v>
      </c>
    </row>
    <row r="463" customFormat="false" ht="15" hidden="false" customHeight="true" outlineLevel="0" collapsed="false">
      <c r="A463" s="1" t="s">
        <v>589</v>
      </c>
      <c r="B463" s="1" t="s">
        <v>569</v>
      </c>
      <c r="C463" s="1" t="s">
        <v>570</v>
      </c>
      <c r="D463" s="1" t="s">
        <v>290</v>
      </c>
      <c r="E463" s="62" t="n">
        <v>13402</v>
      </c>
      <c r="F463" s="26" t="n">
        <v>2.35573300476439</v>
      </c>
      <c r="G463" s="26" t="n">
        <v>31571.53373</v>
      </c>
      <c r="H463" s="1" t="s">
        <v>395</v>
      </c>
    </row>
    <row r="464" customFormat="false" ht="15" hidden="false" customHeight="true" outlineLevel="0" collapsed="false">
      <c r="A464" s="1" t="s">
        <v>589</v>
      </c>
      <c r="B464" s="1" t="s">
        <v>44</v>
      </c>
      <c r="C464" s="1" t="s">
        <v>571</v>
      </c>
      <c r="D464" s="1" t="s">
        <v>288</v>
      </c>
      <c r="E464" s="62" t="n">
        <v>1</v>
      </c>
      <c r="F464" s="26" t="n">
        <v>4343.82</v>
      </c>
      <c r="G464" s="26" t="n">
        <v>4343.82</v>
      </c>
      <c r="H464" s="1" t="s">
        <v>598</v>
      </c>
    </row>
    <row r="465" customFormat="false" ht="15" hidden="false" customHeight="true" outlineLevel="0" collapsed="false">
      <c r="A465" s="1" t="s">
        <v>589</v>
      </c>
      <c r="B465" s="1" t="s">
        <v>44</v>
      </c>
      <c r="C465" s="1" t="s">
        <v>571</v>
      </c>
      <c r="D465" s="1" t="s">
        <v>290</v>
      </c>
      <c r="E465" s="62" t="n">
        <v>1</v>
      </c>
      <c r="F465" s="26" t="n">
        <v>4773.1</v>
      </c>
      <c r="G465" s="26" t="n">
        <v>4773.1</v>
      </c>
      <c r="H465" s="1" t="s">
        <v>598</v>
      </c>
    </row>
    <row r="466" customFormat="false" ht="15" hidden="false" customHeight="true" outlineLevel="0" collapsed="false">
      <c r="A466" s="1" t="s">
        <v>589</v>
      </c>
      <c r="B466" s="1" t="s">
        <v>44</v>
      </c>
      <c r="C466" s="1" t="s">
        <v>574</v>
      </c>
      <c r="D466" s="1" t="s">
        <v>290</v>
      </c>
      <c r="E466" s="62" t="n">
        <v>0</v>
      </c>
      <c r="F466" s="26" t="n">
        <v>0</v>
      </c>
      <c r="G466" s="26" t="n">
        <v>0</v>
      </c>
      <c r="H466" s="1" t="s">
        <v>575</v>
      </c>
    </row>
    <row r="467" customFormat="false" ht="15" hidden="false" customHeight="true" outlineLevel="0" collapsed="false">
      <c r="A467" s="1" t="s">
        <v>589</v>
      </c>
      <c r="B467" s="1" t="s">
        <v>44</v>
      </c>
      <c r="C467" s="1" t="s">
        <v>576</v>
      </c>
      <c r="D467" s="1" t="s">
        <v>290</v>
      </c>
      <c r="E467" s="62" t="n">
        <v>0</v>
      </c>
      <c r="F467" s="26" t="n">
        <v>0</v>
      </c>
      <c r="G467" s="26" t="n">
        <v>0</v>
      </c>
      <c r="H467" s="1" t="s">
        <v>577</v>
      </c>
    </row>
    <row r="468" customFormat="false" ht="15" hidden="false" customHeight="true" outlineLevel="0" collapsed="false">
      <c r="A468" s="1" t="s">
        <v>589</v>
      </c>
      <c r="B468" s="1" t="s">
        <v>44</v>
      </c>
      <c r="C468" s="1" t="s">
        <v>578</v>
      </c>
      <c r="D468" s="1" t="s">
        <v>290</v>
      </c>
      <c r="E468" s="62" t="n">
        <v>0</v>
      </c>
      <c r="F468" s="26" t="n">
        <v>0</v>
      </c>
      <c r="G468" s="26" t="n">
        <v>0</v>
      </c>
      <c r="H468" s="1" t="s">
        <v>579</v>
      </c>
    </row>
    <row r="469" customFormat="false" ht="15" hidden="false" customHeight="true" outlineLevel="0" collapsed="false">
      <c r="A469" s="1" t="s">
        <v>589</v>
      </c>
      <c r="B469" s="1" t="s">
        <v>44</v>
      </c>
      <c r="C469" s="1" t="s">
        <v>571</v>
      </c>
      <c r="D469" s="1" t="s">
        <v>294</v>
      </c>
      <c r="E469" s="62" t="n">
        <v>1</v>
      </c>
      <c r="F469" s="26" t="n">
        <v>1019.8</v>
      </c>
      <c r="G469" s="26" t="n">
        <v>1019.8</v>
      </c>
      <c r="H469" s="1" t="s">
        <v>598</v>
      </c>
    </row>
    <row r="470" customFormat="false" ht="15" hidden="false" customHeight="true" outlineLevel="0" collapsed="false">
      <c r="A470" s="1" t="s">
        <v>589</v>
      </c>
      <c r="B470" s="1" t="s">
        <v>44</v>
      </c>
      <c r="C470" s="1" t="s">
        <v>571</v>
      </c>
      <c r="D470" s="1" t="s">
        <v>294</v>
      </c>
      <c r="E470" s="62" t="n">
        <v>0</v>
      </c>
      <c r="F470" s="26" t="n">
        <v>0</v>
      </c>
      <c r="G470" s="26" t="n">
        <v>0</v>
      </c>
      <c r="H470" s="1" t="s">
        <v>573</v>
      </c>
    </row>
    <row r="471" customFormat="false" ht="15" hidden="false" customHeight="true" outlineLevel="0" collapsed="false">
      <c r="A471" s="1" t="s">
        <v>589</v>
      </c>
      <c r="B471" s="1" t="s">
        <v>44</v>
      </c>
      <c r="C471" s="1" t="s">
        <v>580</v>
      </c>
      <c r="D471" s="1" t="s">
        <v>294</v>
      </c>
      <c r="E471" s="62" t="n">
        <v>0</v>
      </c>
      <c r="F471" s="26" t="n">
        <v>0</v>
      </c>
      <c r="G471" s="26" t="n">
        <v>0</v>
      </c>
      <c r="H471" s="1" t="s">
        <v>575</v>
      </c>
    </row>
    <row r="472" customFormat="false" ht="15" hidden="false" customHeight="true" outlineLevel="0" collapsed="false">
      <c r="A472" s="1" t="s">
        <v>589</v>
      </c>
      <c r="B472" s="1" t="s">
        <v>44</v>
      </c>
      <c r="C472" s="1" t="s">
        <v>581</v>
      </c>
      <c r="D472" s="1" t="s">
        <v>294</v>
      </c>
      <c r="E472" s="62" t="n">
        <v>0</v>
      </c>
      <c r="F472" s="26" t="n">
        <v>0</v>
      </c>
      <c r="G472" s="26" t="n">
        <v>0</v>
      </c>
      <c r="H472" s="1" t="s">
        <v>579</v>
      </c>
    </row>
    <row r="473" customFormat="false" ht="15" hidden="false" customHeight="true" outlineLevel="0" collapsed="false">
      <c r="A473" s="1" t="s">
        <v>589</v>
      </c>
      <c r="B473" s="1" t="s">
        <v>44</v>
      </c>
      <c r="C473" s="1" t="s">
        <v>571</v>
      </c>
      <c r="D473" s="1" t="s">
        <v>291</v>
      </c>
      <c r="E473" s="62" t="n">
        <v>1</v>
      </c>
      <c r="F473" s="26" t="n">
        <v>2399.73</v>
      </c>
      <c r="G473" s="26" t="n">
        <v>2399.73</v>
      </c>
      <c r="H473" s="1" t="s">
        <v>598</v>
      </c>
    </row>
    <row r="474" customFormat="false" ht="15" hidden="false" customHeight="true" outlineLevel="0" collapsed="false">
      <c r="A474" s="1" t="s">
        <v>589</v>
      </c>
      <c r="B474" s="1" t="s">
        <v>44</v>
      </c>
      <c r="C474" s="1" t="s">
        <v>582</v>
      </c>
      <c r="D474" s="1" t="s">
        <v>291</v>
      </c>
      <c r="E474" s="62" t="n">
        <v>0</v>
      </c>
      <c r="F474" s="26" t="n">
        <v>0</v>
      </c>
      <c r="G474" s="26" t="n">
        <v>0</v>
      </c>
      <c r="H474" s="1" t="s">
        <v>575</v>
      </c>
    </row>
    <row r="475" customFormat="false" ht="15" hidden="false" customHeight="true" outlineLevel="0" collapsed="false">
      <c r="A475" s="1" t="s">
        <v>589</v>
      </c>
      <c r="B475" s="1" t="s">
        <v>44</v>
      </c>
      <c r="C475" s="1" t="s">
        <v>583</v>
      </c>
      <c r="D475" s="1" t="s">
        <v>291</v>
      </c>
      <c r="E475" s="62" t="n">
        <v>0</v>
      </c>
      <c r="F475" s="26" t="n">
        <v>0</v>
      </c>
      <c r="G475" s="26" t="n">
        <v>0</v>
      </c>
      <c r="H475" s="1" t="s">
        <v>575</v>
      </c>
    </row>
    <row r="476" customFormat="false" ht="15" hidden="false" customHeight="true" outlineLevel="0" collapsed="false">
      <c r="A476" s="1" t="s">
        <v>589</v>
      </c>
      <c r="B476" s="1" t="s">
        <v>44</v>
      </c>
      <c r="C476" s="1" t="s">
        <v>584</v>
      </c>
      <c r="D476" s="1" t="s">
        <v>291</v>
      </c>
      <c r="E476" s="62" t="n">
        <v>0</v>
      </c>
      <c r="F476" s="26" t="n">
        <v>0</v>
      </c>
      <c r="G476" s="26" t="n">
        <v>0</v>
      </c>
      <c r="H476" s="1" t="s">
        <v>579</v>
      </c>
    </row>
    <row r="477" customFormat="false" ht="15" hidden="false" customHeight="true" outlineLevel="0" collapsed="false">
      <c r="A477" s="1" t="s">
        <v>589</v>
      </c>
      <c r="B477" s="1" t="s">
        <v>44</v>
      </c>
      <c r="C477" s="1" t="s">
        <v>585</v>
      </c>
      <c r="D477" s="1" t="s">
        <v>291</v>
      </c>
      <c r="E477" s="62" t="n">
        <v>0</v>
      </c>
      <c r="F477" s="26" t="n">
        <v>0</v>
      </c>
      <c r="G477" s="26" t="n">
        <v>0</v>
      </c>
      <c r="H477" s="1" t="s">
        <v>579</v>
      </c>
    </row>
    <row r="478" customFormat="false" ht="15" hidden="false" customHeight="true" outlineLevel="0" collapsed="false">
      <c r="A478" s="1" t="s">
        <v>589</v>
      </c>
      <c r="B478" s="1" t="s">
        <v>44</v>
      </c>
      <c r="C478" s="1" t="s">
        <v>571</v>
      </c>
      <c r="D478" s="1" t="s">
        <v>285</v>
      </c>
      <c r="E478" s="62" t="n">
        <v>0</v>
      </c>
      <c r="F478" s="26" t="n">
        <v>0</v>
      </c>
      <c r="G478" s="26" t="n">
        <v>0</v>
      </c>
      <c r="H478" s="1" t="s">
        <v>572</v>
      </c>
    </row>
    <row r="479" customFormat="false" ht="15" hidden="false" customHeight="true" outlineLevel="0" collapsed="false">
      <c r="A479" s="1" t="s">
        <v>589</v>
      </c>
      <c r="B479" s="1" t="s">
        <v>44</v>
      </c>
      <c r="C479" s="1" t="s">
        <v>571</v>
      </c>
      <c r="D479" s="1" t="s">
        <v>285</v>
      </c>
      <c r="E479" s="62" t="n">
        <v>1</v>
      </c>
      <c r="F479" s="26" t="n">
        <v>4808.82</v>
      </c>
      <c r="G479" s="26" t="n">
        <v>4808.82</v>
      </c>
      <c r="H479" s="1" t="s">
        <v>573</v>
      </c>
    </row>
    <row r="480" customFormat="false" ht="15" hidden="false" customHeight="true" outlineLevel="0" collapsed="false">
      <c r="A480" s="1" t="s">
        <v>589</v>
      </c>
      <c r="B480" s="1" t="s">
        <v>44</v>
      </c>
      <c r="C480" s="1" t="s">
        <v>583</v>
      </c>
      <c r="D480" s="1" t="s">
        <v>285</v>
      </c>
      <c r="E480" s="62" t="n">
        <v>0</v>
      </c>
      <c r="F480" s="26" t="n">
        <v>0</v>
      </c>
      <c r="G480" s="26" t="n">
        <v>0</v>
      </c>
      <c r="H480" s="1" t="s">
        <v>579</v>
      </c>
    </row>
    <row r="481" customFormat="false" ht="15" hidden="false" customHeight="true" outlineLevel="0" collapsed="false">
      <c r="A481" s="1" t="s">
        <v>589</v>
      </c>
      <c r="B481" s="1" t="s">
        <v>44</v>
      </c>
      <c r="C481" s="1" t="s">
        <v>584</v>
      </c>
      <c r="D481" s="1" t="s">
        <v>285</v>
      </c>
      <c r="E481" s="62" t="n">
        <v>0</v>
      </c>
      <c r="F481" s="26" t="n">
        <v>0</v>
      </c>
      <c r="G481" s="26" t="n">
        <v>0</v>
      </c>
      <c r="H481" s="1" t="s">
        <v>579</v>
      </c>
    </row>
    <row r="482" customFormat="false" ht="15" hidden="false" customHeight="true" outlineLevel="0" collapsed="false">
      <c r="A482" s="1" t="s">
        <v>589</v>
      </c>
      <c r="B482" s="1" t="s">
        <v>44</v>
      </c>
      <c r="C482" s="1" t="s">
        <v>571</v>
      </c>
      <c r="D482" s="1" t="s">
        <v>286</v>
      </c>
      <c r="E482" s="62" t="n">
        <v>1</v>
      </c>
      <c r="F482" s="26" t="n">
        <v>111.44</v>
      </c>
      <c r="G482" s="26" t="n">
        <v>111.44</v>
      </c>
      <c r="H482" s="1" t="s">
        <v>598</v>
      </c>
    </row>
    <row r="483" customFormat="false" ht="15" hidden="false" customHeight="true" outlineLevel="0" collapsed="false">
      <c r="A483" s="1" t="s">
        <v>589</v>
      </c>
      <c r="B483" s="1" t="s">
        <v>44</v>
      </c>
      <c r="C483" s="1" t="s">
        <v>571</v>
      </c>
      <c r="D483" s="1" t="s">
        <v>286</v>
      </c>
      <c r="E483" s="62" t="n">
        <v>0</v>
      </c>
      <c r="F483" s="26" t="n">
        <v>0</v>
      </c>
      <c r="G483" s="26" t="n">
        <v>0</v>
      </c>
      <c r="H483" s="1" t="s">
        <v>572</v>
      </c>
    </row>
    <row r="484" customFormat="false" ht="15" hidden="false" customHeight="true" outlineLevel="0" collapsed="false">
      <c r="A484" s="1" t="s">
        <v>589</v>
      </c>
      <c r="B484" s="1" t="s">
        <v>44</v>
      </c>
      <c r="C484" s="1" t="s">
        <v>571</v>
      </c>
      <c r="D484" s="1" t="s">
        <v>283</v>
      </c>
      <c r="E484" s="62" t="n">
        <v>1</v>
      </c>
      <c r="F484" s="26" t="n">
        <v>4028.26</v>
      </c>
      <c r="G484" s="26" t="n">
        <v>4028.26</v>
      </c>
      <c r="H484" s="1" t="s">
        <v>598</v>
      </c>
    </row>
    <row r="485" customFormat="false" ht="15" hidden="false" customHeight="true" outlineLevel="0" collapsed="false">
      <c r="A485" s="1" t="s">
        <v>589</v>
      </c>
      <c r="B485" s="1" t="s">
        <v>44</v>
      </c>
      <c r="C485" s="1" t="s">
        <v>571</v>
      </c>
      <c r="D485" s="1" t="s">
        <v>283</v>
      </c>
      <c r="E485" s="62" t="n">
        <v>0</v>
      </c>
      <c r="F485" s="26" t="n">
        <v>0</v>
      </c>
      <c r="G485" s="26" t="n">
        <v>0</v>
      </c>
      <c r="H485" s="1" t="s">
        <v>572</v>
      </c>
    </row>
    <row r="486" customFormat="false" ht="15" hidden="false" customHeight="true" outlineLevel="0" collapsed="false">
      <c r="A486" s="1" t="s">
        <v>589</v>
      </c>
      <c r="B486" s="1" t="s">
        <v>44</v>
      </c>
      <c r="C486" s="1" t="s">
        <v>586</v>
      </c>
      <c r="D486" s="1" t="s">
        <v>283</v>
      </c>
      <c r="E486" s="62" t="n">
        <v>0</v>
      </c>
      <c r="F486" s="26" t="n">
        <v>0</v>
      </c>
      <c r="G486" s="26" t="n">
        <v>0</v>
      </c>
      <c r="H486" s="1" t="s">
        <v>575</v>
      </c>
    </row>
    <row r="487" customFormat="false" ht="15" hidden="false" customHeight="true" outlineLevel="0" collapsed="false">
      <c r="A487" s="1" t="s">
        <v>589</v>
      </c>
      <c r="B487" s="1" t="s">
        <v>44</v>
      </c>
      <c r="C487" s="1" t="s">
        <v>581</v>
      </c>
      <c r="D487" s="1" t="s">
        <v>283</v>
      </c>
      <c r="E487" s="62" t="n">
        <v>0</v>
      </c>
      <c r="F487" s="26" t="n">
        <v>0</v>
      </c>
      <c r="G487" s="26" t="n">
        <v>0</v>
      </c>
      <c r="H487" s="1" t="s">
        <v>579</v>
      </c>
    </row>
    <row r="488" customFormat="false" ht="15" hidden="false" customHeight="true" outlineLevel="0" collapsed="false">
      <c r="A488" s="1" t="s">
        <v>589</v>
      </c>
      <c r="B488" s="1" t="s">
        <v>87</v>
      </c>
      <c r="C488" s="1" t="s">
        <v>587</v>
      </c>
      <c r="D488" s="1" t="s">
        <v>288</v>
      </c>
      <c r="E488" s="62" t="n">
        <v>2</v>
      </c>
      <c r="F488" s="26" t="n">
        <v>50</v>
      </c>
      <c r="G488" s="26" t="n">
        <v>100</v>
      </c>
      <c r="H488" s="1" t="s">
        <v>588</v>
      </c>
    </row>
    <row r="489" customFormat="false" ht="15" hidden="false" customHeight="true" outlineLevel="0" collapsed="false">
      <c r="A489" s="1" t="s">
        <v>589</v>
      </c>
      <c r="B489" s="1" t="s">
        <v>87</v>
      </c>
      <c r="C489" s="1" t="s">
        <v>587</v>
      </c>
      <c r="D489" s="1" t="s">
        <v>294</v>
      </c>
      <c r="E489" s="62" t="n">
        <v>1</v>
      </c>
      <c r="F489" s="26" t="n">
        <v>10</v>
      </c>
      <c r="G489" s="26" t="n">
        <v>10</v>
      </c>
      <c r="H489" s="1" t="s">
        <v>588</v>
      </c>
    </row>
    <row r="490" customFormat="false" ht="15" hidden="false" customHeight="true" outlineLevel="0" collapsed="false">
      <c r="A490" s="1" t="s">
        <v>589</v>
      </c>
      <c r="B490" s="1" t="s">
        <v>87</v>
      </c>
      <c r="C490" s="1" t="s">
        <v>587</v>
      </c>
      <c r="D490" s="1" t="s">
        <v>291</v>
      </c>
      <c r="E490" s="62" t="n">
        <v>1</v>
      </c>
      <c r="F490" s="26" t="n">
        <v>10</v>
      </c>
      <c r="G490" s="26" t="n">
        <v>10</v>
      </c>
      <c r="H490" s="1" t="s">
        <v>588</v>
      </c>
    </row>
    <row r="491" customFormat="false" ht="15" hidden="false" customHeight="true" outlineLevel="0" collapsed="false">
      <c r="A491" s="1" t="s">
        <v>589</v>
      </c>
      <c r="B491" s="1" t="s">
        <v>87</v>
      </c>
      <c r="C491" s="1" t="s">
        <v>587</v>
      </c>
      <c r="D491" s="1" t="s">
        <v>291</v>
      </c>
      <c r="E491" s="62" t="n">
        <v>5</v>
      </c>
      <c r="F491" s="26" t="n">
        <v>50</v>
      </c>
      <c r="G491" s="26" t="n">
        <v>250</v>
      </c>
      <c r="H491" s="1" t="s">
        <v>588</v>
      </c>
    </row>
    <row r="492" customFormat="false" ht="15" hidden="false" customHeight="true" outlineLevel="0" collapsed="false">
      <c r="A492" s="1" t="s">
        <v>589</v>
      </c>
      <c r="B492" s="1" t="s">
        <v>87</v>
      </c>
      <c r="C492" s="1" t="s">
        <v>587</v>
      </c>
      <c r="D492" s="1" t="s">
        <v>285</v>
      </c>
      <c r="E492" s="62" t="n">
        <v>2</v>
      </c>
      <c r="F492" s="26" t="n">
        <v>50</v>
      </c>
      <c r="G492" s="26" t="n">
        <v>100</v>
      </c>
      <c r="H492" s="1" t="s">
        <v>588</v>
      </c>
    </row>
    <row r="493" customFormat="false" ht="15" hidden="false" customHeight="true" outlineLevel="0" collapsed="false">
      <c r="A493" s="1" t="s">
        <v>589</v>
      </c>
      <c r="B493" s="1" t="s">
        <v>87</v>
      </c>
      <c r="C493" s="1" t="s">
        <v>587</v>
      </c>
      <c r="D493" s="1" t="s">
        <v>286</v>
      </c>
      <c r="E493" s="62" t="n">
        <v>1</v>
      </c>
      <c r="F493" s="26" t="n">
        <v>50</v>
      </c>
      <c r="G493" s="26" t="n">
        <v>50</v>
      </c>
      <c r="H493" s="1" t="s">
        <v>588</v>
      </c>
    </row>
    <row r="494" customFormat="false" ht="15" hidden="false" customHeight="true" outlineLevel="0" collapsed="false">
      <c r="A494" s="1" t="s">
        <v>589</v>
      </c>
      <c r="B494" s="1" t="s">
        <v>87</v>
      </c>
      <c r="C494" s="1" t="s">
        <v>587</v>
      </c>
      <c r="D494" s="1" t="s">
        <v>283</v>
      </c>
      <c r="E494" s="62" t="n">
        <v>1</v>
      </c>
      <c r="F494" s="26" t="n">
        <v>90</v>
      </c>
      <c r="G494" s="26" t="n">
        <v>90</v>
      </c>
      <c r="H494" s="1" t="s">
        <v>588</v>
      </c>
    </row>
    <row r="495" customFormat="false" ht="15" hidden="false" customHeight="true" outlineLevel="0" collapsed="false">
      <c r="A495" s="1" t="s">
        <v>589</v>
      </c>
      <c r="B495" s="1" t="s">
        <v>87</v>
      </c>
      <c r="C495" s="1" t="s">
        <v>587</v>
      </c>
      <c r="D495" s="1" t="s">
        <v>283</v>
      </c>
      <c r="E495" s="62" t="n">
        <v>2</v>
      </c>
      <c r="F495" s="26" t="n">
        <v>10</v>
      </c>
      <c r="G495" s="26" t="n">
        <v>20</v>
      </c>
      <c r="H495" s="1" t="s">
        <v>588</v>
      </c>
    </row>
    <row r="496" customFormat="false" ht="15" hidden="false" customHeight="true" outlineLevel="0" collapsed="false">
      <c r="A496" s="1" t="s">
        <v>589</v>
      </c>
      <c r="B496" s="1" t="s">
        <v>87</v>
      </c>
      <c r="C496" s="1" t="s">
        <v>587</v>
      </c>
      <c r="D496" s="1" t="s">
        <v>283</v>
      </c>
      <c r="E496" s="62" t="n">
        <v>3</v>
      </c>
      <c r="F496" s="26" t="n">
        <v>50</v>
      </c>
      <c r="G496" s="26" t="n">
        <v>150</v>
      </c>
      <c r="H496" s="1" t="s">
        <v>588</v>
      </c>
    </row>
    <row r="497" customFormat="false" ht="15" hidden="false" customHeight="true" outlineLevel="0" collapsed="false">
      <c r="A497" s="1" t="s">
        <v>599</v>
      </c>
      <c r="B497" s="1" t="s">
        <v>393</v>
      </c>
      <c r="C497" s="1" t="s">
        <v>394</v>
      </c>
      <c r="D497" s="1" t="s">
        <v>290</v>
      </c>
      <c r="E497" s="62" t="n">
        <v>13418</v>
      </c>
      <c r="F497" s="26" t="n">
        <v>0.427453957585064</v>
      </c>
      <c r="G497" s="26" t="n">
        <v>5735.57720287639</v>
      </c>
      <c r="H497" s="1" t="s">
        <v>395</v>
      </c>
    </row>
    <row r="498" customFormat="false" ht="15" hidden="false" customHeight="true" outlineLevel="0" collapsed="false">
      <c r="A498" s="1" t="s">
        <v>599</v>
      </c>
      <c r="B498" s="1" t="s">
        <v>396</v>
      </c>
      <c r="C498" s="1" t="s">
        <v>86</v>
      </c>
      <c r="D498" s="1" t="s">
        <v>290</v>
      </c>
      <c r="E498" s="62" t="n">
        <v>13418</v>
      </c>
      <c r="F498" s="26" t="n">
        <v>0.266574828615826</v>
      </c>
      <c r="G498" s="26" t="n">
        <v>3576.90105036715</v>
      </c>
      <c r="H498" s="1" t="s">
        <v>395</v>
      </c>
    </row>
    <row r="499" customFormat="false" ht="15" hidden="false" customHeight="true" outlineLevel="0" collapsed="false">
      <c r="A499" s="1" t="s">
        <v>599</v>
      </c>
      <c r="B499" s="1" t="s">
        <v>397</v>
      </c>
      <c r="C499" s="1" t="s">
        <v>398</v>
      </c>
      <c r="D499" s="1" t="s">
        <v>276</v>
      </c>
      <c r="E499" s="62" t="n">
        <v>1</v>
      </c>
      <c r="F499" s="26" t="n">
        <v>1222.09</v>
      </c>
      <c r="G499" s="26" t="n">
        <v>1222.09</v>
      </c>
      <c r="H499" s="1" t="s">
        <v>600</v>
      </c>
    </row>
    <row r="500" customFormat="false" ht="15" hidden="false" customHeight="true" outlineLevel="0" collapsed="false">
      <c r="A500" s="1" t="s">
        <v>599</v>
      </c>
      <c r="B500" s="1" t="s">
        <v>397</v>
      </c>
      <c r="C500" s="1" t="s">
        <v>400</v>
      </c>
      <c r="D500" s="1" t="s">
        <v>276</v>
      </c>
      <c r="E500" s="62" t="n">
        <v>0</v>
      </c>
      <c r="F500" s="26" t="n">
        <v>0</v>
      </c>
      <c r="G500" s="26" t="n">
        <v>0</v>
      </c>
      <c r="H500" s="1" t="s">
        <v>590</v>
      </c>
    </row>
    <row r="501" customFormat="false" ht="15" hidden="false" customHeight="true" outlineLevel="0" collapsed="false">
      <c r="A501" s="1" t="s">
        <v>599</v>
      </c>
      <c r="B501" s="1" t="s">
        <v>397</v>
      </c>
      <c r="C501" s="1" t="s">
        <v>398</v>
      </c>
      <c r="D501" s="1" t="s">
        <v>288</v>
      </c>
      <c r="E501" s="62" t="n">
        <v>0</v>
      </c>
      <c r="F501" s="26" t="n">
        <v>0</v>
      </c>
      <c r="G501" s="26" t="n">
        <v>0</v>
      </c>
      <c r="H501" s="1" t="s">
        <v>399</v>
      </c>
    </row>
    <row r="502" customFormat="false" ht="15" hidden="false" customHeight="true" outlineLevel="0" collapsed="false">
      <c r="A502" s="1" t="s">
        <v>599</v>
      </c>
      <c r="B502" s="1" t="s">
        <v>397</v>
      </c>
      <c r="C502" s="1" t="s">
        <v>400</v>
      </c>
      <c r="D502" s="1" t="s">
        <v>288</v>
      </c>
      <c r="E502" s="62" t="n">
        <v>0</v>
      </c>
      <c r="F502" s="26" t="n">
        <v>0</v>
      </c>
      <c r="G502" s="26" t="n">
        <v>0</v>
      </c>
      <c r="H502" s="1" t="s">
        <v>590</v>
      </c>
    </row>
    <row r="503" customFormat="false" ht="15" hidden="false" customHeight="true" outlineLevel="0" collapsed="false">
      <c r="A503" s="1" t="s">
        <v>599</v>
      </c>
      <c r="B503" s="1" t="s">
        <v>397</v>
      </c>
      <c r="C503" s="1" t="s">
        <v>398</v>
      </c>
      <c r="D503" s="1" t="s">
        <v>290</v>
      </c>
      <c r="E503" s="62" t="n">
        <v>0</v>
      </c>
      <c r="F503" s="26" t="n">
        <v>0</v>
      </c>
      <c r="G503" s="26" t="n">
        <v>0</v>
      </c>
      <c r="H503" s="1" t="s">
        <v>402</v>
      </c>
    </row>
    <row r="504" customFormat="false" ht="15" hidden="false" customHeight="true" outlineLevel="0" collapsed="false">
      <c r="A504" s="1" t="s">
        <v>599</v>
      </c>
      <c r="B504" s="1" t="s">
        <v>397</v>
      </c>
      <c r="C504" s="1" t="s">
        <v>403</v>
      </c>
      <c r="D504" s="1" t="s">
        <v>290</v>
      </c>
      <c r="E504" s="62" t="n">
        <v>0</v>
      </c>
      <c r="F504" s="26" t="n">
        <v>0</v>
      </c>
      <c r="G504" s="26" t="n">
        <v>0</v>
      </c>
      <c r="H504" s="1" t="s">
        <v>404</v>
      </c>
    </row>
    <row r="505" customFormat="false" ht="15" hidden="false" customHeight="true" outlineLevel="0" collapsed="false">
      <c r="A505" s="1" t="s">
        <v>599</v>
      </c>
      <c r="B505" s="1" t="s">
        <v>397</v>
      </c>
      <c r="C505" s="1" t="s">
        <v>398</v>
      </c>
      <c r="D505" s="1" t="s">
        <v>294</v>
      </c>
      <c r="E505" s="62" t="n">
        <v>0</v>
      </c>
      <c r="F505" s="26" t="n">
        <v>0</v>
      </c>
      <c r="G505" s="26" t="n">
        <v>0</v>
      </c>
      <c r="H505" s="1" t="s">
        <v>402</v>
      </c>
    </row>
    <row r="506" customFormat="false" ht="15" hidden="false" customHeight="true" outlineLevel="0" collapsed="false">
      <c r="A506" s="1" t="s">
        <v>599</v>
      </c>
      <c r="B506" s="1" t="s">
        <v>397</v>
      </c>
      <c r="C506" s="1" t="s">
        <v>400</v>
      </c>
      <c r="D506" s="1" t="s">
        <v>294</v>
      </c>
      <c r="E506" s="62" t="n">
        <v>0</v>
      </c>
      <c r="F506" s="26" t="n">
        <v>0</v>
      </c>
      <c r="G506" s="26" t="n">
        <v>0</v>
      </c>
      <c r="H506" s="1" t="s">
        <v>590</v>
      </c>
    </row>
    <row r="507" customFormat="false" ht="15" hidden="false" customHeight="true" outlineLevel="0" collapsed="false">
      <c r="A507" s="1" t="s">
        <v>599</v>
      </c>
      <c r="B507" s="1" t="s">
        <v>397</v>
      </c>
      <c r="C507" s="1" t="s">
        <v>398</v>
      </c>
      <c r="D507" s="1" t="s">
        <v>291</v>
      </c>
      <c r="E507" s="62" t="n">
        <v>0</v>
      </c>
      <c r="F507" s="26" t="n">
        <v>0</v>
      </c>
      <c r="G507" s="26" t="n">
        <v>0</v>
      </c>
      <c r="H507" s="1" t="s">
        <v>399</v>
      </c>
    </row>
    <row r="508" customFormat="false" ht="15" hidden="false" customHeight="true" outlineLevel="0" collapsed="false">
      <c r="A508" s="1" t="s">
        <v>599</v>
      </c>
      <c r="B508" s="1" t="s">
        <v>397</v>
      </c>
      <c r="C508" s="1" t="s">
        <v>400</v>
      </c>
      <c r="D508" s="1" t="s">
        <v>291</v>
      </c>
      <c r="E508" s="62" t="n">
        <v>0</v>
      </c>
      <c r="F508" s="26" t="n">
        <v>0</v>
      </c>
      <c r="G508" s="26" t="n">
        <v>0</v>
      </c>
      <c r="H508" s="1" t="s">
        <v>401</v>
      </c>
    </row>
    <row r="509" customFormat="false" ht="15" hidden="false" customHeight="true" outlineLevel="0" collapsed="false">
      <c r="A509" s="1" t="s">
        <v>599</v>
      </c>
      <c r="B509" s="1" t="s">
        <v>397</v>
      </c>
      <c r="C509" s="1" t="s">
        <v>398</v>
      </c>
      <c r="D509" s="1" t="s">
        <v>285</v>
      </c>
      <c r="E509" s="62" t="n">
        <v>0</v>
      </c>
      <c r="F509" s="26" t="n">
        <v>0</v>
      </c>
      <c r="G509" s="26" t="n">
        <v>0</v>
      </c>
      <c r="H509" s="1" t="s">
        <v>406</v>
      </c>
    </row>
    <row r="510" customFormat="false" ht="15" hidden="false" customHeight="true" outlineLevel="0" collapsed="false">
      <c r="A510" s="1" t="s">
        <v>599</v>
      </c>
      <c r="B510" s="1" t="s">
        <v>397</v>
      </c>
      <c r="C510" s="1" t="s">
        <v>400</v>
      </c>
      <c r="D510" s="1" t="s">
        <v>285</v>
      </c>
      <c r="E510" s="62" t="n">
        <v>0</v>
      </c>
      <c r="F510" s="26" t="n">
        <v>0</v>
      </c>
      <c r="G510" s="26" t="n">
        <v>0</v>
      </c>
      <c r="H510" s="1" t="s">
        <v>590</v>
      </c>
    </row>
    <row r="511" customFormat="false" ht="15" hidden="false" customHeight="true" outlineLevel="0" collapsed="false">
      <c r="A511" s="1" t="s">
        <v>599</v>
      </c>
      <c r="B511" s="1" t="s">
        <v>397</v>
      </c>
      <c r="C511" s="1" t="s">
        <v>400</v>
      </c>
      <c r="D511" s="1" t="s">
        <v>285</v>
      </c>
      <c r="E511" s="62" t="n">
        <v>0</v>
      </c>
      <c r="F511" s="26" t="n">
        <v>0</v>
      </c>
      <c r="G511" s="26" t="n">
        <v>0</v>
      </c>
      <c r="H511" s="1" t="s">
        <v>401</v>
      </c>
    </row>
    <row r="512" customFormat="false" ht="15" hidden="false" customHeight="true" outlineLevel="0" collapsed="false">
      <c r="A512" s="1" t="s">
        <v>599</v>
      </c>
      <c r="B512" s="1" t="s">
        <v>397</v>
      </c>
      <c r="C512" s="1" t="s">
        <v>398</v>
      </c>
      <c r="D512" s="1" t="s">
        <v>286</v>
      </c>
      <c r="E512" s="62" t="n">
        <v>0</v>
      </c>
      <c r="F512" s="26" t="n">
        <v>0</v>
      </c>
      <c r="G512" s="26" t="n">
        <v>0</v>
      </c>
      <c r="H512" s="1" t="s">
        <v>402</v>
      </c>
    </row>
    <row r="513" customFormat="false" ht="15" hidden="false" customHeight="true" outlineLevel="0" collapsed="false">
      <c r="A513" s="1" t="s">
        <v>599</v>
      </c>
      <c r="B513" s="1" t="s">
        <v>397</v>
      </c>
      <c r="C513" s="1" t="s">
        <v>398</v>
      </c>
      <c r="D513" s="1" t="s">
        <v>286</v>
      </c>
      <c r="E513" s="62" t="n">
        <v>0</v>
      </c>
      <c r="F513" s="26" t="n">
        <v>0</v>
      </c>
      <c r="G513" s="26" t="n">
        <v>0</v>
      </c>
      <c r="H513" s="1" t="s">
        <v>407</v>
      </c>
    </row>
    <row r="514" customFormat="false" ht="15" hidden="false" customHeight="true" outlineLevel="0" collapsed="false">
      <c r="A514" s="1" t="s">
        <v>599</v>
      </c>
      <c r="B514" s="1" t="s">
        <v>78</v>
      </c>
      <c r="C514" s="1" t="s">
        <v>408</v>
      </c>
      <c r="D514" s="1" t="s">
        <v>294</v>
      </c>
      <c r="E514" s="62" t="n">
        <v>3704</v>
      </c>
      <c r="F514" s="26" t="n">
        <v>0.486320943015659</v>
      </c>
      <c r="G514" s="26" t="n">
        <v>1801.332773</v>
      </c>
      <c r="H514" s="1" t="s">
        <v>395</v>
      </c>
    </row>
    <row r="515" customFormat="false" ht="15" hidden="false" customHeight="true" outlineLevel="0" collapsed="false">
      <c r="A515" s="1" t="s">
        <v>599</v>
      </c>
      <c r="B515" s="1" t="s">
        <v>78</v>
      </c>
      <c r="C515" s="1" t="s">
        <v>408</v>
      </c>
      <c r="D515" s="1" t="s">
        <v>291</v>
      </c>
      <c r="E515" s="62" t="n">
        <v>6434</v>
      </c>
      <c r="F515" s="26" t="n">
        <v>0.486320943015659</v>
      </c>
      <c r="G515" s="26" t="n">
        <v>3128.988947</v>
      </c>
      <c r="H515" s="1" t="s">
        <v>395</v>
      </c>
    </row>
    <row r="516" customFormat="false" ht="15" hidden="false" customHeight="true" outlineLevel="0" collapsed="false">
      <c r="A516" s="1" t="s">
        <v>599</v>
      </c>
      <c r="B516" s="1" t="s">
        <v>78</v>
      </c>
      <c r="C516" s="1" t="s">
        <v>408</v>
      </c>
      <c r="D516" s="1" t="s">
        <v>285</v>
      </c>
      <c r="E516" s="62" t="n">
        <v>14441</v>
      </c>
      <c r="F516" s="26" t="n">
        <v>0.486320943015659</v>
      </c>
      <c r="G516" s="26" t="n">
        <v>7022.960738</v>
      </c>
      <c r="H516" s="1" t="s">
        <v>395</v>
      </c>
    </row>
    <row r="517" customFormat="false" ht="15" hidden="false" customHeight="true" outlineLevel="0" collapsed="false">
      <c r="A517" s="1" t="s">
        <v>599</v>
      </c>
      <c r="B517" s="1" t="s">
        <v>78</v>
      </c>
      <c r="C517" s="1" t="s">
        <v>408</v>
      </c>
      <c r="D517" s="1" t="s">
        <v>283</v>
      </c>
      <c r="E517" s="62" t="n">
        <v>4795</v>
      </c>
      <c r="F517" s="26" t="n">
        <v>0.486320943015659</v>
      </c>
      <c r="G517" s="26" t="n">
        <v>2331.908922</v>
      </c>
      <c r="H517" s="1" t="s">
        <v>395</v>
      </c>
    </row>
    <row r="518" customFormat="false" ht="15" hidden="false" customHeight="true" outlineLevel="0" collapsed="false">
      <c r="A518" s="1" t="s">
        <v>599</v>
      </c>
      <c r="B518" s="1" t="s">
        <v>409</v>
      </c>
      <c r="C518" s="1" t="s">
        <v>410</v>
      </c>
      <c r="D518" s="1" t="s">
        <v>276</v>
      </c>
      <c r="E518" s="62" t="n">
        <v>5160</v>
      </c>
      <c r="F518" s="26" t="n">
        <v>1.86</v>
      </c>
      <c r="G518" s="26" t="n">
        <v>9597.6</v>
      </c>
      <c r="H518" s="1" t="s">
        <v>601</v>
      </c>
    </row>
    <row r="519" customFormat="false" ht="15" hidden="false" customHeight="true" outlineLevel="0" collapsed="false">
      <c r="A519" s="1" t="s">
        <v>599</v>
      </c>
      <c r="B519" s="1" t="s">
        <v>409</v>
      </c>
      <c r="C519" s="1" t="s">
        <v>410</v>
      </c>
      <c r="D519" s="1" t="s">
        <v>288</v>
      </c>
      <c r="E519" s="62" t="n">
        <v>333</v>
      </c>
      <c r="F519" s="26" t="n">
        <v>1.86</v>
      </c>
      <c r="G519" s="26" t="n">
        <v>619.38</v>
      </c>
      <c r="H519" s="1" t="s">
        <v>601</v>
      </c>
    </row>
    <row r="520" customFormat="false" ht="15" hidden="false" customHeight="true" outlineLevel="0" collapsed="false">
      <c r="A520" s="1" t="s">
        <v>599</v>
      </c>
      <c r="B520" s="1" t="s">
        <v>409</v>
      </c>
      <c r="C520" s="1" t="s">
        <v>602</v>
      </c>
      <c r="D520" s="1" t="s">
        <v>288</v>
      </c>
      <c r="E520" s="62" t="n">
        <v>-1</v>
      </c>
      <c r="F520" s="26" t="n">
        <v>350</v>
      </c>
      <c r="G520" s="26" t="n">
        <v>-350</v>
      </c>
      <c r="H520" s="1" t="s">
        <v>603</v>
      </c>
    </row>
    <row r="521" customFormat="false" ht="15" hidden="false" customHeight="true" outlineLevel="0" collapsed="false">
      <c r="A521" s="1" t="s">
        <v>599</v>
      </c>
      <c r="B521" s="1" t="s">
        <v>409</v>
      </c>
      <c r="C521" s="1" t="s">
        <v>604</v>
      </c>
      <c r="D521" s="1" t="s">
        <v>288</v>
      </c>
      <c r="E521" s="62" t="n">
        <v>-1</v>
      </c>
      <c r="F521" s="26" t="n">
        <v>206.78</v>
      </c>
      <c r="G521" s="26" t="n">
        <v>-206.78</v>
      </c>
      <c r="H521" s="1" t="s">
        <v>605</v>
      </c>
    </row>
    <row r="522" customFormat="false" ht="15" hidden="false" customHeight="true" outlineLevel="0" collapsed="false">
      <c r="A522" s="1" t="s">
        <v>599</v>
      </c>
      <c r="B522" s="1" t="s">
        <v>409</v>
      </c>
      <c r="C522" s="1" t="s">
        <v>412</v>
      </c>
      <c r="D522" s="1" t="s">
        <v>288</v>
      </c>
      <c r="E522" s="62" t="n">
        <v>0</v>
      </c>
      <c r="F522" s="26" t="n">
        <v>0</v>
      </c>
      <c r="G522" s="26" t="n">
        <v>0</v>
      </c>
      <c r="H522" s="1" t="s">
        <v>413</v>
      </c>
    </row>
    <row r="523" customFormat="false" ht="15" hidden="false" customHeight="true" outlineLevel="0" collapsed="false">
      <c r="A523" s="1" t="s">
        <v>599</v>
      </c>
      <c r="B523" s="1" t="s">
        <v>409</v>
      </c>
      <c r="C523" s="1" t="s">
        <v>414</v>
      </c>
      <c r="D523" s="1" t="s">
        <v>288</v>
      </c>
      <c r="E523" s="62" t="n">
        <v>1</v>
      </c>
      <c r="F523" s="26" t="n">
        <v>439.28</v>
      </c>
      <c r="G523" s="26" t="n">
        <v>439.28</v>
      </c>
      <c r="H523" s="1" t="s">
        <v>415</v>
      </c>
    </row>
    <row r="524" customFormat="false" ht="15" hidden="false" customHeight="true" outlineLevel="0" collapsed="false">
      <c r="A524" s="1" t="s">
        <v>599</v>
      </c>
      <c r="B524" s="1" t="s">
        <v>409</v>
      </c>
      <c r="C524" s="1" t="s">
        <v>416</v>
      </c>
      <c r="D524" s="1" t="s">
        <v>288</v>
      </c>
      <c r="E524" s="62" t="n">
        <v>0</v>
      </c>
      <c r="F524" s="26" t="n">
        <v>0</v>
      </c>
      <c r="G524" s="26" t="n">
        <v>0</v>
      </c>
      <c r="H524" s="1" t="s">
        <v>415</v>
      </c>
    </row>
    <row r="525" customFormat="false" ht="15" hidden="false" customHeight="true" outlineLevel="0" collapsed="false">
      <c r="A525" s="1" t="s">
        <v>599</v>
      </c>
      <c r="B525" s="1" t="s">
        <v>409</v>
      </c>
      <c r="C525" s="1" t="s">
        <v>418</v>
      </c>
      <c r="D525" s="1" t="s">
        <v>288</v>
      </c>
      <c r="E525" s="62" t="n">
        <v>-1</v>
      </c>
      <c r="F525" s="26" t="n">
        <v>756.56</v>
      </c>
      <c r="G525" s="26" t="n">
        <v>-756.56</v>
      </c>
      <c r="H525" s="1" t="s">
        <v>419</v>
      </c>
    </row>
    <row r="526" customFormat="false" ht="15" hidden="false" customHeight="true" outlineLevel="0" collapsed="false">
      <c r="A526" s="1" t="s">
        <v>599</v>
      </c>
      <c r="B526" s="1" t="s">
        <v>409</v>
      </c>
      <c r="C526" s="1" t="s">
        <v>418</v>
      </c>
      <c r="D526" s="1" t="s">
        <v>288</v>
      </c>
      <c r="E526" s="62" t="n">
        <v>-1</v>
      </c>
      <c r="F526" s="26" t="n">
        <v>4211.32</v>
      </c>
      <c r="G526" s="26" t="n">
        <v>-4211.32</v>
      </c>
      <c r="H526" s="1" t="s">
        <v>420</v>
      </c>
    </row>
    <row r="527" customFormat="false" ht="15" hidden="false" customHeight="true" outlineLevel="0" collapsed="false">
      <c r="A527" s="1" t="s">
        <v>599</v>
      </c>
      <c r="B527" s="1" t="s">
        <v>409</v>
      </c>
      <c r="C527" s="1" t="s">
        <v>421</v>
      </c>
      <c r="D527" s="1" t="s">
        <v>288</v>
      </c>
      <c r="E527" s="62" t="n">
        <v>-5</v>
      </c>
      <c r="F527" s="26" t="n">
        <v>410.699645390071</v>
      </c>
      <c r="G527" s="26" t="n">
        <v>-2053.49822695035</v>
      </c>
      <c r="H527" s="1" t="s">
        <v>606</v>
      </c>
    </row>
    <row r="528" customFormat="false" ht="15" hidden="false" customHeight="true" outlineLevel="0" collapsed="false">
      <c r="A528" s="1" t="s">
        <v>599</v>
      </c>
      <c r="B528" s="1" t="s">
        <v>409</v>
      </c>
      <c r="C528" s="1" t="s">
        <v>423</v>
      </c>
      <c r="D528" s="1" t="s">
        <v>288</v>
      </c>
      <c r="E528" s="62" t="n">
        <v>0</v>
      </c>
      <c r="F528" s="26" t="n">
        <v>0</v>
      </c>
      <c r="G528" s="26" t="n">
        <v>0</v>
      </c>
      <c r="H528" s="1" t="s">
        <v>422</v>
      </c>
    </row>
    <row r="529" customFormat="false" ht="15" hidden="false" customHeight="true" outlineLevel="0" collapsed="false">
      <c r="A529" s="1" t="s">
        <v>599</v>
      </c>
      <c r="B529" s="1" t="s">
        <v>409</v>
      </c>
      <c r="C529" s="1" t="s">
        <v>424</v>
      </c>
      <c r="D529" s="1" t="s">
        <v>288</v>
      </c>
      <c r="E529" s="62" t="n">
        <v>0</v>
      </c>
      <c r="F529" s="26" t="n">
        <v>0</v>
      </c>
      <c r="G529" s="26" t="n">
        <v>0</v>
      </c>
      <c r="H529" s="1" t="s">
        <v>422</v>
      </c>
    </row>
    <row r="530" customFormat="false" ht="15" hidden="false" customHeight="true" outlineLevel="0" collapsed="false">
      <c r="A530" s="1" t="s">
        <v>599</v>
      </c>
      <c r="B530" s="1" t="s">
        <v>409</v>
      </c>
      <c r="C530" s="1" t="s">
        <v>425</v>
      </c>
      <c r="D530" s="1" t="s">
        <v>288</v>
      </c>
      <c r="E530" s="62" t="n">
        <v>3</v>
      </c>
      <c r="F530" s="26" t="n">
        <v>278.600873702422</v>
      </c>
      <c r="G530" s="26" t="n">
        <v>835.802621107267</v>
      </c>
      <c r="H530" s="1" t="s">
        <v>606</v>
      </c>
    </row>
    <row r="531" customFormat="false" ht="15" hidden="false" customHeight="true" outlineLevel="0" collapsed="false">
      <c r="A531" s="1" t="s">
        <v>599</v>
      </c>
      <c r="B531" s="1" t="s">
        <v>409</v>
      </c>
      <c r="C531" s="1" t="s">
        <v>426</v>
      </c>
      <c r="D531" s="1" t="s">
        <v>288</v>
      </c>
      <c r="E531" s="62" t="n">
        <v>0</v>
      </c>
      <c r="F531" s="26" t="n">
        <v>0</v>
      </c>
      <c r="G531" s="26" t="n">
        <v>0</v>
      </c>
      <c r="H531" s="1" t="s">
        <v>422</v>
      </c>
    </row>
    <row r="532" customFormat="false" ht="15" hidden="false" customHeight="true" outlineLevel="0" collapsed="false">
      <c r="A532" s="1" t="s">
        <v>599</v>
      </c>
      <c r="B532" s="1" t="s">
        <v>409</v>
      </c>
      <c r="C532" s="1" t="s">
        <v>427</v>
      </c>
      <c r="D532" s="1" t="s">
        <v>290</v>
      </c>
      <c r="E532" s="62" t="n">
        <v>1</v>
      </c>
      <c r="F532" s="26" t="n">
        <v>33.5</v>
      </c>
      <c r="G532" s="26" t="n">
        <v>33.5</v>
      </c>
      <c r="H532" s="1" t="s">
        <v>428</v>
      </c>
    </row>
    <row r="533" customFormat="false" ht="15" hidden="false" customHeight="true" outlineLevel="0" collapsed="false">
      <c r="A533" s="1" t="s">
        <v>599</v>
      </c>
      <c r="B533" s="1" t="s">
        <v>409</v>
      </c>
      <c r="C533" s="1" t="s">
        <v>427</v>
      </c>
      <c r="D533" s="1" t="s">
        <v>290</v>
      </c>
      <c r="E533" s="62" t="n">
        <v>1</v>
      </c>
      <c r="F533" s="26" t="n">
        <v>22</v>
      </c>
      <c r="G533" s="26" t="n">
        <v>22</v>
      </c>
      <c r="H533" s="1" t="s">
        <v>429</v>
      </c>
    </row>
    <row r="534" customFormat="false" ht="15" hidden="false" customHeight="true" outlineLevel="0" collapsed="false">
      <c r="A534" s="1" t="s">
        <v>599</v>
      </c>
      <c r="B534" s="1" t="s">
        <v>409</v>
      </c>
      <c r="C534" s="1" t="s">
        <v>410</v>
      </c>
      <c r="D534" s="1" t="s">
        <v>290</v>
      </c>
      <c r="E534" s="62" t="n">
        <v>258</v>
      </c>
      <c r="F534" s="26" t="n">
        <v>1.86</v>
      </c>
      <c r="G534" s="26" t="n">
        <v>479.88</v>
      </c>
      <c r="H534" s="1" t="s">
        <v>601</v>
      </c>
    </row>
    <row r="535" customFormat="false" ht="15" hidden="false" customHeight="true" outlineLevel="0" collapsed="false">
      <c r="A535" s="1" t="s">
        <v>599</v>
      </c>
      <c r="B535" s="1" t="s">
        <v>409</v>
      </c>
      <c r="C535" s="1" t="s">
        <v>602</v>
      </c>
      <c r="D535" s="1" t="s">
        <v>290</v>
      </c>
      <c r="E535" s="62" t="n">
        <v>1</v>
      </c>
      <c r="F535" s="26" t="n">
        <v>350</v>
      </c>
      <c r="G535" s="26" t="n">
        <v>350</v>
      </c>
      <c r="H535" s="1" t="s">
        <v>607</v>
      </c>
    </row>
    <row r="536" customFormat="false" ht="15" hidden="false" customHeight="true" outlineLevel="0" collapsed="false">
      <c r="A536" s="1" t="s">
        <v>599</v>
      </c>
      <c r="B536" s="1" t="s">
        <v>409</v>
      </c>
      <c r="C536" s="1" t="s">
        <v>412</v>
      </c>
      <c r="D536" s="1" t="s">
        <v>290</v>
      </c>
      <c r="E536" s="62" t="n">
        <v>2</v>
      </c>
      <c r="F536" s="26" t="n">
        <v>393.04</v>
      </c>
      <c r="G536" s="26" t="n">
        <v>786.08</v>
      </c>
      <c r="H536" s="1" t="s">
        <v>415</v>
      </c>
    </row>
    <row r="537" customFormat="false" ht="15" hidden="false" customHeight="true" outlineLevel="0" collapsed="false">
      <c r="A537" s="1" t="s">
        <v>599</v>
      </c>
      <c r="B537" s="1" t="s">
        <v>409</v>
      </c>
      <c r="C537" s="1" t="s">
        <v>414</v>
      </c>
      <c r="D537" s="1" t="s">
        <v>290</v>
      </c>
      <c r="E537" s="62" t="n">
        <v>2</v>
      </c>
      <c r="F537" s="26" t="n">
        <v>439.28</v>
      </c>
      <c r="G537" s="26" t="n">
        <v>878.56</v>
      </c>
      <c r="H537" s="1" t="s">
        <v>415</v>
      </c>
    </row>
    <row r="538" customFormat="false" ht="15" hidden="false" customHeight="true" outlineLevel="0" collapsed="false">
      <c r="A538" s="1" t="s">
        <v>599</v>
      </c>
      <c r="B538" s="1" t="s">
        <v>409</v>
      </c>
      <c r="C538" s="1" t="s">
        <v>416</v>
      </c>
      <c r="D538" s="1" t="s">
        <v>290</v>
      </c>
      <c r="E538" s="62" t="n">
        <v>1</v>
      </c>
      <c r="F538" s="26" t="n">
        <v>407.27</v>
      </c>
      <c r="G538" s="26" t="n">
        <v>407.27</v>
      </c>
      <c r="H538" s="1" t="s">
        <v>415</v>
      </c>
    </row>
    <row r="539" customFormat="false" ht="15" hidden="false" customHeight="true" outlineLevel="0" collapsed="false">
      <c r="A539" s="1" t="s">
        <v>599</v>
      </c>
      <c r="B539" s="1" t="s">
        <v>409</v>
      </c>
      <c r="C539" s="1" t="s">
        <v>418</v>
      </c>
      <c r="D539" s="1" t="s">
        <v>290</v>
      </c>
      <c r="E539" s="62" t="n">
        <v>1</v>
      </c>
      <c r="F539" s="26" t="n">
        <v>206.78</v>
      </c>
      <c r="G539" s="26" t="n">
        <v>206.78</v>
      </c>
      <c r="H539" s="1" t="s">
        <v>608</v>
      </c>
    </row>
    <row r="540" customFormat="false" ht="15" hidden="false" customHeight="true" outlineLevel="0" collapsed="false">
      <c r="A540" s="1" t="s">
        <v>599</v>
      </c>
      <c r="B540" s="1" t="s">
        <v>409</v>
      </c>
      <c r="C540" s="1" t="s">
        <v>418</v>
      </c>
      <c r="D540" s="1" t="s">
        <v>290</v>
      </c>
      <c r="E540" s="62" t="n">
        <v>1</v>
      </c>
      <c r="F540" s="26" t="n">
        <v>317.52</v>
      </c>
      <c r="G540" s="26" t="n">
        <v>317.52</v>
      </c>
      <c r="H540" s="1" t="s">
        <v>433</v>
      </c>
    </row>
    <row r="541" customFormat="false" ht="15" hidden="false" customHeight="true" outlineLevel="0" collapsed="false">
      <c r="A541" s="1" t="s">
        <v>599</v>
      </c>
      <c r="B541" s="1" t="s">
        <v>409</v>
      </c>
      <c r="C541" s="1" t="s">
        <v>418</v>
      </c>
      <c r="D541" s="1" t="s">
        <v>290</v>
      </c>
      <c r="E541" s="62" t="n">
        <v>49</v>
      </c>
      <c r="F541" s="26" t="n">
        <v>33.16</v>
      </c>
      <c r="G541" s="26" t="n">
        <v>1624.84</v>
      </c>
      <c r="H541" s="1" t="s">
        <v>434</v>
      </c>
    </row>
    <row r="542" customFormat="false" ht="15" hidden="false" customHeight="true" outlineLevel="0" collapsed="false">
      <c r="A542" s="1" t="s">
        <v>599</v>
      </c>
      <c r="B542" s="1" t="s">
        <v>409</v>
      </c>
      <c r="C542" s="1" t="s">
        <v>435</v>
      </c>
      <c r="D542" s="1" t="s">
        <v>290</v>
      </c>
      <c r="E542" s="62" t="n">
        <v>5</v>
      </c>
      <c r="F542" s="26" t="n">
        <v>410.699645390071</v>
      </c>
      <c r="G542" s="26" t="n">
        <v>2053.49822695035</v>
      </c>
      <c r="H542" s="1" t="s">
        <v>606</v>
      </c>
    </row>
    <row r="543" customFormat="false" ht="15" hidden="false" customHeight="true" outlineLevel="0" collapsed="false">
      <c r="A543" s="1" t="s">
        <v>599</v>
      </c>
      <c r="B543" s="1" t="s">
        <v>409</v>
      </c>
      <c r="C543" s="1" t="s">
        <v>423</v>
      </c>
      <c r="D543" s="1" t="s">
        <v>290</v>
      </c>
      <c r="E543" s="62" t="n">
        <v>2</v>
      </c>
      <c r="F543" s="26" t="n">
        <v>278.600873702422</v>
      </c>
      <c r="G543" s="26" t="n">
        <v>557.201747404844</v>
      </c>
      <c r="H543" s="1" t="s">
        <v>606</v>
      </c>
    </row>
    <row r="544" customFormat="false" ht="15" hidden="false" customHeight="true" outlineLevel="0" collapsed="false">
      <c r="A544" s="1" t="s">
        <v>599</v>
      </c>
      <c r="B544" s="1" t="s">
        <v>409</v>
      </c>
      <c r="C544" s="1" t="s">
        <v>436</v>
      </c>
      <c r="D544" s="1" t="s">
        <v>290</v>
      </c>
      <c r="E544" s="62" t="n">
        <v>0</v>
      </c>
      <c r="F544" s="26" t="n">
        <v>0</v>
      </c>
      <c r="G544" s="26" t="n">
        <v>0</v>
      </c>
      <c r="H544" s="1" t="s">
        <v>422</v>
      </c>
    </row>
    <row r="545" customFormat="false" ht="15" hidden="false" customHeight="true" outlineLevel="0" collapsed="false">
      <c r="A545" s="1" t="s">
        <v>599</v>
      </c>
      <c r="B545" s="1" t="s">
        <v>409</v>
      </c>
      <c r="C545" s="1" t="s">
        <v>437</v>
      </c>
      <c r="D545" s="1" t="s">
        <v>290</v>
      </c>
      <c r="E545" s="62" t="n">
        <v>-2</v>
      </c>
      <c r="F545" s="26" t="n">
        <v>278.600873702422</v>
      </c>
      <c r="G545" s="26" t="n">
        <v>-557.201747404844</v>
      </c>
      <c r="H545" s="1" t="s">
        <v>606</v>
      </c>
    </row>
    <row r="546" customFormat="false" ht="15" hidden="false" customHeight="true" outlineLevel="0" collapsed="false">
      <c r="A546" s="1" t="s">
        <v>599</v>
      </c>
      <c r="B546" s="1" t="s">
        <v>409</v>
      </c>
      <c r="C546" s="1" t="s">
        <v>438</v>
      </c>
      <c r="D546" s="1" t="s">
        <v>290</v>
      </c>
      <c r="E546" s="62" t="n">
        <v>-3</v>
      </c>
      <c r="F546" s="26" t="n">
        <v>278.600873702422</v>
      </c>
      <c r="G546" s="26" t="n">
        <v>-835.802621107267</v>
      </c>
      <c r="H546" s="1" t="s">
        <v>606</v>
      </c>
    </row>
    <row r="547" customFormat="false" ht="15" hidden="false" customHeight="true" outlineLevel="0" collapsed="false">
      <c r="A547" s="1" t="s">
        <v>599</v>
      </c>
      <c r="B547" s="1" t="s">
        <v>409</v>
      </c>
      <c r="C547" s="1" t="s">
        <v>439</v>
      </c>
      <c r="D547" s="1" t="s">
        <v>290</v>
      </c>
      <c r="E547" s="62" t="n">
        <v>-1</v>
      </c>
      <c r="F547" s="26" t="n">
        <v>278.600873702422</v>
      </c>
      <c r="G547" s="26" t="n">
        <v>-278.600873702422</v>
      </c>
      <c r="H547" s="1" t="s">
        <v>606</v>
      </c>
    </row>
    <row r="548" customFormat="false" ht="15" hidden="false" customHeight="true" outlineLevel="0" collapsed="false">
      <c r="A548" s="1" t="s">
        <v>599</v>
      </c>
      <c r="B548" s="1" t="s">
        <v>409</v>
      </c>
      <c r="C548" s="1" t="s">
        <v>410</v>
      </c>
      <c r="D548" s="1" t="s">
        <v>294</v>
      </c>
      <c r="E548" s="62" t="n">
        <v>266</v>
      </c>
      <c r="F548" s="26" t="n">
        <v>1.86</v>
      </c>
      <c r="G548" s="26" t="n">
        <v>494.76</v>
      </c>
      <c r="H548" s="1" t="s">
        <v>601</v>
      </c>
    </row>
    <row r="549" customFormat="false" ht="15" hidden="false" customHeight="true" outlineLevel="0" collapsed="false">
      <c r="A549" s="1" t="s">
        <v>599</v>
      </c>
      <c r="B549" s="1" t="s">
        <v>409</v>
      </c>
      <c r="C549" s="1" t="s">
        <v>412</v>
      </c>
      <c r="D549" s="1" t="s">
        <v>294</v>
      </c>
      <c r="E549" s="62" t="n">
        <v>1</v>
      </c>
      <c r="F549" s="26" t="n">
        <v>393.04</v>
      </c>
      <c r="G549" s="26" t="n">
        <v>393.04</v>
      </c>
      <c r="H549" s="1" t="s">
        <v>413</v>
      </c>
    </row>
    <row r="550" customFormat="false" ht="15" hidden="false" customHeight="true" outlineLevel="0" collapsed="false">
      <c r="A550" s="1" t="s">
        <v>599</v>
      </c>
      <c r="B550" s="1" t="s">
        <v>409</v>
      </c>
      <c r="C550" s="1" t="s">
        <v>414</v>
      </c>
      <c r="D550" s="1" t="s">
        <v>294</v>
      </c>
      <c r="E550" s="62" t="n">
        <v>1</v>
      </c>
      <c r="F550" s="26" t="n">
        <v>439.28</v>
      </c>
      <c r="G550" s="26" t="n">
        <v>439.28</v>
      </c>
      <c r="H550" s="1" t="s">
        <v>413</v>
      </c>
    </row>
    <row r="551" customFormat="false" ht="15" hidden="false" customHeight="true" outlineLevel="0" collapsed="false">
      <c r="A551" s="1" t="s">
        <v>599</v>
      </c>
      <c r="B551" s="1" t="s">
        <v>409</v>
      </c>
      <c r="C551" s="1" t="s">
        <v>416</v>
      </c>
      <c r="D551" s="1" t="s">
        <v>294</v>
      </c>
      <c r="E551" s="62" t="n">
        <v>0</v>
      </c>
      <c r="F551" s="26" t="n">
        <v>0</v>
      </c>
      <c r="G551" s="26" t="n">
        <v>0</v>
      </c>
      <c r="H551" s="1" t="s">
        <v>415</v>
      </c>
    </row>
    <row r="552" customFormat="false" ht="15" hidden="false" customHeight="true" outlineLevel="0" collapsed="false">
      <c r="A552" s="1" t="s">
        <v>599</v>
      </c>
      <c r="B552" s="1" t="s">
        <v>409</v>
      </c>
      <c r="C552" s="1" t="s">
        <v>423</v>
      </c>
      <c r="D552" s="1" t="s">
        <v>294</v>
      </c>
      <c r="E552" s="62" t="n">
        <v>3</v>
      </c>
      <c r="F552" s="26" t="n">
        <v>278.600873702422</v>
      </c>
      <c r="G552" s="26" t="n">
        <v>835.802621107267</v>
      </c>
      <c r="H552" s="1" t="s">
        <v>606</v>
      </c>
    </row>
    <row r="553" customFormat="false" ht="15" hidden="false" customHeight="true" outlineLevel="0" collapsed="false">
      <c r="A553" s="1" t="s">
        <v>599</v>
      </c>
      <c r="B553" s="1" t="s">
        <v>409</v>
      </c>
      <c r="C553" s="1" t="s">
        <v>441</v>
      </c>
      <c r="D553" s="1" t="s">
        <v>294</v>
      </c>
      <c r="E553" s="62" t="n">
        <v>-1</v>
      </c>
      <c r="F553" s="26" t="n">
        <v>7.02923076923077</v>
      </c>
      <c r="G553" s="26" t="n">
        <v>-7.02923076923077</v>
      </c>
      <c r="H553" s="1" t="s">
        <v>606</v>
      </c>
    </row>
    <row r="554" customFormat="false" ht="15" hidden="false" customHeight="true" outlineLevel="0" collapsed="false">
      <c r="A554" s="1" t="s">
        <v>599</v>
      </c>
      <c r="B554" s="1" t="s">
        <v>409</v>
      </c>
      <c r="C554" s="1" t="s">
        <v>442</v>
      </c>
      <c r="D554" s="1" t="s">
        <v>294</v>
      </c>
      <c r="E554" s="62" t="n">
        <v>0</v>
      </c>
      <c r="F554" s="26" t="n">
        <v>0</v>
      </c>
      <c r="G554" s="26" t="n">
        <v>0</v>
      </c>
    </row>
    <row r="555" customFormat="false" ht="15" hidden="false" customHeight="true" outlineLevel="0" collapsed="false">
      <c r="A555" s="1" t="s">
        <v>599</v>
      </c>
      <c r="B555" s="1" t="s">
        <v>409</v>
      </c>
      <c r="C555" s="1" t="s">
        <v>443</v>
      </c>
      <c r="D555" s="1" t="s">
        <v>294</v>
      </c>
      <c r="E555" s="62" t="n">
        <v>0</v>
      </c>
      <c r="F555" s="26" t="n">
        <v>0</v>
      </c>
      <c r="G555" s="26" t="n">
        <v>0</v>
      </c>
      <c r="H555" s="1" t="s">
        <v>422</v>
      </c>
    </row>
    <row r="556" customFormat="false" ht="15" hidden="false" customHeight="true" outlineLevel="0" collapsed="false">
      <c r="A556" s="1" t="s">
        <v>599</v>
      </c>
      <c r="B556" s="1" t="s">
        <v>409</v>
      </c>
      <c r="C556" s="1" t="s">
        <v>410</v>
      </c>
      <c r="D556" s="1" t="s">
        <v>291</v>
      </c>
      <c r="E556" s="62" t="n">
        <v>601</v>
      </c>
      <c r="F556" s="26" t="n">
        <v>1.86</v>
      </c>
      <c r="G556" s="26" t="n">
        <v>1117.86</v>
      </c>
      <c r="H556" s="1" t="s">
        <v>601</v>
      </c>
    </row>
    <row r="557" customFormat="false" ht="15" hidden="false" customHeight="true" outlineLevel="0" collapsed="false">
      <c r="A557" s="1" t="s">
        <v>599</v>
      </c>
      <c r="B557" s="1" t="s">
        <v>409</v>
      </c>
      <c r="C557" s="1" t="s">
        <v>412</v>
      </c>
      <c r="D557" s="1" t="s">
        <v>291</v>
      </c>
      <c r="E557" s="62" t="n">
        <v>3</v>
      </c>
      <c r="F557" s="26" t="n">
        <v>393.04</v>
      </c>
      <c r="G557" s="26" t="n">
        <v>1179.12</v>
      </c>
      <c r="H557" s="1" t="s">
        <v>609</v>
      </c>
    </row>
    <row r="558" customFormat="false" ht="15" hidden="false" customHeight="true" outlineLevel="0" collapsed="false">
      <c r="A558" s="1" t="s">
        <v>599</v>
      </c>
      <c r="B558" s="1" t="s">
        <v>409</v>
      </c>
      <c r="C558" s="1" t="s">
        <v>414</v>
      </c>
      <c r="D558" s="1" t="s">
        <v>291</v>
      </c>
      <c r="E558" s="62" t="n">
        <v>1</v>
      </c>
      <c r="F558" s="26" t="n">
        <v>439.28</v>
      </c>
      <c r="G558" s="26" t="n">
        <v>439.28</v>
      </c>
      <c r="H558" s="1" t="s">
        <v>610</v>
      </c>
    </row>
    <row r="559" customFormat="false" ht="15" hidden="false" customHeight="true" outlineLevel="0" collapsed="false">
      <c r="A559" s="1" t="s">
        <v>599</v>
      </c>
      <c r="B559" s="1" t="s">
        <v>409</v>
      </c>
      <c r="C559" s="1" t="s">
        <v>416</v>
      </c>
      <c r="D559" s="1" t="s">
        <v>291</v>
      </c>
      <c r="E559" s="62" t="n">
        <v>4</v>
      </c>
      <c r="F559" s="26" t="n">
        <v>407.27</v>
      </c>
      <c r="G559" s="26" t="n">
        <v>1629.08</v>
      </c>
      <c r="H559" s="1" t="s">
        <v>610</v>
      </c>
    </row>
    <row r="560" customFormat="false" ht="15" hidden="false" customHeight="true" outlineLevel="0" collapsed="false">
      <c r="A560" s="1" t="s">
        <v>599</v>
      </c>
      <c r="B560" s="1" t="s">
        <v>409</v>
      </c>
      <c r="C560" s="1" t="s">
        <v>418</v>
      </c>
      <c r="D560" s="1" t="s">
        <v>291</v>
      </c>
      <c r="E560" s="62" t="n">
        <v>1</v>
      </c>
      <c r="F560" s="26" t="n">
        <v>439.04</v>
      </c>
      <c r="G560" s="26" t="n">
        <v>439.04</v>
      </c>
      <c r="H560" s="1" t="s">
        <v>447</v>
      </c>
    </row>
    <row r="561" customFormat="false" ht="15" hidden="false" customHeight="true" outlineLevel="0" collapsed="false">
      <c r="A561" s="1" t="s">
        <v>599</v>
      </c>
      <c r="B561" s="1" t="s">
        <v>409</v>
      </c>
      <c r="C561" s="1" t="s">
        <v>418</v>
      </c>
      <c r="D561" s="1" t="s">
        <v>291</v>
      </c>
      <c r="E561" s="62" t="n">
        <v>78</v>
      </c>
      <c r="F561" s="26" t="n">
        <v>33.16</v>
      </c>
      <c r="G561" s="26" t="n">
        <v>2586.48</v>
      </c>
      <c r="H561" s="1" t="s">
        <v>448</v>
      </c>
    </row>
    <row r="562" customFormat="false" ht="15" hidden="false" customHeight="true" outlineLevel="0" collapsed="false">
      <c r="A562" s="1" t="s">
        <v>599</v>
      </c>
      <c r="B562" s="1" t="s">
        <v>409</v>
      </c>
      <c r="C562" s="1" t="s">
        <v>449</v>
      </c>
      <c r="D562" s="1" t="s">
        <v>291</v>
      </c>
      <c r="E562" s="62" t="n">
        <v>0</v>
      </c>
      <c r="F562" s="26" t="n">
        <v>0</v>
      </c>
      <c r="G562" s="26" t="n">
        <v>0</v>
      </c>
    </row>
    <row r="563" customFormat="false" ht="15" hidden="false" customHeight="true" outlineLevel="0" collapsed="false">
      <c r="A563" s="1" t="s">
        <v>599</v>
      </c>
      <c r="B563" s="1" t="s">
        <v>409</v>
      </c>
      <c r="C563" s="1" t="s">
        <v>450</v>
      </c>
      <c r="D563" s="1" t="s">
        <v>291</v>
      </c>
      <c r="E563" s="62" t="n">
        <v>1</v>
      </c>
      <c r="F563" s="26" t="n">
        <v>278.600873702422</v>
      </c>
      <c r="G563" s="26" t="n">
        <v>278.600873702422</v>
      </c>
      <c r="H563" s="1" t="s">
        <v>606</v>
      </c>
    </row>
    <row r="564" customFormat="false" ht="15" hidden="false" customHeight="true" outlineLevel="0" collapsed="false">
      <c r="A564" s="1" t="s">
        <v>599</v>
      </c>
      <c r="B564" s="1" t="s">
        <v>409</v>
      </c>
      <c r="C564" s="1" t="s">
        <v>451</v>
      </c>
      <c r="D564" s="1" t="s">
        <v>291</v>
      </c>
      <c r="E564" s="62" t="n">
        <v>0</v>
      </c>
      <c r="F564" s="26" t="n">
        <v>0</v>
      </c>
      <c r="G564" s="26" t="n">
        <v>0</v>
      </c>
    </row>
    <row r="565" customFormat="false" ht="15" hidden="false" customHeight="true" outlineLevel="0" collapsed="false">
      <c r="A565" s="1" t="s">
        <v>599</v>
      </c>
      <c r="B565" s="1" t="s">
        <v>409</v>
      </c>
      <c r="C565" s="1" t="s">
        <v>611</v>
      </c>
      <c r="D565" s="1" t="s">
        <v>291</v>
      </c>
      <c r="E565" s="62" t="n">
        <v>1</v>
      </c>
      <c r="F565" s="26" t="n">
        <v>26.326</v>
      </c>
      <c r="G565" s="26" t="n">
        <v>26.326</v>
      </c>
      <c r="H565" s="1" t="s">
        <v>422</v>
      </c>
    </row>
    <row r="566" customFormat="false" ht="15" hidden="false" customHeight="true" outlineLevel="0" collapsed="false">
      <c r="A566" s="1" t="s">
        <v>599</v>
      </c>
      <c r="B566" s="1" t="s">
        <v>409</v>
      </c>
      <c r="C566" s="1" t="s">
        <v>410</v>
      </c>
      <c r="D566" s="1" t="s">
        <v>285</v>
      </c>
      <c r="E566" s="62" t="n">
        <v>461</v>
      </c>
      <c r="F566" s="26" t="n">
        <v>1.86</v>
      </c>
      <c r="G566" s="26" t="n">
        <v>857.46</v>
      </c>
      <c r="H566" s="1" t="s">
        <v>601</v>
      </c>
    </row>
    <row r="567" customFormat="false" ht="15" hidden="false" customHeight="true" outlineLevel="0" collapsed="false">
      <c r="A567" s="1" t="s">
        <v>599</v>
      </c>
      <c r="B567" s="1" t="s">
        <v>409</v>
      </c>
      <c r="C567" s="1" t="s">
        <v>412</v>
      </c>
      <c r="D567" s="1" t="s">
        <v>285</v>
      </c>
      <c r="E567" s="62" t="n">
        <v>4</v>
      </c>
      <c r="F567" s="26" t="n">
        <v>393.04</v>
      </c>
      <c r="G567" s="26" t="n">
        <v>1572.16</v>
      </c>
      <c r="H567" s="1" t="s">
        <v>415</v>
      </c>
    </row>
    <row r="568" customFormat="false" ht="15" hidden="false" customHeight="true" outlineLevel="0" collapsed="false">
      <c r="A568" s="1" t="s">
        <v>599</v>
      </c>
      <c r="B568" s="1" t="s">
        <v>409</v>
      </c>
      <c r="C568" s="1" t="s">
        <v>414</v>
      </c>
      <c r="D568" s="1" t="s">
        <v>285</v>
      </c>
      <c r="E568" s="62" t="n">
        <v>4</v>
      </c>
      <c r="F568" s="26" t="n">
        <v>439.28</v>
      </c>
      <c r="G568" s="26" t="n">
        <v>1757.12</v>
      </c>
      <c r="H568" s="1" t="s">
        <v>612</v>
      </c>
    </row>
    <row r="569" customFormat="false" ht="15" hidden="false" customHeight="true" outlineLevel="0" collapsed="false">
      <c r="A569" s="1" t="s">
        <v>599</v>
      </c>
      <c r="B569" s="1" t="s">
        <v>409</v>
      </c>
      <c r="C569" s="1" t="s">
        <v>416</v>
      </c>
      <c r="D569" s="1" t="s">
        <v>285</v>
      </c>
      <c r="E569" s="62" t="n">
        <v>6</v>
      </c>
      <c r="F569" s="26" t="n">
        <v>407.27</v>
      </c>
      <c r="G569" s="26" t="n">
        <v>2443.62</v>
      </c>
      <c r="H569" s="1" t="s">
        <v>612</v>
      </c>
    </row>
    <row r="570" customFormat="false" ht="15" hidden="false" customHeight="true" outlineLevel="0" collapsed="false">
      <c r="A570" s="1" t="s">
        <v>599</v>
      </c>
      <c r="B570" s="1" t="s">
        <v>409</v>
      </c>
      <c r="C570" s="1" t="s">
        <v>456</v>
      </c>
      <c r="D570" s="1" t="s">
        <v>285</v>
      </c>
      <c r="E570" s="62" t="n">
        <v>1</v>
      </c>
      <c r="F570" s="26" t="n">
        <v>738.92</v>
      </c>
      <c r="G570" s="26" t="n">
        <v>738.92</v>
      </c>
      <c r="H570" s="1" t="s">
        <v>457</v>
      </c>
    </row>
    <row r="571" customFormat="false" ht="15" hidden="false" customHeight="true" outlineLevel="0" collapsed="false">
      <c r="A571" s="1" t="s">
        <v>599</v>
      </c>
      <c r="B571" s="1" t="s">
        <v>409</v>
      </c>
      <c r="C571" s="1" t="s">
        <v>456</v>
      </c>
      <c r="D571" s="1" t="s">
        <v>285</v>
      </c>
      <c r="E571" s="62" t="n">
        <v>25</v>
      </c>
      <c r="F571" s="26" t="n">
        <v>19.53</v>
      </c>
      <c r="G571" s="26" t="n">
        <v>488.25</v>
      </c>
      <c r="H571" s="1" t="s">
        <v>434</v>
      </c>
    </row>
    <row r="572" customFormat="false" ht="15" hidden="false" customHeight="true" outlineLevel="0" collapsed="false">
      <c r="A572" s="1" t="s">
        <v>599</v>
      </c>
      <c r="B572" s="1" t="s">
        <v>409</v>
      </c>
      <c r="C572" s="1" t="s">
        <v>423</v>
      </c>
      <c r="D572" s="1" t="s">
        <v>285</v>
      </c>
      <c r="E572" s="62" t="n">
        <v>21</v>
      </c>
      <c r="F572" s="26" t="n">
        <v>278.600873702422</v>
      </c>
      <c r="G572" s="26" t="n">
        <v>5850.61834775087</v>
      </c>
      <c r="H572" s="1" t="s">
        <v>606</v>
      </c>
    </row>
    <row r="573" customFormat="false" ht="15" hidden="false" customHeight="true" outlineLevel="0" collapsed="false">
      <c r="A573" s="1" t="s">
        <v>599</v>
      </c>
      <c r="B573" s="1" t="s">
        <v>409</v>
      </c>
      <c r="C573" s="1" t="s">
        <v>458</v>
      </c>
      <c r="D573" s="1" t="s">
        <v>285</v>
      </c>
      <c r="E573" s="62" t="n">
        <v>0</v>
      </c>
      <c r="F573" s="26" t="n">
        <v>0</v>
      </c>
      <c r="G573" s="26" t="n">
        <v>0</v>
      </c>
      <c r="H573" s="1" t="s">
        <v>422</v>
      </c>
    </row>
    <row r="574" customFormat="false" ht="15" hidden="false" customHeight="true" outlineLevel="0" collapsed="false">
      <c r="A574" s="1" t="s">
        <v>599</v>
      </c>
      <c r="B574" s="1" t="s">
        <v>409</v>
      </c>
      <c r="C574" s="1" t="s">
        <v>459</v>
      </c>
      <c r="D574" s="1" t="s">
        <v>285</v>
      </c>
      <c r="E574" s="62" t="n">
        <v>0</v>
      </c>
      <c r="F574" s="26" t="n">
        <v>0</v>
      </c>
      <c r="G574" s="26" t="n">
        <v>0</v>
      </c>
      <c r="H574" s="1" t="s">
        <v>422</v>
      </c>
    </row>
    <row r="575" customFormat="false" ht="15" hidden="false" customHeight="true" outlineLevel="0" collapsed="false">
      <c r="A575" s="1" t="s">
        <v>599</v>
      </c>
      <c r="B575" s="1" t="s">
        <v>409</v>
      </c>
      <c r="C575" s="1" t="s">
        <v>460</v>
      </c>
      <c r="D575" s="1" t="s">
        <v>285</v>
      </c>
      <c r="E575" s="62" t="n">
        <v>0</v>
      </c>
      <c r="F575" s="26" t="n">
        <v>0</v>
      </c>
      <c r="G575" s="26" t="n">
        <v>0</v>
      </c>
      <c r="H575" s="1" t="s">
        <v>422</v>
      </c>
    </row>
    <row r="576" customFormat="false" ht="15" hidden="false" customHeight="true" outlineLevel="0" collapsed="false">
      <c r="A576" s="1" t="s">
        <v>599</v>
      </c>
      <c r="B576" s="1" t="s">
        <v>409</v>
      </c>
      <c r="C576" s="1" t="s">
        <v>410</v>
      </c>
      <c r="D576" s="1" t="s">
        <v>286</v>
      </c>
      <c r="E576" s="62" t="n">
        <v>112</v>
      </c>
      <c r="F576" s="26" t="n">
        <v>1.86</v>
      </c>
      <c r="G576" s="26" t="n">
        <v>208.32</v>
      </c>
      <c r="H576" s="1" t="s">
        <v>601</v>
      </c>
    </row>
    <row r="577" customFormat="false" ht="15" hidden="false" customHeight="true" outlineLevel="0" collapsed="false">
      <c r="A577" s="1" t="s">
        <v>599</v>
      </c>
      <c r="B577" s="1" t="s">
        <v>409</v>
      </c>
      <c r="C577" s="1" t="s">
        <v>412</v>
      </c>
      <c r="D577" s="1" t="s">
        <v>286</v>
      </c>
      <c r="E577" s="62" t="n">
        <v>1</v>
      </c>
      <c r="F577" s="26" t="n">
        <v>393.04</v>
      </c>
      <c r="G577" s="26" t="n">
        <v>393.04</v>
      </c>
      <c r="H577" s="1" t="s">
        <v>415</v>
      </c>
    </row>
    <row r="578" customFormat="false" ht="15" hidden="false" customHeight="true" outlineLevel="0" collapsed="false">
      <c r="A578" s="1" t="s">
        <v>599</v>
      </c>
      <c r="B578" s="1" t="s">
        <v>409</v>
      </c>
      <c r="C578" s="1" t="s">
        <v>414</v>
      </c>
      <c r="D578" s="1" t="s">
        <v>286</v>
      </c>
      <c r="E578" s="62" t="n">
        <v>0</v>
      </c>
      <c r="F578" s="26" t="n">
        <v>0</v>
      </c>
      <c r="G578" s="26" t="n">
        <v>0</v>
      </c>
      <c r="H578" s="1" t="s">
        <v>462</v>
      </c>
    </row>
    <row r="579" customFormat="false" ht="15" hidden="false" customHeight="true" outlineLevel="0" collapsed="false">
      <c r="A579" s="1" t="s">
        <v>599</v>
      </c>
      <c r="B579" s="1" t="s">
        <v>409</v>
      </c>
      <c r="C579" s="1" t="s">
        <v>416</v>
      </c>
      <c r="D579" s="1" t="s">
        <v>286</v>
      </c>
      <c r="E579" s="62" t="n">
        <v>0</v>
      </c>
      <c r="F579" s="26" t="n">
        <v>0</v>
      </c>
      <c r="G579" s="26" t="n">
        <v>0</v>
      </c>
      <c r="H579" s="1" t="s">
        <v>413</v>
      </c>
    </row>
    <row r="580" customFormat="false" ht="15" hidden="false" customHeight="true" outlineLevel="0" collapsed="false">
      <c r="A580" s="1" t="s">
        <v>599</v>
      </c>
      <c r="B580" s="1" t="s">
        <v>409</v>
      </c>
      <c r="C580" s="1" t="s">
        <v>456</v>
      </c>
      <c r="D580" s="1" t="s">
        <v>286</v>
      </c>
      <c r="E580" s="62" t="n">
        <v>1</v>
      </c>
      <c r="F580" s="26" t="n">
        <v>607.6</v>
      </c>
      <c r="G580" s="26" t="n">
        <v>607.6</v>
      </c>
      <c r="H580" s="1" t="s">
        <v>463</v>
      </c>
    </row>
    <row r="581" customFormat="false" ht="15" hidden="false" customHeight="true" outlineLevel="0" collapsed="false">
      <c r="A581" s="1" t="s">
        <v>599</v>
      </c>
      <c r="B581" s="1" t="s">
        <v>409</v>
      </c>
      <c r="C581" s="1" t="s">
        <v>456</v>
      </c>
      <c r="D581" s="1" t="s">
        <v>286</v>
      </c>
      <c r="E581" s="62" t="n">
        <v>42</v>
      </c>
      <c r="F581" s="26" t="n">
        <v>19.53</v>
      </c>
      <c r="G581" s="26" t="n">
        <v>820.26</v>
      </c>
      <c r="H581" s="1" t="s">
        <v>434</v>
      </c>
    </row>
    <row r="582" customFormat="false" ht="15" hidden="false" customHeight="true" outlineLevel="0" collapsed="false">
      <c r="A582" s="1" t="s">
        <v>599</v>
      </c>
      <c r="B582" s="1" t="s">
        <v>409</v>
      </c>
      <c r="C582" s="1" t="s">
        <v>423</v>
      </c>
      <c r="D582" s="1" t="s">
        <v>286</v>
      </c>
      <c r="E582" s="62" t="n">
        <v>2</v>
      </c>
      <c r="F582" s="26" t="n">
        <v>278.600873702422</v>
      </c>
      <c r="G582" s="26" t="n">
        <v>557.201747404844</v>
      </c>
      <c r="H582" s="1" t="s">
        <v>606</v>
      </c>
    </row>
    <row r="583" customFormat="false" ht="15" hidden="false" customHeight="true" outlineLevel="0" collapsed="false">
      <c r="A583" s="1" t="s">
        <v>599</v>
      </c>
      <c r="B583" s="1" t="s">
        <v>409</v>
      </c>
      <c r="C583" s="1" t="s">
        <v>464</v>
      </c>
      <c r="D583" s="1" t="s">
        <v>286</v>
      </c>
      <c r="E583" s="62" t="n">
        <v>-1</v>
      </c>
      <c r="F583" s="26" t="n">
        <v>370.462380952381</v>
      </c>
      <c r="G583" s="26" t="n">
        <v>-370.462380952381</v>
      </c>
      <c r="H583" s="1" t="s">
        <v>606</v>
      </c>
    </row>
    <row r="584" customFormat="false" ht="15" hidden="false" customHeight="true" outlineLevel="0" collapsed="false">
      <c r="A584" s="1" t="s">
        <v>599</v>
      </c>
      <c r="B584" s="1" t="s">
        <v>409</v>
      </c>
      <c r="C584" s="1" t="s">
        <v>427</v>
      </c>
      <c r="D584" s="1" t="s">
        <v>283</v>
      </c>
      <c r="E584" s="62" t="n">
        <v>1</v>
      </c>
      <c r="F584" s="26" t="n">
        <v>25.5</v>
      </c>
      <c r="G584" s="26" t="n">
        <v>25.5</v>
      </c>
      <c r="H584" s="1" t="s">
        <v>551</v>
      </c>
    </row>
    <row r="585" customFormat="false" ht="15" hidden="false" customHeight="true" outlineLevel="0" collapsed="false">
      <c r="A585" s="1" t="s">
        <v>599</v>
      </c>
      <c r="B585" s="1" t="s">
        <v>409</v>
      </c>
      <c r="C585" s="1" t="s">
        <v>410</v>
      </c>
      <c r="D585" s="1" t="s">
        <v>283</v>
      </c>
      <c r="E585" s="62" t="n">
        <v>0</v>
      </c>
      <c r="F585" s="26" t="n">
        <v>0</v>
      </c>
      <c r="G585" s="26" t="n">
        <v>0</v>
      </c>
      <c r="H585" s="1" t="s">
        <v>411</v>
      </c>
    </row>
    <row r="586" customFormat="false" ht="15" hidden="false" customHeight="true" outlineLevel="0" collapsed="false">
      <c r="A586" s="1" t="s">
        <v>599</v>
      </c>
      <c r="B586" s="1" t="s">
        <v>409</v>
      </c>
      <c r="C586" s="1" t="s">
        <v>410</v>
      </c>
      <c r="D586" s="1" t="s">
        <v>283</v>
      </c>
      <c r="E586" s="62" t="n">
        <v>261</v>
      </c>
      <c r="F586" s="26" t="n">
        <v>1.86</v>
      </c>
      <c r="G586" s="26" t="n">
        <v>485.46</v>
      </c>
      <c r="H586" s="1" t="s">
        <v>601</v>
      </c>
    </row>
    <row r="587" customFormat="false" ht="15" hidden="false" customHeight="true" outlineLevel="0" collapsed="false">
      <c r="A587" s="1" t="s">
        <v>599</v>
      </c>
      <c r="B587" s="1" t="s">
        <v>409</v>
      </c>
      <c r="C587" s="1" t="s">
        <v>412</v>
      </c>
      <c r="D587" s="1" t="s">
        <v>283</v>
      </c>
      <c r="E587" s="62" t="n">
        <v>3</v>
      </c>
      <c r="F587" s="26" t="n">
        <v>393.04</v>
      </c>
      <c r="G587" s="26" t="n">
        <v>1179.12</v>
      </c>
      <c r="H587" s="1" t="s">
        <v>462</v>
      </c>
    </row>
    <row r="588" customFormat="false" ht="15" hidden="false" customHeight="true" outlineLevel="0" collapsed="false">
      <c r="A588" s="1" t="s">
        <v>599</v>
      </c>
      <c r="B588" s="1" t="s">
        <v>409</v>
      </c>
      <c r="C588" s="1" t="s">
        <v>414</v>
      </c>
      <c r="D588" s="1" t="s">
        <v>283</v>
      </c>
      <c r="E588" s="62" t="n">
        <v>2</v>
      </c>
      <c r="F588" s="26" t="n">
        <v>439.28</v>
      </c>
      <c r="G588" s="26" t="n">
        <v>878.56</v>
      </c>
      <c r="H588" s="1" t="s">
        <v>413</v>
      </c>
    </row>
    <row r="589" customFormat="false" ht="15" hidden="false" customHeight="true" outlineLevel="0" collapsed="false">
      <c r="A589" s="1" t="s">
        <v>599</v>
      </c>
      <c r="B589" s="1" t="s">
        <v>409</v>
      </c>
      <c r="C589" s="1" t="s">
        <v>416</v>
      </c>
      <c r="D589" s="1" t="s">
        <v>283</v>
      </c>
      <c r="E589" s="62" t="n">
        <v>3</v>
      </c>
      <c r="F589" s="26" t="n">
        <v>407.27</v>
      </c>
      <c r="G589" s="26" t="n">
        <v>1221.81</v>
      </c>
      <c r="H589" s="1" t="s">
        <v>462</v>
      </c>
    </row>
    <row r="590" customFormat="false" ht="15" hidden="false" customHeight="true" outlineLevel="0" collapsed="false">
      <c r="A590" s="1" t="s">
        <v>599</v>
      </c>
      <c r="B590" s="1" t="s">
        <v>409</v>
      </c>
      <c r="C590" s="1" t="s">
        <v>423</v>
      </c>
      <c r="D590" s="1" t="s">
        <v>283</v>
      </c>
      <c r="E590" s="62" t="n">
        <v>4</v>
      </c>
      <c r="F590" s="26" t="n">
        <v>278.600873702422</v>
      </c>
      <c r="G590" s="26" t="n">
        <v>1114.40349480969</v>
      </c>
      <c r="H590" s="1" t="s">
        <v>606</v>
      </c>
    </row>
    <row r="591" customFormat="false" ht="15" hidden="false" customHeight="true" outlineLevel="0" collapsed="false">
      <c r="A591" s="1" t="s">
        <v>599</v>
      </c>
      <c r="B591" s="1" t="s">
        <v>409</v>
      </c>
      <c r="C591" s="1" t="s">
        <v>468</v>
      </c>
      <c r="D591" s="1" t="s">
        <v>283</v>
      </c>
      <c r="E591" s="62" t="n">
        <v>0</v>
      </c>
      <c r="F591" s="26" t="n">
        <v>0</v>
      </c>
      <c r="G591" s="26" t="n">
        <v>0</v>
      </c>
    </row>
    <row r="592" customFormat="false" ht="15" hidden="false" customHeight="true" outlineLevel="0" collapsed="false">
      <c r="A592" s="1" t="s">
        <v>599</v>
      </c>
      <c r="B592" s="1" t="s">
        <v>409</v>
      </c>
      <c r="C592" s="1" t="s">
        <v>469</v>
      </c>
      <c r="D592" s="1" t="s">
        <v>283</v>
      </c>
      <c r="E592" s="62" t="n">
        <v>-12</v>
      </c>
      <c r="F592" s="26" t="n">
        <v>26.326</v>
      </c>
      <c r="G592" s="26" t="n">
        <v>-315.912</v>
      </c>
      <c r="H592" s="1" t="s">
        <v>606</v>
      </c>
    </row>
    <row r="593" customFormat="false" ht="15" hidden="false" customHeight="true" outlineLevel="0" collapsed="false">
      <c r="A593" s="1" t="s">
        <v>599</v>
      </c>
      <c r="B593" s="1" t="s">
        <v>409</v>
      </c>
      <c r="C593" s="1" t="s">
        <v>613</v>
      </c>
      <c r="D593" s="1" t="s">
        <v>283</v>
      </c>
      <c r="E593" s="62" t="n">
        <v>-1</v>
      </c>
      <c r="F593" s="26" t="n">
        <v>26.326</v>
      </c>
      <c r="G593" s="26" t="n">
        <v>-26.326</v>
      </c>
      <c r="H593" s="1" t="s">
        <v>422</v>
      </c>
    </row>
    <row r="594" customFormat="false" ht="15" hidden="false" customHeight="true" outlineLevel="0" collapsed="false">
      <c r="A594" s="1" t="s">
        <v>599</v>
      </c>
      <c r="B594" s="1" t="s">
        <v>409</v>
      </c>
      <c r="C594" s="1" t="s">
        <v>471</v>
      </c>
      <c r="D594" s="1" t="s">
        <v>283</v>
      </c>
      <c r="E594" s="62" t="n">
        <v>0</v>
      </c>
      <c r="F594" s="26" t="n">
        <v>0</v>
      </c>
      <c r="G594" s="26" t="n">
        <v>0</v>
      </c>
    </row>
    <row r="595" customFormat="false" ht="15" hidden="false" customHeight="true" outlineLevel="0" collapsed="false">
      <c r="A595" s="1" t="s">
        <v>599</v>
      </c>
      <c r="B595" s="1" t="s">
        <v>143</v>
      </c>
      <c r="C595" s="1" t="s">
        <v>472</v>
      </c>
      <c r="D595" s="1" t="s">
        <v>288</v>
      </c>
      <c r="E595" s="62" t="n">
        <v>6445</v>
      </c>
      <c r="F595" s="26" t="n">
        <v>0.253754640366083</v>
      </c>
      <c r="G595" s="26" t="n">
        <v>1635.4486571594</v>
      </c>
      <c r="H595" s="1" t="s">
        <v>395</v>
      </c>
    </row>
    <row r="596" customFormat="false" ht="15" hidden="false" customHeight="true" outlineLevel="0" collapsed="false">
      <c r="A596" s="1" t="s">
        <v>599</v>
      </c>
      <c r="B596" s="1" t="s">
        <v>143</v>
      </c>
      <c r="C596" s="1" t="s">
        <v>472</v>
      </c>
      <c r="D596" s="1" t="s">
        <v>290</v>
      </c>
      <c r="E596" s="62" t="n">
        <v>13418</v>
      </c>
      <c r="F596" s="26" t="n">
        <v>0.253754640366083</v>
      </c>
      <c r="G596" s="26" t="n">
        <v>3404.8797644321</v>
      </c>
      <c r="H596" s="1" t="s">
        <v>395</v>
      </c>
    </row>
    <row r="597" customFormat="false" ht="15" hidden="false" customHeight="true" outlineLevel="0" collapsed="false">
      <c r="A597" s="1" t="s">
        <v>599</v>
      </c>
      <c r="B597" s="1" t="s">
        <v>143</v>
      </c>
      <c r="C597" s="1" t="s">
        <v>472</v>
      </c>
      <c r="D597" s="1" t="s">
        <v>294</v>
      </c>
      <c r="E597" s="62" t="n">
        <v>3704</v>
      </c>
      <c r="F597" s="26" t="n">
        <v>0.253754640366083</v>
      </c>
      <c r="G597" s="26" t="n">
        <v>939.90718791597</v>
      </c>
      <c r="H597" s="1" t="s">
        <v>395</v>
      </c>
    </row>
    <row r="598" customFormat="false" ht="15" hidden="false" customHeight="true" outlineLevel="0" collapsed="false">
      <c r="A598" s="1" t="s">
        <v>599</v>
      </c>
      <c r="B598" s="1" t="s">
        <v>143</v>
      </c>
      <c r="C598" s="1" t="s">
        <v>472</v>
      </c>
      <c r="D598" s="1" t="s">
        <v>291</v>
      </c>
      <c r="E598" s="62" t="n">
        <v>6434</v>
      </c>
      <c r="F598" s="26" t="n">
        <v>0.253754640366083</v>
      </c>
      <c r="G598" s="26" t="n">
        <v>1632.65735611538</v>
      </c>
      <c r="H598" s="1" t="s">
        <v>395</v>
      </c>
    </row>
    <row r="599" customFormat="false" ht="15" hidden="false" customHeight="true" outlineLevel="0" collapsed="false">
      <c r="A599" s="1" t="s">
        <v>599</v>
      </c>
      <c r="B599" s="1" t="s">
        <v>143</v>
      </c>
      <c r="C599" s="1" t="s">
        <v>472</v>
      </c>
      <c r="D599" s="1" t="s">
        <v>285</v>
      </c>
      <c r="E599" s="62" t="n">
        <v>14441</v>
      </c>
      <c r="F599" s="26" t="n">
        <v>0.253754640366083</v>
      </c>
      <c r="G599" s="26" t="n">
        <v>3664.4707615266</v>
      </c>
      <c r="H599" s="1" t="s">
        <v>395</v>
      </c>
    </row>
    <row r="600" customFormat="false" ht="15" hidden="false" customHeight="true" outlineLevel="0" collapsed="false">
      <c r="A600" s="1" t="s">
        <v>599</v>
      </c>
      <c r="B600" s="1" t="s">
        <v>143</v>
      </c>
      <c r="C600" s="1" t="s">
        <v>472</v>
      </c>
      <c r="D600" s="1" t="s">
        <v>286</v>
      </c>
      <c r="E600" s="62" t="n">
        <v>4749</v>
      </c>
      <c r="F600" s="26" t="n">
        <v>0.253754640366083</v>
      </c>
      <c r="G600" s="26" t="n">
        <v>1205.08078709853</v>
      </c>
      <c r="H600" s="1" t="s">
        <v>395</v>
      </c>
    </row>
    <row r="601" customFormat="false" ht="15" hidden="false" customHeight="true" outlineLevel="0" collapsed="false">
      <c r="A601" s="1" t="s">
        <v>599</v>
      </c>
      <c r="B601" s="1" t="s">
        <v>143</v>
      </c>
      <c r="C601" s="1" t="s">
        <v>472</v>
      </c>
      <c r="D601" s="1" t="s">
        <v>283</v>
      </c>
      <c r="E601" s="62" t="n">
        <v>4795</v>
      </c>
      <c r="F601" s="26" t="n">
        <v>0.253754640366083</v>
      </c>
      <c r="G601" s="26" t="n">
        <v>1216.75350055537</v>
      </c>
      <c r="H601" s="1" t="s">
        <v>395</v>
      </c>
    </row>
    <row r="602" customFormat="false" ht="15" hidden="false" customHeight="true" outlineLevel="0" collapsed="false">
      <c r="A602" s="1" t="s">
        <v>599</v>
      </c>
      <c r="B602" s="1" t="s">
        <v>141</v>
      </c>
      <c r="C602" s="1" t="s">
        <v>473</v>
      </c>
      <c r="D602" s="1" t="s">
        <v>290</v>
      </c>
      <c r="E602" s="62" t="n">
        <v>13418</v>
      </c>
      <c r="F602" s="26" t="n">
        <v>0.105895207936646</v>
      </c>
      <c r="G602" s="26" t="n">
        <v>1420.9019</v>
      </c>
      <c r="H602" s="1" t="s">
        <v>395</v>
      </c>
    </row>
    <row r="603" customFormat="false" ht="15" hidden="false" customHeight="true" outlineLevel="0" collapsed="false">
      <c r="A603" s="1" t="s">
        <v>599</v>
      </c>
      <c r="B603" s="1" t="s">
        <v>45</v>
      </c>
      <c r="C603" s="1" t="s">
        <v>474</v>
      </c>
      <c r="D603" s="1" t="s">
        <v>288</v>
      </c>
      <c r="E603" s="62" t="n">
        <v>1</v>
      </c>
      <c r="F603" s="26" t="n">
        <v>9145.68</v>
      </c>
      <c r="G603" s="26" t="n">
        <v>9145.68</v>
      </c>
      <c r="H603" s="1" t="s">
        <v>475</v>
      </c>
    </row>
    <row r="604" customFormat="false" ht="15" hidden="false" customHeight="true" outlineLevel="0" collapsed="false">
      <c r="A604" s="1" t="s">
        <v>599</v>
      </c>
      <c r="B604" s="1" t="s">
        <v>45</v>
      </c>
      <c r="C604" s="1" t="s">
        <v>474</v>
      </c>
      <c r="D604" s="1" t="s">
        <v>294</v>
      </c>
      <c r="E604" s="62" t="n">
        <v>1</v>
      </c>
      <c r="F604" s="26" t="n">
        <v>3372.11</v>
      </c>
      <c r="G604" s="26" t="n">
        <v>3372.11</v>
      </c>
      <c r="H604" s="1" t="s">
        <v>475</v>
      </c>
    </row>
    <row r="605" customFormat="false" ht="15" hidden="false" customHeight="true" outlineLevel="0" collapsed="false">
      <c r="A605" s="1" t="s">
        <v>599</v>
      </c>
      <c r="B605" s="1" t="s">
        <v>45</v>
      </c>
      <c r="C605" s="1" t="s">
        <v>474</v>
      </c>
      <c r="D605" s="1" t="s">
        <v>286</v>
      </c>
      <c r="E605" s="62" t="n">
        <v>1</v>
      </c>
      <c r="F605" s="26" t="n">
        <v>15695.77</v>
      </c>
      <c r="G605" s="26" t="n">
        <v>15695.77</v>
      </c>
      <c r="H605" s="1" t="s">
        <v>475</v>
      </c>
    </row>
    <row r="606" customFormat="false" ht="15" hidden="false" customHeight="true" outlineLevel="0" collapsed="false">
      <c r="A606" s="1" t="s">
        <v>599</v>
      </c>
      <c r="B606" s="1" t="s">
        <v>45</v>
      </c>
      <c r="C606" s="1" t="s">
        <v>476</v>
      </c>
      <c r="D606" s="1" t="s">
        <v>283</v>
      </c>
      <c r="E606" s="62" t="n">
        <v>0</v>
      </c>
      <c r="F606" s="26" t="n">
        <v>0</v>
      </c>
      <c r="G606" s="26" t="n">
        <v>0</v>
      </c>
      <c r="H606" s="1" t="s">
        <v>477</v>
      </c>
    </row>
    <row r="607" customFormat="false" ht="15" hidden="false" customHeight="true" outlineLevel="0" collapsed="false">
      <c r="A607" s="1" t="s">
        <v>599</v>
      </c>
      <c r="B607" s="1" t="s">
        <v>50</v>
      </c>
      <c r="C607" s="1" t="s">
        <v>478</v>
      </c>
      <c r="D607" s="1" t="s">
        <v>288</v>
      </c>
      <c r="E607" s="62" t="n">
        <v>0</v>
      </c>
      <c r="F607" s="26" t="n">
        <v>0</v>
      </c>
      <c r="G607" s="26" t="n">
        <v>0</v>
      </c>
      <c r="H607" s="1" t="s">
        <v>479</v>
      </c>
    </row>
    <row r="608" customFormat="false" ht="15" hidden="false" customHeight="true" outlineLevel="0" collapsed="false">
      <c r="A608" s="1" t="s">
        <v>599</v>
      </c>
      <c r="B608" s="1" t="s">
        <v>50</v>
      </c>
      <c r="C608" s="1" t="s">
        <v>478</v>
      </c>
      <c r="D608" s="1" t="s">
        <v>294</v>
      </c>
      <c r="E608" s="62" t="n">
        <v>0</v>
      </c>
      <c r="F608" s="26" t="n">
        <v>0</v>
      </c>
      <c r="G608" s="26" t="n">
        <v>0</v>
      </c>
      <c r="H608" s="1" t="s">
        <v>479</v>
      </c>
    </row>
    <row r="609" customFormat="false" ht="15" hidden="false" customHeight="true" outlineLevel="0" collapsed="false">
      <c r="A609" s="1" t="s">
        <v>599</v>
      </c>
      <c r="B609" s="1" t="s">
        <v>50</v>
      </c>
      <c r="C609" s="1" t="s">
        <v>478</v>
      </c>
      <c r="D609" s="1" t="s">
        <v>291</v>
      </c>
      <c r="E609" s="62" t="n">
        <v>0</v>
      </c>
      <c r="F609" s="26" t="n">
        <v>0</v>
      </c>
      <c r="G609" s="26" t="n">
        <v>0</v>
      </c>
      <c r="H609" s="1" t="s">
        <v>480</v>
      </c>
    </row>
    <row r="610" customFormat="false" ht="15" hidden="false" customHeight="true" outlineLevel="0" collapsed="false">
      <c r="A610" s="1" t="s">
        <v>599</v>
      </c>
      <c r="B610" s="1" t="s">
        <v>50</v>
      </c>
      <c r="C610" s="1" t="s">
        <v>478</v>
      </c>
      <c r="D610" s="1" t="s">
        <v>291</v>
      </c>
      <c r="E610" s="62" t="n">
        <v>0</v>
      </c>
      <c r="F610" s="26" t="n">
        <v>0</v>
      </c>
      <c r="G610" s="26" t="n">
        <v>0</v>
      </c>
      <c r="H610" s="1" t="s">
        <v>479</v>
      </c>
    </row>
    <row r="611" customFormat="false" ht="15" hidden="false" customHeight="true" outlineLevel="0" collapsed="false">
      <c r="A611" s="1" t="s">
        <v>599</v>
      </c>
      <c r="B611" s="1" t="s">
        <v>50</v>
      </c>
      <c r="C611" s="1" t="s">
        <v>478</v>
      </c>
      <c r="D611" s="1" t="s">
        <v>285</v>
      </c>
      <c r="E611" s="62" t="n">
        <v>0</v>
      </c>
      <c r="F611" s="26" t="n">
        <v>0</v>
      </c>
      <c r="G611" s="26" t="n">
        <v>0</v>
      </c>
      <c r="H611" s="1" t="s">
        <v>481</v>
      </c>
    </row>
    <row r="612" customFormat="false" ht="15" hidden="false" customHeight="true" outlineLevel="0" collapsed="false">
      <c r="A612" s="1" t="s">
        <v>599</v>
      </c>
      <c r="B612" s="1" t="s">
        <v>50</v>
      </c>
      <c r="C612" s="1" t="s">
        <v>478</v>
      </c>
      <c r="D612" s="1" t="s">
        <v>285</v>
      </c>
      <c r="E612" s="62" t="n">
        <v>0</v>
      </c>
      <c r="F612" s="26" t="n">
        <v>0</v>
      </c>
      <c r="G612" s="26" t="n">
        <v>0</v>
      </c>
      <c r="H612" s="1" t="s">
        <v>479</v>
      </c>
    </row>
    <row r="613" customFormat="false" ht="15" hidden="false" customHeight="true" outlineLevel="0" collapsed="false">
      <c r="A613" s="1" t="s">
        <v>599</v>
      </c>
      <c r="B613" s="1" t="s">
        <v>50</v>
      </c>
      <c r="C613" s="1" t="s">
        <v>478</v>
      </c>
      <c r="D613" s="1" t="s">
        <v>286</v>
      </c>
      <c r="E613" s="62" t="n">
        <v>0</v>
      </c>
      <c r="F613" s="26" t="n">
        <v>0</v>
      </c>
      <c r="G613" s="26" t="n">
        <v>0</v>
      </c>
      <c r="H613" s="1" t="s">
        <v>479</v>
      </c>
    </row>
    <row r="614" customFormat="false" ht="15" hidden="false" customHeight="true" outlineLevel="0" collapsed="false">
      <c r="A614" s="1" t="s">
        <v>599</v>
      </c>
      <c r="B614" s="1" t="s">
        <v>50</v>
      </c>
      <c r="C614" s="1" t="s">
        <v>478</v>
      </c>
      <c r="D614" s="1" t="s">
        <v>283</v>
      </c>
      <c r="E614" s="62" t="n">
        <v>0</v>
      </c>
      <c r="F614" s="26" t="n">
        <v>0</v>
      </c>
      <c r="G614" s="26" t="n">
        <v>0</v>
      </c>
      <c r="H614" s="1" t="s">
        <v>479</v>
      </c>
    </row>
    <row r="615" customFormat="false" ht="15" hidden="false" customHeight="true" outlineLevel="0" collapsed="false">
      <c r="A615" s="1" t="s">
        <v>599</v>
      </c>
      <c r="B615" s="1" t="s">
        <v>482</v>
      </c>
      <c r="C615" s="1" t="s">
        <v>483</v>
      </c>
      <c r="D615" s="1" t="s">
        <v>288</v>
      </c>
      <c r="E615" s="62" t="n">
        <v>0</v>
      </c>
      <c r="F615" s="26" t="n">
        <v>0</v>
      </c>
      <c r="G615" s="26" t="n">
        <v>0</v>
      </c>
      <c r="H615" s="1" t="s">
        <v>484</v>
      </c>
    </row>
    <row r="616" customFormat="false" ht="15" hidden="false" customHeight="true" outlineLevel="0" collapsed="false">
      <c r="A616" s="1" t="s">
        <v>599</v>
      </c>
      <c r="B616" s="1" t="s">
        <v>482</v>
      </c>
      <c r="C616" s="1" t="s">
        <v>485</v>
      </c>
      <c r="D616" s="1" t="s">
        <v>288</v>
      </c>
      <c r="E616" s="62" t="n">
        <v>0</v>
      </c>
      <c r="F616" s="26" t="n">
        <v>0</v>
      </c>
      <c r="G616" s="26" t="n">
        <v>0</v>
      </c>
      <c r="H616" s="1" t="s">
        <v>486</v>
      </c>
    </row>
    <row r="617" customFormat="false" ht="15" hidden="false" customHeight="true" outlineLevel="0" collapsed="false">
      <c r="A617" s="1" t="s">
        <v>599</v>
      </c>
      <c r="B617" s="1" t="s">
        <v>482</v>
      </c>
      <c r="C617" s="1" t="s">
        <v>614</v>
      </c>
      <c r="D617" s="1" t="s">
        <v>288</v>
      </c>
      <c r="E617" s="62" t="n">
        <v>1</v>
      </c>
      <c r="F617" s="26" t="n">
        <v>96</v>
      </c>
      <c r="G617" s="26" t="n">
        <v>96</v>
      </c>
      <c r="H617" s="1" t="s">
        <v>615</v>
      </c>
    </row>
    <row r="618" customFormat="false" ht="15" hidden="false" customHeight="true" outlineLevel="0" collapsed="false">
      <c r="A618" s="1" t="s">
        <v>599</v>
      </c>
      <c r="B618" s="1" t="s">
        <v>482</v>
      </c>
      <c r="C618" s="1" t="s">
        <v>487</v>
      </c>
      <c r="D618" s="1" t="s">
        <v>288</v>
      </c>
      <c r="E618" s="62" t="n">
        <v>10</v>
      </c>
      <c r="F618" s="26" t="n">
        <v>20</v>
      </c>
      <c r="G618" s="26" t="n">
        <v>200</v>
      </c>
      <c r="H618" s="1" t="s">
        <v>488</v>
      </c>
    </row>
    <row r="619" customFormat="false" ht="15" hidden="false" customHeight="true" outlineLevel="0" collapsed="false">
      <c r="A619" s="1" t="s">
        <v>599</v>
      </c>
      <c r="B619" s="1" t="s">
        <v>482</v>
      </c>
      <c r="C619" s="1" t="s">
        <v>489</v>
      </c>
      <c r="D619" s="1" t="s">
        <v>288</v>
      </c>
      <c r="E619" s="62" t="n">
        <v>1</v>
      </c>
      <c r="F619" s="26" t="n">
        <v>682.73</v>
      </c>
      <c r="G619" s="26" t="n">
        <v>682.73</v>
      </c>
      <c r="H619" s="1" t="s">
        <v>616</v>
      </c>
    </row>
    <row r="620" customFormat="false" ht="15" hidden="false" customHeight="true" outlineLevel="0" collapsed="false">
      <c r="A620" s="1" t="s">
        <v>599</v>
      </c>
      <c r="B620" s="1" t="s">
        <v>482</v>
      </c>
      <c r="C620" s="1" t="s">
        <v>489</v>
      </c>
      <c r="D620" s="1" t="s">
        <v>288</v>
      </c>
      <c r="E620" s="62" t="n">
        <v>1</v>
      </c>
      <c r="F620" s="26" t="n">
        <v>894.25</v>
      </c>
      <c r="G620" s="26" t="n">
        <v>894.25</v>
      </c>
      <c r="H620" s="1" t="s">
        <v>617</v>
      </c>
    </row>
    <row r="621" customFormat="false" ht="15" hidden="false" customHeight="true" outlineLevel="0" collapsed="false">
      <c r="A621" s="1" t="s">
        <v>599</v>
      </c>
      <c r="B621" s="1" t="s">
        <v>482</v>
      </c>
      <c r="C621" s="1" t="s">
        <v>491</v>
      </c>
      <c r="D621" s="1" t="s">
        <v>288</v>
      </c>
      <c r="E621" s="62" t="n">
        <v>0</v>
      </c>
      <c r="F621" s="26" t="n">
        <v>0</v>
      </c>
      <c r="G621" s="26" t="n">
        <v>0</v>
      </c>
      <c r="H621" s="1" t="s">
        <v>615</v>
      </c>
    </row>
    <row r="622" customFormat="false" ht="15" hidden="false" customHeight="true" outlineLevel="0" collapsed="false">
      <c r="A622" s="1" t="s">
        <v>599</v>
      </c>
      <c r="B622" s="1" t="s">
        <v>482</v>
      </c>
      <c r="C622" s="1" t="s">
        <v>491</v>
      </c>
      <c r="D622" s="1" t="s">
        <v>288</v>
      </c>
      <c r="E622" s="62" t="n">
        <v>1</v>
      </c>
      <c r="F622" s="26" t="n">
        <v>86</v>
      </c>
      <c r="G622" s="26" t="n">
        <v>86</v>
      </c>
      <c r="H622" s="1" t="s">
        <v>617</v>
      </c>
    </row>
    <row r="623" customFormat="false" ht="15" hidden="false" customHeight="true" outlineLevel="0" collapsed="false">
      <c r="A623" s="1" t="s">
        <v>599</v>
      </c>
      <c r="B623" s="1" t="s">
        <v>482</v>
      </c>
      <c r="C623" s="1" t="s">
        <v>489</v>
      </c>
      <c r="D623" s="1" t="s">
        <v>290</v>
      </c>
      <c r="E623" s="62" t="n">
        <v>0</v>
      </c>
      <c r="F623" s="26" t="n">
        <v>0</v>
      </c>
      <c r="G623" s="26" t="n">
        <v>0</v>
      </c>
      <c r="H623" s="1" t="s">
        <v>490</v>
      </c>
    </row>
    <row r="624" customFormat="false" ht="15" hidden="false" customHeight="true" outlineLevel="0" collapsed="false">
      <c r="A624" s="1" t="s">
        <v>599</v>
      </c>
      <c r="B624" s="1" t="s">
        <v>482</v>
      </c>
      <c r="C624" s="1" t="s">
        <v>487</v>
      </c>
      <c r="D624" s="1" t="s">
        <v>294</v>
      </c>
      <c r="E624" s="62" t="n">
        <v>3</v>
      </c>
      <c r="F624" s="26" t="n">
        <v>20</v>
      </c>
      <c r="G624" s="26" t="n">
        <v>60</v>
      </c>
      <c r="H624" s="1" t="s">
        <v>488</v>
      </c>
    </row>
    <row r="625" customFormat="false" ht="15" hidden="false" customHeight="true" outlineLevel="0" collapsed="false">
      <c r="A625" s="1" t="s">
        <v>599</v>
      </c>
      <c r="B625" s="1" t="s">
        <v>482</v>
      </c>
      <c r="C625" s="1" t="s">
        <v>489</v>
      </c>
      <c r="D625" s="1" t="s">
        <v>294</v>
      </c>
      <c r="E625" s="62" t="n">
        <v>1</v>
      </c>
      <c r="F625" s="26" t="n">
        <v>556.03</v>
      </c>
      <c r="G625" s="26" t="n">
        <v>556.03</v>
      </c>
      <c r="H625" s="1" t="s">
        <v>615</v>
      </c>
    </row>
    <row r="626" customFormat="false" ht="15" hidden="false" customHeight="true" outlineLevel="0" collapsed="false">
      <c r="A626" s="1" t="s">
        <v>599</v>
      </c>
      <c r="B626" s="1" t="s">
        <v>482</v>
      </c>
      <c r="C626" s="1" t="s">
        <v>489</v>
      </c>
      <c r="D626" s="1" t="s">
        <v>294</v>
      </c>
      <c r="E626" s="62" t="n">
        <v>1</v>
      </c>
      <c r="F626" s="26" t="n">
        <v>447.78</v>
      </c>
      <c r="G626" s="26" t="n">
        <v>447.78</v>
      </c>
      <c r="H626" s="1" t="s">
        <v>617</v>
      </c>
    </row>
    <row r="627" customFormat="false" ht="15" hidden="false" customHeight="true" outlineLevel="0" collapsed="false">
      <c r="A627" s="1" t="s">
        <v>599</v>
      </c>
      <c r="B627" s="1" t="s">
        <v>482</v>
      </c>
      <c r="C627" s="1" t="s">
        <v>491</v>
      </c>
      <c r="D627" s="1" t="s">
        <v>294</v>
      </c>
      <c r="E627" s="62" t="n">
        <v>0</v>
      </c>
      <c r="F627" s="26" t="n">
        <v>0</v>
      </c>
      <c r="G627" s="26" t="n">
        <v>0</v>
      </c>
      <c r="H627" s="1" t="s">
        <v>492</v>
      </c>
    </row>
    <row r="628" customFormat="false" ht="15" hidden="false" customHeight="true" outlineLevel="0" collapsed="false">
      <c r="A628" s="1" t="s">
        <v>599</v>
      </c>
      <c r="B628" s="1" t="s">
        <v>482</v>
      </c>
      <c r="C628" s="1" t="s">
        <v>483</v>
      </c>
      <c r="D628" s="1" t="s">
        <v>291</v>
      </c>
      <c r="E628" s="62" t="n">
        <v>0</v>
      </c>
      <c r="F628" s="26" t="n">
        <v>0</v>
      </c>
      <c r="G628" s="26" t="n">
        <v>0</v>
      </c>
      <c r="H628" s="1" t="s">
        <v>493</v>
      </c>
    </row>
    <row r="629" customFormat="false" ht="15" hidden="false" customHeight="true" outlineLevel="0" collapsed="false">
      <c r="A629" s="1" t="s">
        <v>599</v>
      </c>
      <c r="B629" s="1" t="s">
        <v>482</v>
      </c>
      <c r="C629" s="1" t="s">
        <v>485</v>
      </c>
      <c r="D629" s="1" t="s">
        <v>291</v>
      </c>
      <c r="E629" s="62" t="n">
        <v>0</v>
      </c>
      <c r="F629" s="26" t="n">
        <v>0</v>
      </c>
      <c r="G629" s="26" t="n">
        <v>0</v>
      </c>
      <c r="H629" s="1" t="s">
        <v>494</v>
      </c>
    </row>
    <row r="630" customFormat="false" ht="15" hidden="false" customHeight="true" outlineLevel="0" collapsed="false">
      <c r="A630" s="1" t="s">
        <v>599</v>
      </c>
      <c r="B630" s="1" t="s">
        <v>482</v>
      </c>
      <c r="C630" s="1" t="s">
        <v>495</v>
      </c>
      <c r="D630" s="1" t="s">
        <v>291</v>
      </c>
      <c r="E630" s="62" t="n">
        <v>0</v>
      </c>
      <c r="F630" s="26" t="n">
        <v>0</v>
      </c>
      <c r="G630" s="26" t="n">
        <v>0</v>
      </c>
      <c r="H630" s="1" t="s">
        <v>615</v>
      </c>
    </row>
    <row r="631" customFormat="false" ht="15" hidden="false" customHeight="true" outlineLevel="0" collapsed="false">
      <c r="A631" s="1" t="s">
        <v>599</v>
      </c>
      <c r="B631" s="1" t="s">
        <v>482</v>
      </c>
      <c r="C631" s="1" t="s">
        <v>495</v>
      </c>
      <c r="D631" s="1" t="s">
        <v>291</v>
      </c>
      <c r="E631" s="62" t="n">
        <v>1</v>
      </c>
      <c r="F631" s="26" t="n">
        <v>1150</v>
      </c>
      <c r="G631" s="26" t="n">
        <v>1150</v>
      </c>
      <c r="H631" s="1" t="s">
        <v>617</v>
      </c>
    </row>
    <row r="632" customFormat="false" ht="15" hidden="false" customHeight="true" outlineLevel="0" collapsed="false">
      <c r="A632" s="1" t="s">
        <v>599</v>
      </c>
      <c r="B632" s="1" t="s">
        <v>482</v>
      </c>
      <c r="C632" s="1" t="s">
        <v>487</v>
      </c>
      <c r="D632" s="1" t="s">
        <v>291</v>
      </c>
      <c r="E632" s="62" t="n">
        <v>13</v>
      </c>
      <c r="F632" s="26" t="n">
        <v>20</v>
      </c>
      <c r="G632" s="26" t="n">
        <v>260</v>
      </c>
      <c r="H632" s="1" t="s">
        <v>488</v>
      </c>
    </row>
    <row r="633" customFormat="false" ht="15" hidden="false" customHeight="true" outlineLevel="0" collapsed="false">
      <c r="A633" s="1" t="s">
        <v>599</v>
      </c>
      <c r="B633" s="1" t="s">
        <v>482</v>
      </c>
      <c r="C633" s="1" t="s">
        <v>489</v>
      </c>
      <c r="D633" s="1" t="s">
        <v>291</v>
      </c>
      <c r="E633" s="62" t="n">
        <v>0</v>
      </c>
      <c r="F633" s="26" t="n">
        <v>0</v>
      </c>
      <c r="G633" s="26" t="n">
        <v>0</v>
      </c>
      <c r="H633" s="1" t="s">
        <v>490</v>
      </c>
    </row>
    <row r="634" customFormat="false" ht="15" hidden="false" customHeight="true" outlineLevel="0" collapsed="false">
      <c r="A634" s="1" t="s">
        <v>599</v>
      </c>
      <c r="B634" s="1" t="s">
        <v>482</v>
      </c>
      <c r="C634" s="1" t="s">
        <v>491</v>
      </c>
      <c r="D634" s="1" t="s">
        <v>291</v>
      </c>
      <c r="E634" s="62" t="n">
        <v>0</v>
      </c>
      <c r="F634" s="26" t="n">
        <v>0</v>
      </c>
      <c r="G634" s="26" t="n">
        <v>0</v>
      </c>
      <c r="H634" s="1" t="s">
        <v>615</v>
      </c>
    </row>
    <row r="635" customFormat="false" ht="15" hidden="false" customHeight="true" outlineLevel="0" collapsed="false">
      <c r="A635" s="1" t="s">
        <v>599</v>
      </c>
      <c r="B635" s="1" t="s">
        <v>482</v>
      </c>
      <c r="C635" s="1" t="s">
        <v>491</v>
      </c>
      <c r="D635" s="1" t="s">
        <v>291</v>
      </c>
      <c r="E635" s="62" t="n">
        <v>1</v>
      </c>
      <c r="F635" s="26" t="n">
        <v>475.21</v>
      </c>
      <c r="G635" s="26" t="n">
        <v>475.21</v>
      </c>
      <c r="H635" s="1" t="s">
        <v>617</v>
      </c>
    </row>
    <row r="636" customFormat="false" ht="15" hidden="false" customHeight="true" outlineLevel="0" collapsed="false">
      <c r="A636" s="1" t="s">
        <v>599</v>
      </c>
      <c r="B636" s="1" t="s">
        <v>482</v>
      </c>
      <c r="C636" s="1" t="s">
        <v>614</v>
      </c>
      <c r="D636" s="1" t="s">
        <v>285</v>
      </c>
      <c r="E636" s="62" t="n">
        <v>1</v>
      </c>
      <c r="F636" s="26" t="n">
        <v>132</v>
      </c>
      <c r="G636" s="26" t="n">
        <v>132</v>
      </c>
      <c r="H636" s="1" t="s">
        <v>615</v>
      </c>
    </row>
    <row r="637" customFormat="false" ht="15" hidden="false" customHeight="true" outlineLevel="0" collapsed="false">
      <c r="A637" s="1" t="s">
        <v>599</v>
      </c>
      <c r="B637" s="1" t="s">
        <v>482</v>
      </c>
      <c r="C637" s="1" t="s">
        <v>487</v>
      </c>
      <c r="D637" s="1" t="s">
        <v>285</v>
      </c>
      <c r="E637" s="62" t="n">
        <v>19</v>
      </c>
      <c r="F637" s="26" t="n">
        <v>20</v>
      </c>
      <c r="G637" s="26" t="n">
        <v>380</v>
      </c>
      <c r="H637" s="1" t="s">
        <v>488</v>
      </c>
    </row>
    <row r="638" customFormat="false" ht="15" hidden="false" customHeight="true" outlineLevel="0" collapsed="false">
      <c r="A638" s="1" t="s">
        <v>599</v>
      </c>
      <c r="B638" s="1" t="s">
        <v>482</v>
      </c>
      <c r="C638" s="1" t="s">
        <v>489</v>
      </c>
      <c r="D638" s="1" t="s">
        <v>285</v>
      </c>
      <c r="E638" s="62" t="n">
        <v>1</v>
      </c>
      <c r="F638" s="26" t="n">
        <v>1035.78</v>
      </c>
      <c r="G638" s="26" t="n">
        <v>1035.78</v>
      </c>
      <c r="H638" s="1" t="s">
        <v>615</v>
      </c>
    </row>
    <row r="639" customFormat="false" ht="15" hidden="false" customHeight="true" outlineLevel="0" collapsed="false">
      <c r="A639" s="1" t="s">
        <v>599</v>
      </c>
      <c r="B639" s="1" t="s">
        <v>482</v>
      </c>
      <c r="C639" s="1" t="s">
        <v>489</v>
      </c>
      <c r="D639" s="1" t="s">
        <v>285</v>
      </c>
      <c r="E639" s="62" t="n">
        <v>1</v>
      </c>
      <c r="F639" s="26" t="n">
        <v>1381.14</v>
      </c>
      <c r="G639" s="26" t="n">
        <v>1381.14</v>
      </c>
      <c r="H639" s="1" t="s">
        <v>617</v>
      </c>
    </row>
    <row r="640" customFormat="false" ht="15" hidden="false" customHeight="true" outlineLevel="0" collapsed="false">
      <c r="A640" s="1" t="s">
        <v>599</v>
      </c>
      <c r="B640" s="1" t="s">
        <v>482</v>
      </c>
      <c r="C640" s="1" t="s">
        <v>496</v>
      </c>
      <c r="D640" s="1" t="s">
        <v>285</v>
      </c>
      <c r="E640" s="62" t="n">
        <v>0</v>
      </c>
      <c r="F640" s="26" t="n">
        <v>0</v>
      </c>
      <c r="G640" s="26" t="n">
        <v>0</v>
      </c>
      <c r="H640" s="1" t="s">
        <v>615</v>
      </c>
    </row>
    <row r="641" customFormat="false" ht="15" hidden="false" customHeight="true" outlineLevel="0" collapsed="false">
      <c r="A641" s="1" t="s">
        <v>599</v>
      </c>
      <c r="B641" s="1" t="s">
        <v>482</v>
      </c>
      <c r="C641" s="1" t="s">
        <v>496</v>
      </c>
      <c r="D641" s="1" t="s">
        <v>285</v>
      </c>
      <c r="E641" s="62" t="n">
        <v>1</v>
      </c>
      <c r="F641" s="26" t="n">
        <v>264</v>
      </c>
      <c r="G641" s="26" t="n">
        <v>264</v>
      </c>
      <c r="H641" s="1" t="s">
        <v>617</v>
      </c>
    </row>
    <row r="642" customFormat="false" ht="15" hidden="false" customHeight="true" outlineLevel="0" collapsed="false">
      <c r="A642" s="1" t="s">
        <v>599</v>
      </c>
      <c r="B642" s="1" t="s">
        <v>482</v>
      </c>
      <c r="C642" s="1" t="s">
        <v>495</v>
      </c>
      <c r="D642" s="1" t="s">
        <v>286</v>
      </c>
      <c r="E642" s="62" t="n">
        <v>0</v>
      </c>
      <c r="F642" s="26" t="n">
        <v>0</v>
      </c>
      <c r="G642" s="26" t="n">
        <v>0</v>
      </c>
      <c r="H642" s="1" t="s">
        <v>497</v>
      </c>
    </row>
    <row r="643" customFormat="false" ht="15" hidden="false" customHeight="true" outlineLevel="0" collapsed="false">
      <c r="A643" s="1" t="s">
        <v>599</v>
      </c>
      <c r="B643" s="1" t="s">
        <v>482</v>
      </c>
      <c r="C643" s="1" t="s">
        <v>487</v>
      </c>
      <c r="D643" s="1" t="s">
        <v>286</v>
      </c>
      <c r="E643" s="62" t="n">
        <v>4</v>
      </c>
      <c r="F643" s="26" t="n">
        <v>20</v>
      </c>
      <c r="G643" s="26" t="n">
        <v>80</v>
      </c>
      <c r="H643" s="1" t="s">
        <v>488</v>
      </c>
    </row>
    <row r="644" customFormat="false" ht="15" hidden="false" customHeight="true" outlineLevel="0" collapsed="false">
      <c r="A644" s="1" t="s">
        <v>599</v>
      </c>
      <c r="B644" s="1" t="s">
        <v>482</v>
      </c>
      <c r="C644" s="1" t="s">
        <v>489</v>
      </c>
      <c r="D644" s="1" t="s">
        <v>286</v>
      </c>
      <c r="E644" s="62" t="n">
        <v>0</v>
      </c>
      <c r="F644" s="26" t="n">
        <v>0</v>
      </c>
      <c r="G644" s="26" t="n">
        <v>0</v>
      </c>
      <c r="H644" s="1" t="s">
        <v>490</v>
      </c>
    </row>
    <row r="645" customFormat="false" ht="15" hidden="false" customHeight="true" outlineLevel="0" collapsed="false">
      <c r="A645" s="1" t="s">
        <v>599</v>
      </c>
      <c r="B645" s="1" t="s">
        <v>482</v>
      </c>
      <c r="C645" s="1" t="s">
        <v>496</v>
      </c>
      <c r="D645" s="1" t="s">
        <v>286</v>
      </c>
      <c r="E645" s="62" t="n">
        <v>0</v>
      </c>
      <c r="F645" s="26" t="n">
        <v>0</v>
      </c>
      <c r="G645" s="26" t="n">
        <v>0</v>
      </c>
      <c r="H645" s="1" t="s">
        <v>492</v>
      </c>
    </row>
    <row r="646" customFormat="false" ht="15" hidden="false" customHeight="true" outlineLevel="0" collapsed="false">
      <c r="A646" s="1" t="s">
        <v>599</v>
      </c>
      <c r="B646" s="1" t="s">
        <v>482</v>
      </c>
      <c r="C646" s="1" t="s">
        <v>483</v>
      </c>
      <c r="D646" s="1" t="s">
        <v>283</v>
      </c>
      <c r="E646" s="62" t="n">
        <v>0</v>
      </c>
      <c r="F646" s="26" t="n">
        <v>0</v>
      </c>
      <c r="G646" s="26" t="n">
        <v>0</v>
      </c>
      <c r="H646" s="1" t="s">
        <v>498</v>
      </c>
    </row>
    <row r="647" customFormat="false" ht="15" hidden="false" customHeight="true" outlineLevel="0" collapsed="false">
      <c r="A647" s="1" t="s">
        <v>599</v>
      </c>
      <c r="B647" s="1" t="s">
        <v>482</v>
      </c>
      <c r="C647" s="1" t="s">
        <v>487</v>
      </c>
      <c r="D647" s="1" t="s">
        <v>283</v>
      </c>
      <c r="E647" s="62" t="n">
        <v>8</v>
      </c>
      <c r="F647" s="26" t="n">
        <v>20</v>
      </c>
      <c r="G647" s="26" t="n">
        <v>160</v>
      </c>
      <c r="H647" s="1" t="s">
        <v>488</v>
      </c>
    </row>
    <row r="648" customFormat="false" ht="15" hidden="false" customHeight="true" outlineLevel="0" collapsed="false">
      <c r="A648" s="1" t="s">
        <v>599</v>
      </c>
      <c r="B648" s="1" t="s">
        <v>482</v>
      </c>
      <c r="C648" s="1" t="s">
        <v>489</v>
      </c>
      <c r="D648" s="1" t="s">
        <v>283</v>
      </c>
      <c r="E648" s="62" t="n">
        <v>1</v>
      </c>
      <c r="F648" s="26" t="n">
        <v>1209.07</v>
      </c>
      <c r="G648" s="26" t="n">
        <v>1209.07</v>
      </c>
      <c r="H648" s="1" t="s">
        <v>615</v>
      </c>
    </row>
    <row r="649" customFormat="false" ht="15" hidden="false" customHeight="true" outlineLevel="0" collapsed="false">
      <c r="A649" s="1" t="s">
        <v>599</v>
      </c>
      <c r="B649" s="1" t="s">
        <v>482</v>
      </c>
      <c r="C649" s="1" t="s">
        <v>489</v>
      </c>
      <c r="D649" s="1" t="s">
        <v>283</v>
      </c>
      <c r="E649" s="62" t="n">
        <v>1</v>
      </c>
      <c r="F649" s="26" t="n">
        <v>497.22</v>
      </c>
      <c r="G649" s="26" t="n">
        <v>497.22</v>
      </c>
      <c r="H649" s="1" t="s">
        <v>617</v>
      </c>
    </row>
    <row r="650" customFormat="false" ht="15" hidden="false" customHeight="true" outlineLevel="0" collapsed="false">
      <c r="A650" s="1" t="s">
        <v>599</v>
      </c>
      <c r="B650" s="1" t="s">
        <v>482</v>
      </c>
      <c r="C650" s="1" t="s">
        <v>491</v>
      </c>
      <c r="D650" s="1" t="s">
        <v>283</v>
      </c>
      <c r="E650" s="62" t="n">
        <v>1</v>
      </c>
      <c r="F650" s="26" t="n">
        <v>230.72</v>
      </c>
      <c r="G650" s="26" t="n">
        <v>230.72</v>
      </c>
      <c r="H650" s="1" t="s">
        <v>615</v>
      </c>
    </row>
    <row r="651" customFormat="false" ht="15" hidden="false" customHeight="true" outlineLevel="0" collapsed="false">
      <c r="A651" s="1" t="s">
        <v>599</v>
      </c>
      <c r="B651" s="1" t="s">
        <v>482</v>
      </c>
      <c r="C651" s="1" t="s">
        <v>491</v>
      </c>
      <c r="D651" s="1" t="s">
        <v>283</v>
      </c>
      <c r="E651" s="62" t="n">
        <v>1</v>
      </c>
      <c r="F651" s="26" t="n">
        <v>381.6</v>
      </c>
      <c r="G651" s="26" t="n">
        <v>381.6</v>
      </c>
      <c r="H651" s="1" t="s">
        <v>617</v>
      </c>
    </row>
    <row r="652" customFormat="false" ht="15" hidden="false" customHeight="true" outlineLevel="0" collapsed="false">
      <c r="A652" s="1" t="s">
        <v>599</v>
      </c>
      <c r="B652" s="1" t="s">
        <v>499</v>
      </c>
      <c r="C652" s="1" t="s">
        <v>618</v>
      </c>
      <c r="D652" s="1" t="s">
        <v>288</v>
      </c>
      <c r="E652" s="62" t="n">
        <v>0</v>
      </c>
      <c r="F652" s="26" t="n">
        <v>0</v>
      </c>
      <c r="G652" s="26" t="n">
        <v>0</v>
      </c>
      <c r="H652" s="1" t="s">
        <v>503</v>
      </c>
    </row>
    <row r="653" customFormat="false" ht="15" hidden="false" customHeight="true" outlineLevel="0" collapsed="false">
      <c r="A653" s="1" t="s">
        <v>599</v>
      </c>
      <c r="B653" s="1" t="s">
        <v>499</v>
      </c>
      <c r="C653" s="1" t="s">
        <v>500</v>
      </c>
      <c r="D653" s="1" t="s">
        <v>288</v>
      </c>
      <c r="E653" s="62" t="n">
        <v>0</v>
      </c>
      <c r="F653" s="26" t="n">
        <v>0</v>
      </c>
      <c r="G653" s="26" t="n">
        <v>0</v>
      </c>
      <c r="H653" s="1" t="s">
        <v>501</v>
      </c>
    </row>
    <row r="654" customFormat="false" ht="15" hidden="false" customHeight="true" outlineLevel="0" collapsed="false">
      <c r="A654" s="1" t="s">
        <v>599</v>
      </c>
      <c r="B654" s="1" t="s">
        <v>499</v>
      </c>
      <c r="C654" s="1" t="s">
        <v>504</v>
      </c>
      <c r="D654" s="1" t="s">
        <v>288</v>
      </c>
      <c r="E654" s="62" t="n">
        <v>0</v>
      </c>
      <c r="F654" s="26" t="n">
        <v>0</v>
      </c>
      <c r="G654" s="26" t="n">
        <v>0</v>
      </c>
      <c r="H654" s="1" t="s">
        <v>505</v>
      </c>
    </row>
    <row r="655" customFormat="false" ht="15" hidden="false" customHeight="true" outlineLevel="0" collapsed="false">
      <c r="A655" s="1" t="s">
        <v>599</v>
      </c>
      <c r="B655" s="1" t="s">
        <v>499</v>
      </c>
      <c r="C655" s="1" t="s">
        <v>619</v>
      </c>
      <c r="D655" s="1" t="s">
        <v>288</v>
      </c>
      <c r="E655" s="62" t="n">
        <v>0</v>
      </c>
      <c r="F655" s="26" t="n">
        <v>0</v>
      </c>
      <c r="G655" s="26" t="n">
        <v>0</v>
      </c>
      <c r="H655" s="1" t="s">
        <v>507</v>
      </c>
    </row>
    <row r="656" customFormat="false" ht="15" hidden="false" customHeight="true" outlineLevel="0" collapsed="false">
      <c r="A656" s="1" t="s">
        <v>599</v>
      </c>
      <c r="B656" s="1" t="s">
        <v>499</v>
      </c>
      <c r="C656" s="1" t="s">
        <v>508</v>
      </c>
      <c r="D656" s="1" t="s">
        <v>290</v>
      </c>
      <c r="E656" s="62" t="n">
        <v>0</v>
      </c>
      <c r="F656" s="26" t="n">
        <v>0</v>
      </c>
      <c r="G656" s="26" t="n">
        <v>0</v>
      </c>
      <c r="H656" s="1" t="s">
        <v>509</v>
      </c>
    </row>
    <row r="657" customFormat="false" ht="15" hidden="false" customHeight="true" outlineLevel="0" collapsed="false">
      <c r="A657" s="1" t="s">
        <v>599</v>
      </c>
      <c r="B657" s="1" t="s">
        <v>499</v>
      </c>
      <c r="C657" s="1" t="s">
        <v>510</v>
      </c>
      <c r="D657" s="1" t="s">
        <v>290</v>
      </c>
      <c r="E657" s="62" t="n">
        <v>0</v>
      </c>
      <c r="F657" s="26" t="n">
        <v>0</v>
      </c>
      <c r="G657" s="26" t="n">
        <v>0</v>
      </c>
      <c r="H657" s="1" t="s">
        <v>511</v>
      </c>
    </row>
    <row r="658" customFormat="false" ht="15" hidden="false" customHeight="true" outlineLevel="0" collapsed="false">
      <c r="A658" s="1" t="s">
        <v>599</v>
      </c>
      <c r="B658" s="1" t="s">
        <v>499</v>
      </c>
      <c r="C658" s="1" t="s">
        <v>512</v>
      </c>
      <c r="D658" s="1" t="s">
        <v>294</v>
      </c>
      <c r="E658" s="62" t="n">
        <v>0</v>
      </c>
      <c r="F658" s="26" t="n">
        <v>0</v>
      </c>
      <c r="G658" s="26" t="n">
        <v>0</v>
      </c>
      <c r="H658" s="1" t="s">
        <v>513</v>
      </c>
    </row>
    <row r="659" customFormat="false" ht="15" hidden="false" customHeight="true" outlineLevel="0" collapsed="false">
      <c r="A659" s="1" t="s">
        <v>599</v>
      </c>
      <c r="B659" s="1" t="s">
        <v>499</v>
      </c>
      <c r="C659" s="1" t="s">
        <v>514</v>
      </c>
      <c r="D659" s="1" t="s">
        <v>294</v>
      </c>
      <c r="E659" s="62" t="n">
        <v>0</v>
      </c>
      <c r="F659" s="26" t="n">
        <v>0</v>
      </c>
      <c r="G659" s="26" t="n">
        <v>0</v>
      </c>
      <c r="H659" s="1" t="s">
        <v>515</v>
      </c>
    </row>
    <row r="660" customFormat="false" ht="15" hidden="false" customHeight="true" outlineLevel="0" collapsed="false">
      <c r="A660" s="1" t="s">
        <v>599</v>
      </c>
      <c r="B660" s="1" t="s">
        <v>499</v>
      </c>
      <c r="C660" s="1" t="s">
        <v>516</v>
      </c>
      <c r="D660" s="1" t="s">
        <v>294</v>
      </c>
      <c r="E660" s="62" t="n">
        <v>0</v>
      </c>
      <c r="F660" s="26" t="n">
        <v>0</v>
      </c>
      <c r="G660" s="26" t="n">
        <v>0</v>
      </c>
      <c r="H660" s="1" t="s">
        <v>509</v>
      </c>
    </row>
    <row r="661" customFormat="false" ht="15" hidden="false" customHeight="true" outlineLevel="0" collapsed="false">
      <c r="A661" s="1" t="s">
        <v>599</v>
      </c>
      <c r="B661" s="1" t="s">
        <v>499</v>
      </c>
      <c r="C661" s="1" t="s">
        <v>517</v>
      </c>
      <c r="D661" s="1" t="s">
        <v>294</v>
      </c>
      <c r="E661" s="62" t="n">
        <v>0</v>
      </c>
      <c r="F661" s="26" t="n">
        <v>0</v>
      </c>
      <c r="G661" s="26" t="n">
        <v>0</v>
      </c>
      <c r="H661" s="1" t="s">
        <v>518</v>
      </c>
    </row>
    <row r="662" customFormat="false" ht="15" hidden="false" customHeight="true" outlineLevel="0" collapsed="false">
      <c r="A662" s="1" t="s">
        <v>599</v>
      </c>
      <c r="B662" s="1" t="s">
        <v>499</v>
      </c>
      <c r="C662" s="1" t="s">
        <v>519</v>
      </c>
      <c r="D662" s="1" t="s">
        <v>294</v>
      </c>
      <c r="E662" s="62" t="n">
        <v>0</v>
      </c>
      <c r="F662" s="26" t="n">
        <v>0</v>
      </c>
      <c r="G662" s="26" t="n">
        <v>0</v>
      </c>
      <c r="H662" s="1" t="s">
        <v>518</v>
      </c>
    </row>
    <row r="663" customFormat="false" ht="15" hidden="false" customHeight="true" outlineLevel="0" collapsed="false">
      <c r="A663" s="1" t="s">
        <v>599</v>
      </c>
      <c r="B663" s="1" t="s">
        <v>499</v>
      </c>
      <c r="C663" s="1" t="s">
        <v>520</v>
      </c>
      <c r="D663" s="1" t="s">
        <v>294</v>
      </c>
      <c r="E663" s="62" t="n">
        <v>1</v>
      </c>
      <c r="F663" s="26" t="n">
        <v>3430.14</v>
      </c>
      <c r="G663" s="26" t="n">
        <v>3430.14</v>
      </c>
      <c r="H663" s="1" t="s">
        <v>521</v>
      </c>
    </row>
    <row r="664" customFormat="false" ht="15" hidden="false" customHeight="true" outlineLevel="0" collapsed="false">
      <c r="A664" s="1" t="s">
        <v>599</v>
      </c>
      <c r="B664" s="1" t="s">
        <v>499</v>
      </c>
      <c r="C664" s="1" t="s">
        <v>522</v>
      </c>
      <c r="D664" s="1" t="s">
        <v>291</v>
      </c>
      <c r="E664" s="62" t="n">
        <v>0</v>
      </c>
      <c r="F664" s="26" t="n">
        <v>0</v>
      </c>
      <c r="G664" s="26" t="n">
        <v>0</v>
      </c>
      <c r="H664" s="1" t="s">
        <v>509</v>
      </c>
    </row>
    <row r="665" customFormat="false" ht="15" hidden="false" customHeight="true" outlineLevel="0" collapsed="false">
      <c r="A665" s="1" t="s">
        <v>599</v>
      </c>
      <c r="B665" s="1" t="s">
        <v>499</v>
      </c>
      <c r="C665" s="1" t="s">
        <v>523</v>
      </c>
      <c r="D665" s="1" t="s">
        <v>291</v>
      </c>
      <c r="E665" s="62" t="n">
        <v>0</v>
      </c>
      <c r="F665" s="26" t="n">
        <v>0</v>
      </c>
      <c r="G665" s="26" t="n">
        <v>0</v>
      </c>
      <c r="H665" s="1" t="s">
        <v>524</v>
      </c>
    </row>
    <row r="666" customFormat="false" ht="15" hidden="false" customHeight="true" outlineLevel="0" collapsed="false">
      <c r="A666" s="1" t="s">
        <v>599</v>
      </c>
      <c r="B666" s="1" t="s">
        <v>499</v>
      </c>
      <c r="C666" s="1" t="s">
        <v>525</v>
      </c>
      <c r="D666" s="1" t="s">
        <v>285</v>
      </c>
      <c r="E666" s="62" t="n">
        <v>0</v>
      </c>
      <c r="F666" s="26" t="n">
        <v>0</v>
      </c>
      <c r="G666" s="26" t="n">
        <v>0</v>
      </c>
      <c r="H666" s="1" t="s">
        <v>526</v>
      </c>
    </row>
    <row r="667" customFormat="false" ht="15" hidden="false" customHeight="true" outlineLevel="0" collapsed="false">
      <c r="A667" s="1" t="s">
        <v>599</v>
      </c>
      <c r="B667" s="1" t="s">
        <v>499</v>
      </c>
      <c r="C667" s="1" t="s">
        <v>527</v>
      </c>
      <c r="D667" s="1" t="s">
        <v>285</v>
      </c>
      <c r="E667" s="62" t="n">
        <v>0</v>
      </c>
      <c r="F667" s="26" t="n">
        <v>0</v>
      </c>
      <c r="G667" s="26" t="n">
        <v>0</v>
      </c>
      <c r="H667" s="1" t="s">
        <v>501</v>
      </c>
    </row>
    <row r="668" customFormat="false" ht="15" hidden="false" customHeight="true" outlineLevel="0" collapsed="false">
      <c r="A668" s="1" t="s">
        <v>599</v>
      </c>
      <c r="B668" s="1" t="s">
        <v>499</v>
      </c>
      <c r="C668" s="1" t="s">
        <v>528</v>
      </c>
      <c r="D668" s="1" t="s">
        <v>285</v>
      </c>
      <c r="E668" s="62" t="n">
        <v>0</v>
      </c>
      <c r="F668" s="26" t="n">
        <v>0</v>
      </c>
      <c r="G668" s="26" t="n">
        <v>0</v>
      </c>
      <c r="H668" s="1" t="s">
        <v>505</v>
      </c>
    </row>
    <row r="669" customFormat="false" ht="15" hidden="false" customHeight="true" outlineLevel="0" collapsed="false">
      <c r="A669" s="1" t="s">
        <v>599</v>
      </c>
      <c r="B669" s="1" t="s">
        <v>499</v>
      </c>
      <c r="C669" s="1" t="s">
        <v>529</v>
      </c>
      <c r="D669" s="1" t="s">
        <v>285</v>
      </c>
      <c r="E669" s="62" t="n">
        <v>0</v>
      </c>
      <c r="F669" s="26" t="n">
        <v>0</v>
      </c>
      <c r="G669" s="26" t="n">
        <v>0</v>
      </c>
      <c r="H669" s="1" t="s">
        <v>511</v>
      </c>
    </row>
    <row r="670" customFormat="false" ht="15" hidden="false" customHeight="true" outlineLevel="0" collapsed="false">
      <c r="A670" s="1" t="s">
        <v>599</v>
      </c>
      <c r="B670" s="1" t="s">
        <v>499</v>
      </c>
      <c r="C670" s="1" t="s">
        <v>525</v>
      </c>
      <c r="D670" s="1" t="s">
        <v>286</v>
      </c>
      <c r="E670" s="62" t="n">
        <v>0</v>
      </c>
      <c r="F670" s="26" t="n">
        <v>0</v>
      </c>
      <c r="G670" s="26" t="n">
        <v>0</v>
      </c>
      <c r="H670" s="1" t="s">
        <v>509</v>
      </c>
    </row>
    <row r="671" customFormat="false" ht="15" hidden="false" customHeight="true" outlineLevel="0" collapsed="false">
      <c r="A671" s="1" t="s">
        <v>599</v>
      </c>
      <c r="B671" s="1" t="s">
        <v>499</v>
      </c>
      <c r="C671" s="1" t="s">
        <v>530</v>
      </c>
      <c r="D671" s="1" t="s">
        <v>286</v>
      </c>
      <c r="E671" s="62" t="n">
        <v>0</v>
      </c>
      <c r="F671" s="26" t="n">
        <v>0</v>
      </c>
      <c r="G671" s="26" t="n">
        <v>0</v>
      </c>
      <c r="H671" s="1" t="s">
        <v>509</v>
      </c>
    </row>
    <row r="672" customFormat="false" ht="15" hidden="false" customHeight="true" outlineLevel="0" collapsed="false">
      <c r="A672" s="1" t="s">
        <v>599</v>
      </c>
      <c r="B672" s="1" t="s">
        <v>499</v>
      </c>
      <c r="C672" s="1" t="s">
        <v>531</v>
      </c>
      <c r="D672" s="1" t="s">
        <v>286</v>
      </c>
      <c r="E672" s="62" t="n">
        <v>0</v>
      </c>
      <c r="F672" s="26" t="n">
        <v>0</v>
      </c>
      <c r="G672" s="26" t="n">
        <v>0</v>
      </c>
      <c r="H672" s="1" t="s">
        <v>524</v>
      </c>
    </row>
    <row r="673" customFormat="false" ht="15" hidden="false" customHeight="true" outlineLevel="0" collapsed="false">
      <c r="A673" s="1" t="s">
        <v>599</v>
      </c>
      <c r="B673" s="1" t="s">
        <v>499</v>
      </c>
      <c r="C673" s="1" t="s">
        <v>529</v>
      </c>
      <c r="D673" s="1" t="s">
        <v>286</v>
      </c>
      <c r="E673" s="62" t="n">
        <v>0</v>
      </c>
      <c r="F673" s="26" t="n">
        <v>0</v>
      </c>
      <c r="G673" s="26" t="n">
        <v>0</v>
      </c>
      <c r="H673" s="1" t="s">
        <v>532</v>
      </c>
    </row>
    <row r="674" customFormat="false" ht="15" hidden="false" customHeight="true" outlineLevel="0" collapsed="false">
      <c r="A674" s="1" t="s">
        <v>599</v>
      </c>
      <c r="B674" s="1" t="s">
        <v>499</v>
      </c>
      <c r="C674" s="1" t="s">
        <v>533</v>
      </c>
      <c r="D674" s="1" t="s">
        <v>283</v>
      </c>
      <c r="E674" s="62" t="n">
        <v>4795</v>
      </c>
      <c r="F674" s="26" t="n">
        <v>0.66</v>
      </c>
      <c r="G674" s="26" t="n">
        <v>3164.7</v>
      </c>
      <c r="H674" s="1" t="s">
        <v>395</v>
      </c>
    </row>
    <row r="675" customFormat="false" ht="15" hidden="false" customHeight="true" outlineLevel="0" collapsed="false">
      <c r="A675" s="1" t="s">
        <v>599</v>
      </c>
      <c r="B675" s="1" t="s">
        <v>499</v>
      </c>
      <c r="C675" s="1" t="s">
        <v>534</v>
      </c>
      <c r="D675" s="1" t="s">
        <v>283</v>
      </c>
      <c r="E675" s="62" t="n">
        <v>1</v>
      </c>
      <c r="F675" s="26" t="n">
        <v>2736.16</v>
      </c>
      <c r="G675" s="26" t="n">
        <v>2736.16</v>
      </c>
      <c r="H675" s="1" t="s">
        <v>509</v>
      </c>
    </row>
    <row r="676" customFormat="false" ht="15" hidden="false" customHeight="true" outlineLevel="0" collapsed="false">
      <c r="A676" s="1" t="s">
        <v>599</v>
      </c>
      <c r="B676" s="1" t="s">
        <v>499</v>
      </c>
      <c r="C676" s="1" t="s">
        <v>535</v>
      </c>
      <c r="D676" s="1" t="s">
        <v>283</v>
      </c>
      <c r="E676" s="62" t="n">
        <v>0</v>
      </c>
      <c r="F676" s="26" t="n">
        <v>0</v>
      </c>
      <c r="G676" s="26" t="n">
        <v>0</v>
      </c>
      <c r="H676" s="1" t="s">
        <v>509</v>
      </c>
    </row>
    <row r="677" customFormat="false" ht="15" hidden="false" customHeight="true" outlineLevel="0" collapsed="false">
      <c r="A677" s="1" t="s">
        <v>599</v>
      </c>
      <c r="B677" s="1" t="s">
        <v>499</v>
      </c>
      <c r="C677" s="1" t="s">
        <v>536</v>
      </c>
      <c r="D677" s="1" t="s">
        <v>283</v>
      </c>
      <c r="E677" s="62" t="n">
        <v>1</v>
      </c>
      <c r="F677" s="26" t="n">
        <v>13845.81</v>
      </c>
      <c r="G677" s="26" t="n">
        <v>13845.81</v>
      </c>
      <c r="H677" s="1" t="s">
        <v>532</v>
      </c>
    </row>
    <row r="678" customFormat="false" ht="15" hidden="false" customHeight="true" outlineLevel="0" collapsed="false">
      <c r="A678" s="1" t="s">
        <v>599</v>
      </c>
      <c r="B678" s="1" t="s">
        <v>499</v>
      </c>
      <c r="C678" s="1" t="s">
        <v>537</v>
      </c>
      <c r="D678" s="1" t="s">
        <v>283</v>
      </c>
      <c r="E678" s="62" t="n">
        <v>0</v>
      </c>
      <c r="F678" s="26" t="n">
        <v>0</v>
      </c>
      <c r="G678" s="26" t="n">
        <v>0</v>
      </c>
      <c r="H678" s="1" t="s">
        <v>524</v>
      </c>
    </row>
    <row r="679" customFormat="false" ht="15" hidden="false" customHeight="true" outlineLevel="0" collapsed="false">
      <c r="A679" s="1" t="s">
        <v>599</v>
      </c>
      <c r="B679" s="1" t="s">
        <v>538</v>
      </c>
      <c r="C679" s="1" t="s">
        <v>539</v>
      </c>
      <c r="D679" s="1" t="s">
        <v>290</v>
      </c>
      <c r="E679" s="62" t="n">
        <v>1</v>
      </c>
      <c r="F679" s="26" t="n">
        <v>238.88</v>
      </c>
      <c r="G679" s="26" t="n">
        <v>238.88</v>
      </c>
      <c r="H679" s="1" t="s">
        <v>593</v>
      </c>
    </row>
    <row r="680" customFormat="false" ht="15" hidden="false" customHeight="true" outlineLevel="0" collapsed="false">
      <c r="A680" s="1" t="s">
        <v>599</v>
      </c>
      <c r="B680" s="1" t="s">
        <v>538</v>
      </c>
      <c r="C680" s="1" t="s">
        <v>541</v>
      </c>
      <c r="D680" s="1" t="s">
        <v>290</v>
      </c>
      <c r="E680" s="62" t="n">
        <v>1</v>
      </c>
      <c r="F680" s="26" t="n">
        <v>609.17</v>
      </c>
      <c r="G680" s="26" t="n">
        <v>609.17</v>
      </c>
      <c r="H680" s="1" t="s">
        <v>593</v>
      </c>
    </row>
    <row r="681" customFormat="false" ht="15" hidden="false" customHeight="true" outlineLevel="0" collapsed="false">
      <c r="A681" s="1" t="s">
        <v>599</v>
      </c>
      <c r="B681" s="1" t="s">
        <v>538</v>
      </c>
      <c r="C681" s="1" t="s">
        <v>542</v>
      </c>
      <c r="D681" s="1" t="s">
        <v>290</v>
      </c>
      <c r="E681" s="62" t="n">
        <v>1</v>
      </c>
      <c r="F681" s="26" t="n">
        <v>510</v>
      </c>
      <c r="G681" s="26" t="n">
        <v>510</v>
      </c>
      <c r="H681" s="1" t="s">
        <v>593</v>
      </c>
    </row>
    <row r="682" customFormat="false" ht="15" hidden="false" customHeight="true" outlineLevel="0" collapsed="false">
      <c r="A682" s="1" t="s">
        <v>599</v>
      </c>
      <c r="B682" s="1" t="s">
        <v>538</v>
      </c>
      <c r="C682" s="1" t="s">
        <v>543</v>
      </c>
      <c r="D682" s="1" t="s">
        <v>290</v>
      </c>
      <c r="E682" s="62" t="n">
        <v>1</v>
      </c>
      <c r="F682" s="26" t="n">
        <v>333.1</v>
      </c>
      <c r="G682" s="26" t="n">
        <v>333.1</v>
      </c>
      <c r="H682" s="1" t="s">
        <v>593</v>
      </c>
    </row>
    <row r="683" customFormat="false" ht="15" hidden="false" customHeight="true" outlineLevel="0" collapsed="false">
      <c r="A683" s="1" t="s">
        <v>599</v>
      </c>
      <c r="B683" s="1" t="s">
        <v>538</v>
      </c>
      <c r="C683" s="1" t="s">
        <v>546</v>
      </c>
      <c r="D683" s="1" t="s">
        <v>290</v>
      </c>
      <c r="E683" s="62" t="n">
        <v>1</v>
      </c>
      <c r="F683" s="26" t="n">
        <v>2973.2</v>
      </c>
      <c r="G683" s="26" t="n">
        <v>2973.2</v>
      </c>
      <c r="H683" s="1" t="s">
        <v>593</v>
      </c>
    </row>
    <row r="684" customFormat="false" ht="15" hidden="false" customHeight="true" outlineLevel="0" collapsed="false">
      <c r="A684" s="1" t="s">
        <v>599</v>
      </c>
      <c r="B684" s="1" t="s">
        <v>538</v>
      </c>
      <c r="C684" s="1" t="s">
        <v>620</v>
      </c>
      <c r="D684" s="1" t="s">
        <v>290</v>
      </c>
      <c r="E684" s="62" t="n">
        <v>1</v>
      </c>
      <c r="F684" s="26" t="n">
        <v>1833.24</v>
      </c>
      <c r="G684" s="26" t="n">
        <v>1833.24</v>
      </c>
      <c r="H684" s="1" t="s">
        <v>593</v>
      </c>
    </row>
    <row r="685" customFormat="false" ht="15" hidden="false" customHeight="true" outlineLevel="0" collapsed="false">
      <c r="A685" s="1" t="s">
        <v>599</v>
      </c>
      <c r="B685" s="1" t="s">
        <v>538</v>
      </c>
      <c r="C685" s="1" t="s">
        <v>547</v>
      </c>
      <c r="D685" s="1" t="s">
        <v>290</v>
      </c>
      <c r="E685" s="62" t="n">
        <v>1</v>
      </c>
      <c r="F685" s="26" t="n">
        <v>7615.46</v>
      </c>
      <c r="G685" s="26" t="n">
        <v>7615.46</v>
      </c>
      <c r="H685" s="1" t="s">
        <v>593</v>
      </c>
    </row>
    <row r="686" customFormat="false" ht="15" hidden="false" customHeight="true" outlineLevel="0" collapsed="false">
      <c r="A686" s="1" t="s">
        <v>599</v>
      </c>
      <c r="B686" s="1" t="s">
        <v>538</v>
      </c>
      <c r="C686" s="1" t="s">
        <v>621</v>
      </c>
      <c r="D686" s="1" t="s">
        <v>291</v>
      </c>
      <c r="E686" s="62" t="n">
        <v>-1</v>
      </c>
      <c r="F686" s="26" t="n">
        <v>1046.56</v>
      </c>
      <c r="G686" s="26" t="n">
        <v>-1046.56</v>
      </c>
      <c r="H686" s="1" t="s">
        <v>622</v>
      </c>
    </row>
    <row r="687" customFormat="false" ht="15" hidden="false" customHeight="true" outlineLevel="0" collapsed="false">
      <c r="A687" s="1" t="s">
        <v>599</v>
      </c>
      <c r="B687" s="1" t="s">
        <v>538</v>
      </c>
      <c r="C687" s="1" t="s">
        <v>539</v>
      </c>
      <c r="D687" s="1" t="s">
        <v>291</v>
      </c>
      <c r="E687" s="62" t="n">
        <v>-1</v>
      </c>
      <c r="F687" s="26" t="n">
        <v>238.88</v>
      </c>
      <c r="G687" s="26" t="n">
        <v>-238.88</v>
      </c>
      <c r="H687" s="1" t="s">
        <v>550</v>
      </c>
    </row>
    <row r="688" customFormat="false" ht="15" hidden="false" customHeight="true" outlineLevel="0" collapsed="false">
      <c r="A688" s="1" t="s">
        <v>599</v>
      </c>
      <c r="B688" s="1" t="s">
        <v>538</v>
      </c>
      <c r="C688" s="1" t="s">
        <v>539</v>
      </c>
      <c r="D688" s="1" t="s">
        <v>291</v>
      </c>
      <c r="E688" s="62" t="n">
        <v>-1</v>
      </c>
      <c r="F688" s="26" t="n">
        <v>238.88</v>
      </c>
      <c r="G688" s="26" t="n">
        <v>-238.88</v>
      </c>
      <c r="H688" s="1" t="s">
        <v>593</v>
      </c>
    </row>
    <row r="689" customFormat="false" ht="15" hidden="false" customHeight="true" outlineLevel="0" collapsed="false">
      <c r="A689" s="1" t="s">
        <v>599</v>
      </c>
      <c r="B689" s="1" t="s">
        <v>538</v>
      </c>
      <c r="C689" s="1" t="s">
        <v>542</v>
      </c>
      <c r="D689" s="1" t="s">
        <v>283</v>
      </c>
      <c r="E689" s="62" t="n">
        <v>1</v>
      </c>
      <c r="F689" s="26" t="n">
        <v>67.33</v>
      </c>
      <c r="G689" s="26" t="n">
        <v>67.33</v>
      </c>
      <c r="H689" s="1" t="s">
        <v>552</v>
      </c>
    </row>
    <row r="690" customFormat="false" ht="15" hidden="false" customHeight="true" outlineLevel="0" collapsed="false">
      <c r="A690" s="1" t="s">
        <v>599</v>
      </c>
      <c r="B690" s="1" t="s">
        <v>538</v>
      </c>
      <c r="C690" s="1" t="s">
        <v>542</v>
      </c>
      <c r="D690" s="1" t="s">
        <v>283</v>
      </c>
      <c r="E690" s="62" t="n">
        <v>-1</v>
      </c>
      <c r="F690" s="26" t="n">
        <v>510</v>
      </c>
      <c r="G690" s="26" t="n">
        <v>-510</v>
      </c>
      <c r="H690" s="1" t="s">
        <v>593</v>
      </c>
    </row>
    <row r="691" customFormat="false" ht="15" hidden="false" customHeight="true" outlineLevel="0" collapsed="false">
      <c r="A691" s="1" t="s">
        <v>599</v>
      </c>
      <c r="B691" s="1" t="s">
        <v>47</v>
      </c>
      <c r="C691" s="1" t="s">
        <v>553</v>
      </c>
      <c r="D691" s="1" t="s">
        <v>288</v>
      </c>
      <c r="E691" s="62" t="n">
        <v>0</v>
      </c>
      <c r="F691" s="26" t="n">
        <v>0</v>
      </c>
      <c r="G691" s="26" t="n">
        <v>0</v>
      </c>
      <c r="H691" s="1" t="s">
        <v>554</v>
      </c>
    </row>
    <row r="692" customFormat="false" ht="15" hidden="false" customHeight="true" outlineLevel="0" collapsed="false">
      <c r="A692" s="1" t="s">
        <v>599</v>
      </c>
      <c r="B692" s="1" t="s">
        <v>47</v>
      </c>
      <c r="C692" s="1" t="s">
        <v>553</v>
      </c>
      <c r="D692" s="1" t="s">
        <v>290</v>
      </c>
      <c r="E692" s="62" t="n">
        <v>0</v>
      </c>
      <c r="F692" s="26" t="n">
        <v>0</v>
      </c>
      <c r="G692" s="26" t="n">
        <v>0</v>
      </c>
      <c r="H692" s="1" t="s">
        <v>555</v>
      </c>
    </row>
    <row r="693" customFormat="false" ht="15" hidden="false" customHeight="true" outlineLevel="0" collapsed="false">
      <c r="A693" s="1" t="s">
        <v>599</v>
      </c>
      <c r="B693" s="1" t="s">
        <v>47</v>
      </c>
      <c r="C693" s="1" t="s">
        <v>553</v>
      </c>
      <c r="D693" s="1" t="s">
        <v>294</v>
      </c>
      <c r="E693" s="62" t="n">
        <v>0</v>
      </c>
      <c r="F693" s="26" t="n">
        <v>0</v>
      </c>
      <c r="G693" s="26" t="n">
        <v>0</v>
      </c>
      <c r="H693" s="1" t="s">
        <v>556</v>
      </c>
    </row>
    <row r="694" customFormat="false" ht="15" hidden="false" customHeight="true" outlineLevel="0" collapsed="false">
      <c r="A694" s="1" t="s">
        <v>599</v>
      </c>
      <c r="B694" s="1" t="s">
        <v>47</v>
      </c>
      <c r="C694" s="1" t="s">
        <v>553</v>
      </c>
      <c r="D694" s="1" t="s">
        <v>291</v>
      </c>
      <c r="E694" s="62" t="n">
        <v>0</v>
      </c>
      <c r="F694" s="26" t="n">
        <v>0</v>
      </c>
      <c r="G694" s="26" t="n">
        <v>0</v>
      </c>
      <c r="H694" s="1" t="s">
        <v>557</v>
      </c>
    </row>
    <row r="695" customFormat="false" ht="15" hidden="false" customHeight="true" outlineLevel="0" collapsed="false">
      <c r="A695" s="1" t="s">
        <v>599</v>
      </c>
      <c r="B695" s="1" t="s">
        <v>47</v>
      </c>
      <c r="C695" s="1" t="s">
        <v>553</v>
      </c>
      <c r="D695" s="1" t="s">
        <v>285</v>
      </c>
      <c r="E695" s="62" t="n">
        <v>0</v>
      </c>
      <c r="F695" s="26" t="n">
        <v>0</v>
      </c>
      <c r="G695" s="26" t="n">
        <v>0</v>
      </c>
      <c r="H695" s="1" t="s">
        <v>558</v>
      </c>
    </row>
    <row r="696" customFormat="false" ht="15" hidden="false" customHeight="true" outlineLevel="0" collapsed="false">
      <c r="A696" s="1" t="s">
        <v>599</v>
      </c>
      <c r="B696" s="1" t="s">
        <v>47</v>
      </c>
      <c r="C696" s="1" t="s">
        <v>553</v>
      </c>
      <c r="D696" s="1" t="s">
        <v>286</v>
      </c>
      <c r="E696" s="62" t="n">
        <v>0</v>
      </c>
      <c r="F696" s="26" t="n">
        <v>0</v>
      </c>
      <c r="G696" s="26" t="n">
        <v>0</v>
      </c>
      <c r="H696" s="1" t="s">
        <v>556</v>
      </c>
    </row>
    <row r="697" customFormat="false" ht="15" hidden="false" customHeight="true" outlineLevel="0" collapsed="false">
      <c r="A697" s="1" t="s">
        <v>599</v>
      </c>
      <c r="B697" s="1" t="s">
        <v>47</v>
      </c>
      <c r="C697" s="1" t="s">
        <v>553</v>
      </c>
      <c r="D697" s="1" t="s">
        <v>283</v>
      </c>
      <c r="E697" s="62" t="n">
        <v>0</v>
      </c>
      <c r="F697" s="26" t="n">
        <v>0</v>
      </c>
      <c r="G697" s="26" t="n">
        <v>0</v>
      </c>
      <c r="H697" s="1" t="s">
        <v>559</v>
      </c>
    </row>
    <row r="698" customFormat="false" ht="15" hidden="false" customHeight="true" outlineLevel="0" collapsed="false">
      <c r="A698" s="1" t="s">
        <v>599</v>
      </c>
      <c r="B698" s="1" t="s">
        <v>85</v>
      </c>
      <c r="C698" s="1" t="s">
        <v>560</v>
      </c>
      <c r="D698" s="1" t="s">
        <v>276</v>
      </c>
      <c r="E698" s="62" t="n">
        <v>144</v>
      </c>
      <c r="F698" s="26" t="n">
        <v>123.13</v>
      </c>
      <c r="G698" s="26" t="n">
        <v>17730.72</v>
      </c>
      <c r="H698" s="1" t="s">
        <v>597</v>
      </c>
    </row>
    <row r="699" customFormat="false" ht="15" hidden="false" customHeight="true" outlineLevel="0" collapsed="false">
      <c r="A699" s="1" t="s">
        <v>599</v>
      </c>
      <c r="B699" s="1" t="s">
        <v>85</v>
      </c>
      <c r="C699" s="1" t="s">
        <v>560</v>
      </c>
      <c r="D699" s="1" t="s">
        <v>288</v>
      </c>
      <c r="E699" s="62" t="n">
        <v>3</v>
      </c>
      <c r="F699" s="26" t="n">
        <v>155.82</v>
      </c>
      <c r="G699" s="26" t="n">
        <v>467.46</v>
      </c>
      <c r="H699" s="1" t="s">
        <v>597</v>
      </c>
    </row>
    <row r="700" customFormat="false" ht="15" hidden="false" customHeight="true" outlineLevel="0" collapsed="false">
      <c r="A700" s="1" t="s">
        <v>599</v>
      </c>
      <c r="B700" s="1" t="s">
        <v>85</v>
      </c>
      <c r="C700" s="1" t="s">
        <v>560</v>
      </c>
      <c r="D700" s="1" t="s">
        <v>290</v>
      </c>
      <c r="E700" s="62" t="n">
        <v>18</v>
      </c>
      <c r="F700" s="26" t="n">
        <v>139.33</v>
      </c>
      <c r="G700" s="26" t="n">
        <v>2507.94</v>
      </c>
      <c r="H700" s="1" t="s">
        <v>562</v>
      </c>
    </row>
    <row r="701" customFormat="false" ht="15" hidden="false" customHeight="true" outlineLevel="0" collapsed="false">
      <c r="A701" s="1" t="s">
        <v>599</v>
      </c>
      <c r="B701" s="1" t="s">
        <v>85</v>
      </c>
      <c r="C701" s="1" t="s">
        <v>560</v>
      </c>
      <c r="D701" s="1" t="s">
        <v>294</v>
      </c>
      <c r="E701" s="62" t="n">
        <v>15</v>
      </c>
      <c r="F701" s="26" t="n">
        <v>158.22</v>
      </c>
      <c r="G701" s="26" t="n">
        <v>2373.3</v>
      </c>
      <c r="H701" s="1" t="s">
        <v>562</v>
      </c>
    </row>
    <row r="702" customFormat="false" ht="15" hidden="false" customHeight="true" outlineLevel="0" collapsed="false">
      <c r="A702" s="1" t="s">
        <v>599</v>
      </c>
      <c r="B702" s="1" t="s">
        <v>85</v>
      </c>
      <c r="C702" s="1" t="s">
        <v>560</v>
      </c>
      <c r="D702" s="1" t="s">
        <v>291</v>
      </c>
      <c r="E702" s="62" t="n">
        <v>26</v>
      </c>
      <c r="F702" s="26" t="n">
        <v>155.59</v>
      </c>
      <c r="G702" s="26" t="n">
        <v>4045.34</v>
      </c>
      <c r="H702" s="1" t="s">
        <v>562</v>
      </c>
    </row>
    <row r="703" customFormat="false" ht="15" hidden="false" customHeight="true" outlineLevel="0" collapsed="false">
      <c r="A703" s="1" t="s">
        <v>599</v>
      </c>
      <c r="B703" s="1" t="s">
        <v>85</v>
      </c>
      <c r="C703" s="1" t="s">
        <v>560</v>
      </c>
      <c r="D703" s="1" t="s">
        <v>285</v>
      </c>
      <c r="E703" s="62" t="n">
        <v>11</v>
      </c>
      <c r="F703" s="26" t="n">
        <v>106.24</v>
      </c>
      <c r="G703" s="26" t="n">
        <v>1168.64</v>
      </c>
      <c r="H703" s="1" t="s">
        <v>562</v>
      </c>
    </row>
    <row r="704" customFormat="false" ht="15" hidden="false" customHeight="true" outlineLevel="0" collapsed="false">
      <c r="A704" s="1" t="s">
        <v>599</v>
      </c>
      <c r="B704" s="1" t="s">
        <v>85</v>
      </c>
      <c r="C704" s="1" t="s">
        <v>560</v>
      </c>
      <c r="D704" s="1" t="s">
        <v>286</v>
      </c>
      <c r="E704" s="62" t="n">
        <v>2</v>
      </c>
      <c r="F704" s="26" t="n">
        <v>143.82</v>
      </c>
      <c r="G704" s="26" t="n">
        <v>287.64</v>
      </c>
      <c r="H704" s="1" t="s">
        <v>562</v>
      </c>
    </row>
    <row r="705" customFormat="false" ht="15" hidden="false" customHeight="true" outlineLevel="0" collapsed="false">
      <c r="A705" s="1" t="s">
        <v>599</v>
      </c>
      <c r="B705" s="1" t="s">
        <v>85</v>
      </c>
      <c r="C705" s="1" t="s">
        <v>560</v>
      </c>
      <c r="D705" s="1" t="s">
        <v>283</v>
      </c>
      <c r="E705" s="62" t="n">
        <v>10</v>
      </c>
      <c r="F705" s="26" t="n">
        <v>146.53</v>
      </c>
      <c r="G705" s="26" t="n">
        <v>1465.3</v>
      </c>
      <c r="H705" s="1" t="s">
        <v>562</v>
      </c>
    </row>
    <row r="706" customFormat="false" ht="15" hidden="false" customHeight="true" outlineLevel="0" collapsed="false">
      <c r="A706" s="1" t="s">
        <v>599</v>
      </c>
      <c r="B706" s="1" t="s">
        <v>85</v>
      </c>
      <c r="C706" s="1" t="s">
        <v>560</v>
      </c>
      <c r="D706" s="1" t="s">
        <v>283</v>
      </c>
      <c r="E706" s="62" t="n">
        <v>10</v>
      </c>
      <c r="F706" s="26" t="n">
        <v>122.11</v>
      </c>
      <c r="G706" s="26" t="n">
        <v>1221.1</v>
      </c>
      <c r="H706" s="1" t="s">
        <v>597</v>
      </c>
    </row>
    <row r="707" customFormat="false" ht="15" hidden="false" customHeight="true" outlineLevel="0" collapsed="false">
      <c r="A707" s="1" t="s">
        <v>599</v>
      </c>
      <c r="B707" s="1" t="s">
        <v>32</v>
      </c>
      <c r="C707" s="1" t="s">
        <v>563</v>
      </c>
      <c r="D707" s="1" t="s">
        <v>288</v>
      </c>
      <c r="E707" s="62" t="n">
        <v>0</v>
      </c>
      <c r="F707" s="26" t="n">
        <v>0</v>
      </c>
      <c r="G707" s="26" t="n">
        <v>0</v>
      </c>
      <c r="H707" s="1" t="s">
        <v>564</v>
      </c>
    </row>
    <row r="708" customFormat="false" ht="15" hidden="false" customHeight="true" outlineLevel="0" collapsed="false">
      <c r="A708" s="1" t="s">
        <v>599</v>
      </c>
      <c r="B708" s="1" t="s">
        <v>32</v>
      </c>
      <c r="C708" s="1" t="s">
        <v>565</v>
      </c>
      <c r="D708" s="1" t="s">
        <v>288</v>
      </c>
      <c r="E708" s="62" t="n">
        <v>0</v>
      </c>
      <c r="F708" s="26" t="n">
        <v>0</v>
      </c>
      <c r="G708" s="26" t="n">
        <v>0</v>
      </c>
      <c r="H708" s="1" t="s">
        <v>566</v>
      </c>
    </row>
    <row r="709" customFormat="false" ht="15" hidden="false" customHeight="true" outlineLevel="0" collapsed="false">
      <c r="A709" s="1" t="s">
        <v>599</v>
      </c>
      <c r="B709" s="1" t="s">
        <v>32</v>
      </c>
      <c r="C709" s="1" t="s">
        <v>563</v>
      </c>
      <c r="D709" s="1" t="s">
        <v>294</v>
      </c>
      <c r="E709" s="62" t="n">
        <v>0</v>
      </c>
      <c r="F709" s="26" t="n">
        <v>0</v>
      </c>
      <c r="G709" s="26" t="n">
        <v>0</v>
      </c>
      <c r="H709" s="1" t="s">
        <v>564</v>
      </c>
    </row>
    <row r="710" customFormat="false" ht="15" hidden="false" customHeight="true" outlineLevel="0" collapsed="false">
      <c r="A710" s="1" t="s">
        <v>599</v>
      </c>
      <c r="B710" s="1" t="s">
        <v>32</v>
      </c>
      <c r="C710" s="1" t="s">
        <v>565</v>
      </c>
      <c r="D710" s="1" t="s">
        <v>294</v>
      </c>
      <c r="E710" s="62" t="n">
        <v>0</v>
      </c>
      <c r="F710" s="26" t="n">
        <v>0</v>
      </c>
      <c r="G710" s="26" t="n">
        <v>0</v>
      </c>
      <c r="H710" s="1" t="s">
        <v>567</v>
      </c>
    </row>
    <row r="711" customFormat="false" ht="15" hidden="false" customHeight="true" outlineLevel="0" collapsed="false">
      <c r="A711" s="1" t="s">
        <v>599</v>
      </c>
      <c r="B711" s="1" t="s">
        <v>32</v>
      </c>
      <c r="C711" s="1" t="s">
        <v>563</v>
      </c>
      <c r="D711" s="1" t="s">
        <v>291</v>
      </c>
      <c r="E711" s="62" t="n">
        <v>0</v>
      </c>
      <c r="F711" s="26" t="n">
        <v>0</v>
      </c>
      <c r="G711" s="26" t="n">
        <v>0</v>
      </c>
      <c r="H711" s="1" t="s">
        <v>564</v>
      </c>
    </row>
    <row r="712" customFormat="false" ht="15" hidden="false" customHeight="true" outlineLevel="0" collapsed="false">
      <c r="A712" s="1" t="s">
        <v>599</v>
      </c>
      <c r="B712" s="1" t="s">
        <v>32</v>
      </c>
      <c r="C712" s="1" t="s">
        <v>563</v>
      </c>
      <c r="D712" s="1" t="s">
        <v>291</v>
      </c>
      <c r="E712" s="62" t="n">
        <v>0</v>
      </c>
      <c r="F712" s="26" t="n">
        <v>0</v>
      </c>
      <c r="G712" s="26" t="n">
        <v>0</v>
      </c>
      <c r="H712" s="1" t="s">
        <v>564</v>
      </c>
    </row>
    <row r="713" customFormat="false" ht="15" hidden="false" customHeight="true" outlineLevel="0" collapsed="false">
      <c r="A713" s="1" t="s">
        <v>599</v>
      </c>
      <c r="B713" s="1" t="s">
        <v>32</v>
      </c>
      <c r="C713" s="1" t="s">
        <v>563</v>
      </c>
      <c r="D713" s="1" t="s">
        <v>285</v>
      </c>
      <c r="E713" s="62" t="n">
        <v>0</v>
      </c>
      <c r="F713" s="26" t="n">
        <v>0</v>
      </c>
      <c r="G713" s="26" t="n">
        <v>0</v>
      </c>
      <c r="H713" s="1" t="s">
        <v>564</v>
      </c>
    </row>
    <row r="714" customFormat="false" ht="15" hidden="false" customHeight="true" outlineLevel="0" collapsed="false">
      <c r="A714" s="1" t="s">
        <v>599</v>
      </c>
      <c r="B714" s="1" t="s">
        <v>32</v>
      </c>
      <c r="C714" s="1" t="s">
        <v>565</v>
      </c>
      <c r="D714" s="1" t="s">
        <v>285</v>
      </c>
      <c r="E714" s="62" t="n">
        <v>0</v>
      </c>
      <c r="F714" s="26" t="n">
        <v>0</v>
      </c>
      <c r="G714" s="26" t="n">
        <v>0</v>
      </c>
      <c r="H714" s="1" t="s">
        <v>566</v>
      </c>
    </row>
    <row r="715" customFormat="false" ht="15" hidden="false" customHeight="true" outlineLevel="0" collapsed="false">
      <c r="A715" s="1" t="s">
        <v>599</v>
      </c>
      <c r="B715" s="1" t="s">
        <v>32</v>
      </c>
      <c r="C715" s="1" t="s">
        <v>563</v>
      </c>
      <c r="D715" s="1" t="s">
        <v>286</v>
      </c>
      <c r="E715" s="62" t="n">
        <v>0</v>
      </c>
      <c r="F715" s="26" t="n">
        <v>0</v>
      </c>
      <c r="G715" s="26" t="n">
        <v>0</v>
      </c>
      <c r="H715" s="1" t="s">
        <v>564</v>
      </c>
    </row>
    <row r="716" customFormat="false" ht="15" hidden="false" customHeight="true" outlineLevel="0" collapsed="false">
      <c r="A716" s="1" t="s">
        <v>599</v>
      </c>
      <c r="B716" s="1" t="s">
        <v>32</v>
      </c>
      <c r="C716" s="1" t="s">
        <v>563</v>
      </c>
      <c r="D716" s="1" t="s">
        <v>283</v>
      </c>
      <c r="E716" s="62" t="n">
        <v>0</v>
      </c>
      <c r="F716" s="26" t="n">
        <v>0</v>
      </c>
      <c r="G716" s="26" t="n">
        <v>0</v>
      </c>
      <c r="H716" s="1" t="s">
        <v>564</v>
      </c>
    </row>
    <row r="717" customFormat="false" ht="15" hidden="false" customHeight="true" outlineLevel="0" collapsed="false">
      <c r="A717" s="1" t="s">
        <v>599</v>
      </c>
      <c r="B717" s="1" t="s">
        <v>32</v>
      </c>
      <c r="C717" s="1" t="s">
        <v>565</v>
      </c>
      <c r="D717" s="1" t="s">
        <v>283</v>
      </c>
      <c r="E717" s="62" t="n">
        <v>0</v>
      </c>
      <c r="F717" s="26" t="n">
        <v>0</v>
      </c>
      <c r="G717" s="26" t="n">
        <v>0</v>
      </c>
      <c r="H717" s="1" t="s">
        <v>568</v>
      </c>
    </row>
    <row r="718" customFormat="false" ht="15" hidden="false" customHeight="true" outlineLevel="0" collapsed="false">
      <c r="A718" s="1" t="s">
        <v>599</v>
      </c>
      <c r="B718" s="1" t="s">
        <v>569</v>
      </c>
      <c r="C718" s="1" t="s">
        <v>570</v>
      </c>
      <c r="D718" s="1" t="s">
        <v>290</v>
      </c>
      <c r="E718" s="62" t="n">
        <v>13418</v>
      </c>
      <c r="F718" s="26" t="n">
        <v>2.99991610765306</v>
      </c>
      <c r="G718" s="26" t="n">
        <v>40252.874332</v>
      </c>
      <c r="H718" s="1" t="s">
        <v>395</v>
      </c>
    </row>
    <row r="719" customFormat="false" ht="15" hidden="false" customHeight="true" outlineLevel="0" collapsed="false">
      <c r="A719" s="1" t="s">
        <v>599</v>
      </c>
      <c r="B719" s="1" t="s">
        <v>44</v>
      </c>
      <c r="C719" s="1" t="s">
        <v>571</v>
      </c>
      <c r="D719" s="1" t="s">
        <v>288</v>
      </c>
      <c r="E719" s="62" t="n">
        <v>-1</v>
      </c>
      <c r="F719" s="26" t="n">
        <v>514.86</v>
      </c>
      <c r="G719" s="26" t="n">
        <v>-514.86</v>
      </c>
      <c r="H719" s="1" t="s">
        <v>623</v>
      </c>
    </row>
    <row r="720" customFormat="false" ht="15" hidden="false" customHeight="true" outlineLevel="0" collapsed="false">
      <c r="A720" s="1" t="s">
        <v>599</v>
      </c>
      <c r="B720" s="1" t="s">
        <v>44</v>
      </c>
      <c r="C720" s="1" t="s">
        <v>571</v>
      </c>
      <c r="D720" s="1" t="s">
        <v>290</v>
      </c>
      <c r="E720" s="62" t="n">
        <v>0</v>
      </c>
      <c r="F720" s="26" t="n">
        <v>0</v>
      </c>
      <c r="G720" s="26" t="n">
        <v>0</v>
      </c>
      <c r="H720" s="1" t="s">
        <v>624</v>
      </c>
    </row>
    <row r="721" customFormat="false" ht="15" hidden="false" customHeight="true" outlineLevel="0" collapsed="false">
      <c r="A721" s="1" t="s">
        <v>599</v>
      </c>
      <c r="B721" s="1" t="s">
        <v>44</v>
      </c>
      <c r="C721" s="1" t="s">
        <v>574</v>
      </c>
      <c r="D721" s="1" t="s">
        <v>290</v>
      </c>
      <c r="E721" s="62" t="n">
        <v>0</v>
      </c>
      <c r="F721" s="26" t="n">
        <v>0</v>
      </c>
      <c r="G721" s="26" t="n">
        <v>0</v>
      </c>
      <c r="H721" s="1" t="s">
        <v>575</v>
      </c>
    </row>
    <row r="722" customFormat="false" ht="15" hidden="false" customHeight="true" outlineLevel="0" collapsed="false">
      <c r="A722" s="1" t="s">
        <v>599</v>
      </c>
      <c r="B722" s="1" t="s">
        <v>44</v>
      </c>
      <c r="C722" s="1" t="s">
        <v>576</v>
      </c>
      <c r="D722" s="1" t="s">
        <v>290</v>
      </c>
      <c r="E722" s="62" t="n">
        <v>0</v>
      </c>
      <c r="F722" s="26" t="n">
        <v>0</v>
      </c>
      <c r="G722" s="26" t="n">
        <v>0</v>
      </c>
      <c r="H722" s="1" t="s">
        <v>577</v>
      </c>
    </row>
    <row r="723" customFormat="false" ht="15" hidden="false" customHeight="true" outlineLevel="0" collapsed="false">
      <c r="A723" s="1" t="s">
        <v>599</v>
      </c>
      <c r="B723" s="1" t="s">
        <v>44</v>
      </c>
      <c r="C723" s="1" t="s">
        <v>578</v>
      </c>
      <c r="D723" s="1" t="s">
        <v>290</v>
      </c>
      <c r="E723" s="62" t="n">
        <v>0</v>
      </c>
      <c r="F723" s="26" t="n">
        <v>0</v>
      </c>
      <c r="G723" s="26" t="n">
        <v>0</v>
      </c>
      <c r="H723" s="1" t="s">
        <v>579</v>
      </c>
    </row>
    <row r="724" customFormat="false" ht="15" hidden="false" customHeight="true" outlineLevel="0" collapsed="false">
      <c r="A724" s="1" t="s">
        <v>599</v>
      </c>
      <c r="B724" s="1" t="s">
        <v>44</v>
      </c>
      <c r="C724" s="1" t="s">
        <v>571</v>
      </c>
      <c r="D724" s="1" t="s">
        <v>294</v>
      </c>
      <c r="E724" s="62" t="n">
        <v>1</v>
      </c>
      <c r="F724" s="26" t="n">
        <v>987.11</v>
      </c>
      <c r="G724" s="26" t="n">
        <v>987.11</v>
      </c>
      <c r="H724" s="1" t="s">
        <v>624</v>
      </c>
    </row>
    <row r="725" customFormat="false" ht="15" hidden="false" customHeight="true" outlineLevel="0" collapsed="false">
      <c r="A725" s="1" t="s">
        <v>599</v>
      </c>
      <c r="B725" s="1" t="s">
        <v>44</v>
      </c>
      <c r="C725" s="1" t="s">
        <v>571</v>
      </c>
      <c r="D725" s="1" t="s">
        <v>294</v>
      </c>
      <c r="E725" s="62" t="n">
        <v>0</v>
      </c>
      <c r="F725" s="26" t="n">
        <v>0</v>
      </c>
      <c r="G725" s="26" t="n">
        <v>0</v>
      </c>
      <c r="H725" s="1" t="s">
        <v>573</v>
      </c>
    </row>
    <row r="726" customFormat="false" ht="15" hidden="false" customHeight="true" outlineLevel="0" collapsed="false">
      <c r="A726" s="1" t="s">
        <v>599</v>
      </c>
      <c r="B726" s="1" t="s">
        <v>44</v>
      </c>
      <c r="C726" s="1" t="s">
        <v>580</v>
      </c>
      <c r="D726" s="1" t="s">
        <v>294</v>
      </c>
      <c r="E726" s="62" t="n">
        <v>0</v>
      </c>
      <c r="F726" s="26" t="n">
        <v>0</v>
      </c>
      <c r="G726" s="26" t="n">
        <v>0</v>
      </c>
      <c r="H726" s="1" t="s">
        <v>575</v>
      </c>
    </row>
    <row r="727" customFormat="false" ht="15" hidden="false" customHeight="true" outlineLevel="0" collapsed="false">
      <c r="A727" s="1" t="s">
        <v>599</v>
      </c>
      <c r="B727" s="1" t="s">
        <v>44</v>
      </c>
      <c r="C727" s="1" t="s">
        <v>581</v>
      </c>
      <c r="D727" s="1" t="s">
        <v>294</v>
      </c>
      <c r="E727" s="62" t="n">
        <v>0</v>
      </c>
      <c r="F727" s="26" t="n">
        <v>0</v>
      </c>
      <c r="G727" s="26" t="n">
        <v>0</v>
      </c>
      <c r="H727" s="1" t="s">
        <v>579</v>
      </c>
    </row>
    <row r="728" customFormat="false" ht="15" hidden="false" customHeight="true" outlineLevel="0" collapsed="false">
      <c r="A728" s="1" t="s">
        <v>599</v>
      </c>
      <c r="B728" s="1" t="s">
        <v>44</v>
      </c>
      <c r="C728" s="1" t="s">
        <v>571</v>
      </c>
      <c r="D728" s="1" t="s">
        <v>291</v>
      </c>
      <c r="E728" s="62" t="n">
        <v>1</v>
      </c>
      <c r="F728" s="26" t="n">
        <v>3707.87</v>
      </c>
      <c r="G728" s="26" t="n">
        <v>3707.87</v>
      </c>
      <c r="H728" s="1" t="s">
        <v>624</v>
      </c>
    </row>
    <row r="729" customFormat="false" ht="15" hidden="false" customHeight="true" outlineLevel="0" collapsed="false">
      <c r="A729" s="1" t="s">
        <v>599</v>
      </c>
      <c r="B729" s="1" t="s">
        <v>44</v>
      </c>
      <c r="C729" s="1" t="s">
        <v>582</v>
      </c>
      <c r="D729" s="1" t="s">
        <v>291</v>
      </c>
      <c r="E729" s="62" t="n">
        <v>-1</v>
      </c>
      <c r="F729" s="26" t="n">
        <v>245.98</v>
      </c>
      <c r="G729" s="26" t="n">
        <v>-245.98</v>
      </c>
      <c r="H729" s="1" t="s">
        <v>575</v>
      </c>
    </row>
    <row r="730" customFormat="false" ht="15" hidden="false" customHeight="true" outlineLevel="0" collapsed="false">
      <c r="A730" s="1" t="s">
        <v>599</v>
      </c>
      <c r="B730" s="1" t="s">
        <v>44</v>
      </c>
      <c r="C730" s="1" t="s">
        <v>583</v>
      </c>
      <c r="D730" s="1" t="s">
        <v>291</v>
      </c>
      <c r="E730" s="62" t="n">
        <v>-1</v>
      </c>
      <c r="F730" s="26" t="n">
        <v>451.06</v>
      </c>
      <c r="G730" s="26" t="n">
        <v>-451.06</v>
      </c>
      <c r="H730" s="1" t="s">
        <v>575</v>
      </c>
    </row>
    <row r="731" customFormat="false" ht="15" hidden="false" customHeight="true" outlineLevel="0" collapsed="false">
      <c r="A731" s="1" t="s">
        <v>599</v>
      </c>
      <c r="B731" s="1" t="s">
        <v>44</v>
      </c>
      <c r="C731" s="1" t="s">
        <v>585</v>
      </c>
      <c r="D731" s="1" t="s">
        <v>291</v>
      </c>
      <c r="E731" s="62" t="n">
        <v>-1</v>
      </c>
      <c r="F731" s="26" t="n">
        <v>589.14</v>
      </c>
      <c r="G731" s="26" t="n">
        <v>-589.14</v>
      </c>
      <c r="H731" s="1" t="s">
        <v>579</v>
      </c>
    </row>
    <row r="732" customFormat="false" ht="15" hidden="false" customHeight="true" outlineLevel="0" collapsed="false">
      <c r="A732" s="1" t="s">
        <v>599</v>
      </c>
      <c r="B732" s="1" t="s">
        <v>44</v>
      </c>
      <c r="C732" s="1" t="s">
        <v>585</v>
      </c>
      <c r="D732" s="1" t="s">
        <v>291</v>
      </c>
      <c r="E732" s="62" t="n">
        <v>-1</v>
      </c>
      <c r="F732" s="26" t="n">
        <v>171.62</v>
      </c>
      <c r="G732" s="26" t="n">
        <v>-171.62</v>
      </c>
      <c r="H732" s="1" t="s">
        <v>572</v>
      </c>
    </row>
    <row r="733" customFormat="false" ht="15" hidden="false" customHeight="true" outlineLevel="0" collapsed="false">
      <c r="A733" s="1" t="s">
        <v>599</v>
      </c>
      <c r="B733" s="1" t="s">
        <v>44</v>
      </c>
      <c r="C733" s="1" t="s">
        <v>625</v>
      </c>
      <c r="D733" s="1" t="s">
        <v>291</v>
      </c>
      <c r="E733" s="62" t="n">
        <v>-1</v>
      </c>
      <c r="F733" s="26" t="n">
        <v>158.76</v>
      </c>
      <c r="G733" s="26" t="n">
        <v>-158.76</v>
      </c>
      <c r="H733" s="1" t="s">
        <v>579</v>
      </c>
    </row>
    <row r="734" customFormat="false" ht="15" hidden="false" customHeight="true" outlineLevel="0" collapsed="false">
      <c r="A734" s="1" t="s">
        <v>599</v>
      </c>
      <c r="B734" s="1" t="s">
        <v>44</v>
      </c>
      <c r="C734" s="1" t="s">
        <v>571</v>
      </c>
      <c r="D734" s="1" t="s">
        <v>285</v>
      </c>
      <c r="E734" s="62" t="n">
        <v>1</v>
      </c>
      <c r="F734" s="26" t="n">
        <v>4497.36</v>
      </c>
      <c r="G734" s="26" t="n">
        <v>4497.36</v>
      </c>
      <c r="H734" s="1" t="s">
        <v>573</v>
      </c>
    </row>
    <row r="735" customFormat="false" ht="15" hidden="false" customHeight="true" outlineLevel="0" collapsed="false">
      <c r="A735" s="1" t="s">
        <v>599</v>
      </c>
      <c r="B735" s="1" t="s">
        <v>44</v>
      </c>
      <c r="C735" s="1" t="s">
        <v>571</v>
      </c>
      <c r="D735" s="1" t="s">
        <v>285</v>
      </c>
      <c r="E735" s="62" t="n">
        <v>0</v>
      </c>
      <c r="F735" s="26" t="n">
        <v>0</v>
      </c>
      <c r="G735" s="26" t="n">
        <v>0</v>
      </c>
      <c r="H735" s="1" t="s">
        <v>573</v>
      </c>
    </row>
    <row r="736" customFormat="false" ht="15" hidden="false" customHeight="true" outlineLevel="0" collapsed="false">
      <c r="A736" s="1" t="s">
        <v>599</v>
      </c>
      <c r="B736" s="1" t="s">
        <v>44</v>
      </c>
      <c r="C736" s="1" t="s">
        <v>583</v>
      </c>
      <c r="D736" s="1" t="s">
        <v>285</v>
      </c>
      <c r="E736" s="62" t="n">
        <v>1</v>
      </c>
      <c r="F736" s="26" t="n">
        <v>158.76</v>
      </c>
      <c r="G736" s="26" t="n">
        <v>158.76</v>
      </c>
      <c r="H736" s="1" t="s">
        <v>579</v>
      </c>
    </row>
    <row r="737" customFormat="false" ht="15" hidden="false" customHeight="true" outlineLevel="0" collapsed="false">
      <c r="A737" s="1" t="s">
        <v>599</v>
      </c>
      <c r="B737" s="1" t="s">
        <v>44</v>
      </c>
      <c r="C737" s="1" t="s">
        <v>584</v>
      </c>
      <c r="D737" s="1" t="s">
        <v>285</v>
      </c>
      <c r="E737" s="62" t="n">
        <v>1</v>
      </c>
      <c r="F737" s="26" t="n">
        <v>451.06</v>
      </c>
      <c r="G737" s="26" t="n">
        <v>451.06</v>
      </c>
      <c r="H737" s="1" t="s">
        <v>579</v>
      </c>
    </row>
    <row r="738" customFormat="false" ht="15" hidden="false" customHeight="true" outlineLevel="0" collapsed="false">
      <c r="A738" s="1" t="s">
        <v>599</v>
      </c>
      <c r="B738" s="1" t="s">
        <v>44</v>
      </c>
      <c r="C738" s="1" t="s">
        <v>571</v>
      </c>
      <c r="D738" s="1" t="s">
        <v>286</v>
      </c>
      <c r="E738" s="62" t="n">
        <v>1</v>
      </c>
      <c r="F738" s="26" t="n">
        <v>368.28</v>
      </c>
      <c r="G738" s="26" t="n">
        <v>368.28</v>
      </c>
      <c r="H738" s="1" t="s">
        <v>624</v>
      </c>
    </row>
    <row r="739" customFormat="false" ht="15" hidden="false" customHeight="true" outlineLevel="0" collapsed="false">
      <c r="A739" s="1" t="s">
        <v>599</v>
      </c>
      <c r="B739" s="1" t="s">
        <v>44</v>
      </c>
      <c r="C739" s="1" t="s">
        <v>571</v>
      </c>
      <c r="D739" s="1" t="s">
        <v>286</v>
      </c>
      <c r="E739" s="62" t="n">
        <v>0</v>
      </c>
      <c r="F739" s="26" t="n">
        <v>0</v>
      </c>
      <c r="G739" s="26" t="n">
        <v>0</v>
      </c>
      <c r="H739" s="1" t="s">
        <v>572</v>
      </c>
    </row>
    <row r="740" customFormat="false" ht="15" hidden="false" customHeight="true" outlineLevel="0" collapsed="false">
      <c r="A740" s="1" t="s">
        <v>599</v>
      </c>
      <c r="B740" s="1" t="s">
        <v>44</v>
      </c>
      <c r="C740" s="1" t="s">
        <v>571</v>
      </c>
      <c r="D740" s="1" t="s">
        <v>283</v>
      </c>
      <c r="E740" s="62" t="n">
        <v>1</v>
      </c>
      <c r="F740" s="26" t="n">
        <v>1043.05</v>
      </c>
      <c r="G740" s="26" t="n">
        <v>1043.05</v>
      </c>
      <c r="H740" s="1" t="s">
        <v>624</v>
      </c>
    </row>
    <row r="741" customFormat="false" ht="15" hidden="false" customHeight="true" outlineLevel="0" collapsed="false">
      <c r="A741" s="1" t="s">
        <v>599</v>
      </c>
      <c r="B741" s="1" t="s">
        <v>44</v>
      </c>
      <c r="C741" s="1" t="s">
        <v>571</v>
      </c>
      <c r="D741" s="1" t="s">
        <v>283</v>
      </c>
      <c r="E741" s="62" t="n">
        <v>-1</v>
      </c>
      <c r="F741" s="26" t="n">
        <v>4096.89</v>
      </c>
      <c r="G741" s="26" t="n">
        <v>-4096.89</v>
      </c>
      <c r="H741" s="1" t="s">
        <v>572</v>
      </c>
    </row>
    <row r="742" customFormat="false" ht="15" hidden="false" customHeight="true" outlineLevel="0" collapsed="false">
      <c r="A742" s="1" t="s">
        <v>599</v>
      </c>
      <c r="B742" s="1" t="s">
        <v>44</v>
      </c>
      <c r="C742" s="1" t="s">
        <v>586</v>
      </c>
      <c r="D742" s="1" t="s">
        <v>283</v>
      </c>
      <c r="E742" s="62" t="n">
        <v>0</v>
      </c>
      <c r="F742" s="26" t="n">
        <v>0</v>
      </c>
      <c r="G742" s="26" t="n">
        <v>0</v>
      </c>
      <c r="H742" s="1" t="s">
        <v>575</v>
      </c>
    </row>
    <row r="743" customFormat="false" ht="15" hidden="false" customHeight="true" outlineLevel="0" collapsed="false">
      <c r="A743" s="1" t="s">
        <v>599</v>
      </c>
      <c r="B743" s="1" t="s">
        <v>44</v>
      </c>
      <c r="C743" s="1" t="s">
        <v>581</v>
      </c>
      <c r="D743" s="1" t="s">
        <v>283</v>
      </c>
      <c r="E743" s="62" t="n">
        <v>0</v>
      </c>
      <c r="F743" s="26" t="n">
        <v>0</v>
      </c>
      <c r="G743" s="26" t="n">
        <v>0</v>
      </c>
      <c r="H743" s="1" t="s">
        <v>579</v>
      </c>
    </row>
    <row r="744" customFormat="false" ht="15" hidden="false" customHeight="true" outlineLevel="0" collapsed="false">
      <c r="A744" s="1" t="s">
        <v>599</v>
      </c>
      <c r="B744" s="1" t="s">
        <v>87</v>
      </c>
      <c r="C744" s="1" t="s">
        <v>587</v>
      </c>
      <c r="D744" s="1" t="s">
        <v>288</v>
      </c>
      <c r="E744" s="62" t="n">
        <v>2</v>
      </c>
      <c r="F744" s="26" t="n">
        <v>50</v>
      </c>
      <c r="G744" s="26" t="n">
        <v>100</v>
      </c>
      <c r="H744" s="1" t="s">
        <v>588</v>
      </c>
    </row>
    <row r="745" customFormat="false" ht="15" hidden="false" customHeight="true" outlineLevel="0" collapsed="false">
      <c r="A745" s="1" t="s">
        <v>599</v>
      </c>
      <c r="B745" s="1" t="s">
        <v>87</v>
      </c>
      <c r="C745" s="1" t="s">
        <v>587</v>
      </c>
      <c r="D745" s="1" t="s">
        <v>294</v>
      </c>
      <c r="E745" s="62" t="n">
        <v>1</v>
      </c>
      <c r="F745" s="26" t="n">
        <v>10</v>
      </c>
      <c r="G745" s="26" t="n">
        <v>10</v>
      </c>
      <c r="H745" s="1" t="s">
        <v>588</v>
      </c>
    </row>
    <row r="746" customFormat="false" ht="15" hidden="false" customHeight="true" outlineLevel="0" collapsed="false">
      <c r="A746" s="1" t="s">
        <v>599</v>
      </c>
      <c r="B746" s="1" t="s">
        <v>87</v>
      </c>
      <c r="C746" s="1" t="s">
        <v>587</v>
      </c>
      <c r="D746" s="1" t="s">
        <v>291</v>
      </c>
      <c r="E746" s="62" t="n">
        <v>1</v>
      </c>
      <c r="F746" s="26" t="n">
        <v>10</v>
      </c>
      <c r="G746" s="26" t="n">
        <v>10</v>
      </c>
      <c r="H746" s="1" t="s">
        <v>588</v>
      </c>
    </row>
    <row r="747" customFormat="false" ht="15" hidden="false" customHeight="true" outlineLevel="0" collapsed="false">
      <c r="A747" s="1" t="s">
        <v>599</v>
      </c>
      <c r="B747" s="1" t="s">
        <v>87</v>
      </c>
      <c r="C747" s="1" t="s">
        <v>587</v>
      </c>
      <c r="D747" s="1" t="s">
        <v>291</v>
      </c>
      <c r="E747" s="62" t="n">
        <v>5</v>
      </c>
      <c r="F747" s="26" t="n">
        <v>50</v>
      </c>
      <c r="G747" s="26" t="n">
        <v>250</v>
      </c>
      <c r="H747" s="1" t="s">
        <v>588</v>
      </c>
    </row>
    <row r="748" customFormat="false" ht="15" hidden="false" customHeight="true" outlineLevel="0" collapsed="false">
      <c r="A748" s="1" t="s">
        <v>599</v>
      </c>
      <c r="B748" s="1" t="s">
        <v>87</v>
      </c>
      <c r="C748" s="1" t="s">
        <v>587</v>
      </c>
      <c r="D748" s="1" t="s">
        <v>285</v>
      </c>
      <c r="E748" s="62" t="n">
        <v>2</v>
      </c>
      <c r="F748" s="26" t="n">
        <v>50</v>
      </c>
      <c r="G748" s="26" t="n">
        <v>100</v>
      </c>
      <c r="H748" s="1" t="s">
        <v>588</v>
      </c>
    </row>
    <row r="749" customFormat="false" ht="15" hidden="false" customHeight="true" outlineLevel="0" collapsed="false">
      <c r="A749" s="1" t="s">
        <v>599</v>
      </c>
      <c r="B749" s="1" t="s">
        <v>87</v>
      </c>
      <c r="C749" s="1" t="s">
        <v>587</v>
      </c>
      <c r="D749" s="1" t="s">
        <v>286</v>
      </c>
      <c r="E749" s="62" t="n">
        <v>1</v>
      </c>
      <c r="F749" s="26" t="n">
        <v>50</v>
      </c>
      <c r="G749" s="26" t="n">
        <v>50</v>
      </c>
      <c r="H749" s="1" t="s">
        <v>588</v>
      </c>
    </row>
    <row r="750" customFormat="false" ht="15" hidden="false" customHeight="true" outlineLevel="0" collapsed="false">
      <c r="A750" s="1" t="s">
        <v>599</v>
      </c>
      <c r="B750" s="1" t="s">
        <v>87</v>
      </c>
      <c r="C750" s="1" t="s">
        <v>587</v>
      </c>
      <c r="D750" s="1" t="s">
        <v>283</v>
      </c>
      <c r="E750" s="62" t="n">
        <v>1</v>
      </c>
      <c r="F750" s="26" t="n">
        <v>90</v>
      </c>
      <c r="G750" s="26" t="n">
        <v>90</v>
      </c>
      <c r="H750" s="1" t="s">
        <v>588</v>
      </c>
    </row>
    <row r="751" customFormat="false" ht="15" hidden="false" customHeight="true" outlineLevel="0" collapsed="false">
      <c r="A751" s="1" t="s">
        <v>599</v>
      </c>
      <c r="B751" s="1" t="s">
        <v>87</v>
      </c>
      <c r="C751" s="1" t="s">
        <v>587</v>
      </c>
      <c r="D751" s="1" t="s">
        <v>283</v>
      </c>
      <c r="E751" s="62" t="n">
        <v>2</v>
      </c>
      <c r="F751" s="26" t="n">
        <v>10</v>
      </c>
      <c r="G751" s="26" t="n">
        <v>20</v>
      </c>
      <c r="H751" s="1" t="s">
        <v>588</v>
      </c>
    </row>
    <row r="752" customFormat="false" ht="15" hidden="false" customHeight="true" outlineLevel="0" collapsed="false">
      <c r="A752" s="1" t="s">
        <v>599</v>
      </c>
      <c r="B752" s="1" t="s">
        <v>87</v>
      </c>
      <c r="C752" s="1" t="s">
        <v>587</v>
      </c>
      <c r="D752" s="1" t="s">
        <v>283</v>
      </c>
      <c r="E752" s="62" t="n">
        <v>3</v>
      </c>
      <c r="F752" s="26" t="n">
        <v>50</v>
      </c>
      <c r="G752" s="26" t="n">
        <v>150</v>
      </c>
      <c r="H752" s="1" t="s">
        <v>588</v>
      </c>
    </row>
    <row r="753" customFormat="false" ht="15" hidden="false" customHeight="true" outlineLevel="0" collapsed="false">
      <c r="A753" s="1" t="s">
        <v>626</v>
      </c>
      <c r="B753" s="1" t="s">
        <v>396</v>
      </c>
      <c r="C753" s="1" t="s">
        <v>86</v>
      </c>
      <c r="D753" s="1" t="s">
        <v>290</v>
      </c>
      <c r="E753" s="62" t="n">
        <v>13530</v>
      </c>
      <c r="F753" s="26" t="n">
        <v>0.23</v>
      </c>
      <c r="G753" s="26" t="n">
        <v>3111.9</v>
      </c>
      <c r="H753" s="1" t="s">
        <v>395</v>
      </c>
    </row>
    <row r="754" customFormat="false" ht="15" hidden="false" customHeight="true" outlineLevel="0" collapsed="false">
      <c r="A754" s="1" t="s">
        <v>626</v>
      </c>
      <c r="B754" s="1" t="s">
        <v>397</v>
      </c>
      <c r="C754" s="1" t="s">
        <v>398</v>
      </c>
      <c r="D754" s="1" t="s">
        <v>276</v>
      </c>
      <c r="E754" s="62" t="n">
        <v>0</v>
      </c>
      <c r="F754" s="26" t="n">
        <v>0</v>
      </c>
      <c r="G754" s="26" t="n">
        <v>0</v>
      </c>
      <c r="H754" s="1" t="s">
        <v>600</v>
      </c>
    </row>
    <row r="755" customFormat="false" ht="15" hidden="false" customHeight="true" outlineLevel="0" collapsed="false">
      <c r="A755" s="1" t="s">
        <v>626</v>
      </c>
      <c r="B755" s="1" t="s">
        <v>397</v>
      </c>
      <c r="C755" s="1" t="s">
        <v>400</v>
      </c>
      <c r="D755" s="1" t="s">
        <v>276</v>
      </c>
      <c r="E755" s="62" t="n">
        <v>0</v>
      </c>
      <c r="F755" s="26" t="n">
        <v>0</v>
      </c>
      <c r="G755" s="26" t="n">
        <v>0</v>
      </c>
      <c r="H755" s="1" t="s">
        <v>590</v>
      </c>
    </row>
    <row r="756" customFormat="false" ht="15" hidden="false" customHeight="true" outlineLevel="0" collapsed="false">
      <c r="A756" s="1" t="s">
        <v>626</v>
      </c>
      <c r="B756" s="1" t="s">
        <v>397</v>
      </c>
      <c r="C756" s="1" t="s">
        <v>398</v>
      </c>
      <c r="D756" s="1" t="s">
        <v>288</v>
      </c>
      <c r="E756" s="62" t="n">
        <v>0</v>
      </c>
      <c r="F756" s="26" t="n">
        <v>0</v>
      </c>
      <c r="G756" s="26" t="n">
        <v>0</v>
      </c>
      <c r="H756" s="1" t="s">
        <v>399</v>
      </c>
    </row>
    <row r="757" customFormat="false" ht="15" hidden="false" customHeight="true" outlineLevel="0" collapsed="false">
      <c r="A757" s="1" t="s">
        <v>626</v>
      </c>
      <c r="B757" s="1" t="s">
        <v>397</v>
      </c>
      <c r="C757" s="1" t="s">
        <v>400</v>
      </c>
      <c r="D757" s="1" t="s">
        <v>288</v>
      </c>
      <c r="E757" s="62" t="n">
        <v>0</v>
      </c>
      <c r="F757" s="26" t="n">
        <v>0</v>
      </c>
      <c r="G757" s="26" t="n">
        <v>0</v>
      </c>
      <c r="H757" s="1" t="s">
        <v>590</v>
      </c>
    </row>
    <row r="758" customFormat="false" ht="15" hidden="false" customHeight="true" outlineLevel="0" collapsed="false">
      <c r="A758" s="1" t="s">
        <v>626</v>
      </c>
      <c r="B758" s="1" t="s">
        <v>397</v>
      </c>
      <c r="C758" s="1" t="s">
        <v>398</v>
      </c>
      <c r="D758" s="1" t="s">
        <v>290</v>
      </c>
      <c r="E758" s="62" t="n">
        <v>0</v>
      </c>
      <c r="F758" s="26" t="n">
        <v>0</v>
      </c>
      <c r="G758" s="26" t="n">
        <v>0</v>
      </c>
      <c r="H758" s="1" t="s">
        <v>402</v>
      </c>
    </row>
    <row r="759" customFormat="false" ht="15" hidden="false" customHeight="true" outlineLevel="0" collapsed="false">
      <c r="A759" s="1" t="s">
        <v>626</v>
      </c>
      <c r="B759" s="1" t="s">
        <v>397</v>
      </c>
      <c r="C759" s="1" t="s">
        <v>403</v>
      </c>
      <c r="D759" s="1" t="s">
        <v>290</v>
      </c>
      <c r="E759" s="62" t="n">
        <v>0</v>
      </c>
      <c r="F759" s="26" t="n">
        <v>0</v>
      </c>
      <c r="G759" s="26" t="n">
        <v>0</v>
      </c>
      <c r="H759" s="1" t="s">
        <v>404</v>
      </c>
    </row>
    <row r="760" customFormat="false" ht="15" hidden="false" customHeight="true" outlineLevel="0" collapsed="false">
      <c r="A760" s="1" t="s">
        <v>626</v>
      </c>
      <c r="B760" s="1" t="s">
        <v>397</v>
      </c>
      <c r="C760" s="1" t="s">
        <v>398</v>
      </c>
      <c r="D760" s="1" t="s">
        <v>294</v>
      </c>
      <c r="E760" s="62" t="n">
        <v>0</v>
      </c>
      <c r="F760" s="26" t="n">
        <v>0</v>
      </c>
      <c r="G760" s="26" t="n">
        <v>0</v>
      </c>
      <c r="H760" s="1" t="s">
        <v>402</v>
      </c>
    </row>
    <row r="761" customFormat="false" ht="15" hidden="false" customHeight="true" outlineLevel="0" collapsed="false">
      <c r="A761" s="1" t="s">
        <v>626</v>
      </c>
      <c r="B761" s="1" t="s">
        <v>397</v>
      </c>
      <c r="C761" s="1" t="s">
        <v>400</v>
      </c>
      <c r="D761" s="1" t="s">
        <v>294</v>
      </c>
      <c r="E761" s="62" t="n">
        <v>0</v>
      </c>
      <c r="F761" s="26" t="n">
        <v>0</v>
      </c>
      <c r="G761" s="26" t="n">
        <v>0</v>
      </c>
      <c r="H761" s="1" t="s">
        <v>590</v>
      </c>
    </row>
    <row r="762" customFormat="false" ht="15" hidden="false" customHeight="true" outlineLevel="0" collapsed="false">
      <c r="A762" s="1" t="s">
        <v>626</v>
      </c>
      <c r="B762" s="1" t="s">
        <v>397</v>
      </c>
      <c r="C762" s="1" t="s">
        <v>398</v>
      </c>
      <c r="D762" s="1" t="s">
        <v>291</v>
      </c>
      <c r="E762" s="62" t="n">
        <v>0</v>
      </c>
      <c r="F762" s="26" t="n">
        <v>0</v>
      </c>
      <c r="G762" s="26" t="n">
        <v>0</v>
      </c>
      <c r="H762" s="1" t="s">
        <v>399</v>
      </c>
    </row>
    <row r="763" customFormat="false" ht="15" hidden="false" customHeight="true" outlineLevel="0" collapsed="false">
      <c r="A763" s="1" t="s">
        <v>626</v>
      </c>
      <c r="B763" s="1" t="s">
        <v>397</v>
      </c>
      <c r="C763" s="1" t="s">
        <v>400</v>
      </c>
      <c r="D763" s="1" t="s">
        <v>291</v>
      </c>
      <c r="E763" s="62" t="n">
        <v>0</v>
      </c>
      <c r="F763" s="26" t="n">
        <v>0</v>
      </c>
      <c r="G763" s="26" t="n">
        <v>0</v>
      </c>
      <c r="H763" s="1" t="s">
        <v>401</v>
      </c>
    </row>
    <row r="764" customFormat="false" ht="15" hidden="false" customHeight="true" outlineLevel="0" collapsed="false">
      <c r="A764" s="1" t="s">
        <v>626</v>
      </c>
      <c r="B764" s="1" t="s">
        <v>397</v>
      </c>
      <c r="C764" s="1" t="s">
        <v>398</v>
      </c>
      <c r="D764" s="1" t="s">
        <v>285</v>
      </c>
      <c r="E764" s="62" t="n">
        <v>0</v>
      </c>
      <c r="F764" s="26" t="n">
        <v>0</v>
      </c>
      <c r="G764" s="26" t="n">
        <v>0</v>
      </c>
      <c r="H764" s="1" t="s">
        <v>406</v>
      </c>
    </row>
    <row r="765" customFormat="false" ht="15" hidden="false" customHeight="true" outlineLevel="0" collapsed="false">
      <c r="A765" s="1" t="s">
        <v>626</v>
      </c>
      <c r="B765" s="1" t="s">
        <v>397</v>
      </c>
      <c r="C765" s="1" t="s">
        <v>400</v>
      </c>
      <c r="D765" s="1" t="s">
        <v>285</v>
      </c>
      <c r="E765" s="62" t="n">
        <v>0</v>
      </c>
      <c r="F765" s="26" t="n">
        <v>0</v>
      </c>
      <c r="G765" s="26" t="n">
        <v>0</v>
      </c>
      <c r="H765" s="1" t="s">
        <v>590</v>
      </c>
    </row>
    <row r="766" customFormat="false" ht="15" hidden="false" customHeight="true" outlineLevel="0" collapsed="false">
      <c r="A766" s="1" t="s">
        <v>626</v>
      </c>
      <c r="B766" s="1" t="s">
        <v>397</v>
      </c>
      <c r="C766" s="1" t="s">
        <v>400</v>
      </c>
      <c r="D766" s="1" t="s">
        <v>285</v>
      </c>
      <c r="E766" s="62" t="n">
        <v>0</v>
      </c>
      <c r="F766" s="26" t="n">
        <v>0</v>
      </c>
      <c r="G766" s="26" t="n">
        <v>0</v>
      </c>
      <c r="H766" s="1" t="s">
        <v>401</v>
      </c>
    </row>
    <row r="767" customFormat="false" ht="15" hidden="false" customHeight="true" outlineLevel="0" collapsed="false">
      <c r="A767" s="1" t="s">
        <v>626</v>
      </c>
      <c r="B767" s="1" t="s">
        <v>397</v>
      </c>
      <c r="C767" s="1" t="s">
        <v>398</v>
      </c>
      <c r="D767" s="1" t="s">
        <v>286</v>
      </c>
      <c r="E767" s="62" t="n">
        <v>0</v>
      </c>
      <c r="F767" s="26" t="n">
        <v>0</v>
      </c>
      <c r="G767" s="26" t="n">
        <v>0</v>
      </c>
      <c r="H767" s="1" t="s">
        <v>402</v>
      </c>
    </row>
    <row r="768" customFormat="false" ht="15" hidden="false" customHeight="true" outlineLevel="0" collapsed="false">
      <c r="A768" s="1" t="s">
        <v>626</v>
      </c>
      <c r="B768" s="1" t="s">
        <v>397</v>
      </c>
      <c r="C768" s="1" t="s">
        <v>398</v>
      </c>
      <c r="D768" s="1" t="s">
        <v>286</v>
      </c>
      <c r="E768" s="62" t="n">
        <v>0</v>
      </c>
      <c r="F768" s="26" t="n">
        <v>0</v>
      </c>
      <c r="G768" s="26" t="n">
        <v>0</v>
      </c>
      <c r="H768" s="1" t="s">
        <v>407</v>
      </c>
    </row>
    <row r="769" customFormat="false" ht="15" hidden="false" customHeight="true" outlineLevel="0" collapsed="false">
      <c r="A769" s="1" t="s">
        <v>626</v>
      </c>
      <c r="B769" s="1" t="s">
        <v>78</v>
      </c>
      <c r="C769" s="1" t="s">
        <v>408</v>
      </c>
      <c r="D769" s="1" t="s">
        <v>294</v>
      </c>
      <c r="E769" s="62" t="n">
        <v>3765</v>
      </c>
      <c r="F769" s="26" t="n">
        <v>0.39039808527428</v>
      </c>
      <c r="G769" s="26" t="n">
        <v>1469.848791</v>
      </c>
      <c r="H769" s="1" t="s">
        <v>395</v>
      </c>
    </row>
    <row r="770" customFormat="false" ht="15" hidden="false" customHeight="true" outlineLevel="0" collapsed="false">
      <c r="A770" s="1" t="s">
        <v>626</v>
      </c>
      <c r="B770" s="1" t="s">
        <v>78</v>
      </c>
      <c r="C770" s="1" t="s">
        <v>408</v>
      </c>
      <c r="D770" s="1" t="s">
        <v>285</v>
      </c>
      <c r="E770" s="62" t="n">
        <v>14689</v>
      </c>
      <c r="F770" s="26" t="n">
        <v>0.39039808527428</v>
      </c>
      <c r="G770" s="26" t="n">
        <v>5734.557475</v>
      </c>
      <c r="H770" s="1" t="s">
        <v>395</v>
      </c>
    </row>
    <row r="771" customFormat="false" ht="15" hidden="false" customHeight="true" outlineLevel="0" collapsed="false">
      <c r="A771" s="1" t="s">
        <v>626</v>
      </c>
      <c r="B771" s="1" t="s">
        <v>78</v>
      </c>
      <c r="C771" s="1" t="s">
        <v>408</v>
      </c>
      <c r="D771" s="1" t="s">
        <v>283</v>
      </c>
      <c r="E771" s="62" t="n">
        <v>4806</v>
      </c>
      <c r="F771" s="26" t="n">
        <v>0.39039808527428</v>
      </c>
      <c r="G771" s="26" t="n">
        <v>1876.253198</v>
      </c>
      <c r="H771" s="1" t="s">
        <v>395</v>
      </c>
    </row>
    <row r="772" customFormat="false" ht="15" hidden="false" customHeight="true" outlineLevel="0" collapsed="false">
      <c r="A772" s="1" t="s">
        <v>626</v>
      </c>
      <c r="B772" s="1" t="s">
        <v>409</v>
      </c>
      <c r="C772" s="1" t="s">
        <v>410</v>
      </c>
      <c r="D772" s="1" t="s">
        <v>276</v>
      </c>
      <c r="E772" s="62" t="n">
        <v>6438</v>
      </c>
      <c r="F772" s="26" t="n">
        <v>1.86</v>
      </c>
      <c r="G772" s="26" t="n">
        <v>11974.68</v>
      </c>
      <c r="H772" s="1" t="s">
        <v>627</v>
      </c>
    </row>
    <row r="773" customFormat="false" ht="15" hidden="false" customHeight="true" outlineLevel="0" collapsed="false">
      <c r="A773" s="1" t="s">
        <v>626</v>
      </c>
      <c r="B773" s="1" t="s">
        <v>409</v>
      </c>
      <c r="C773" s="1" t="s">
        <v>410</v>
      </c>
      <c r="D773" s="1" t="s">
        <v>288</v>
      </c>
      <c r="E773" s="62" t="n">
        <v>341</v>
      </c>
      <c r="F773" s="26" t="n">
        <v>1.86</v>
      </c>
      <c r="G773" s="26" t="n">
        <v>634.26</v>
      </c>
      <c r="H773" s="1" t="s">
        <v>627</v>
      </c>
    </row>
    <row r="774" customFormat="false" ht="15" hidden="false" customHeight="true" outlineLevel="0" collapsed="false">
      <c r="A774" s="1" t="s">
        <v>626</v>
      </c>
      <c r="B774" s="1" t="s">
        <v>409</v>
      </c>
      <c r="C774" s="1" t="s">
        <v>602</v>
      </c>
      <c r="D774" s="1" t="s">
        <v>288</v>
      </c>
      <c r="E774" s="62" t="n">
        <v>0</v>
      </c>
      <c r="F774" s="26" t="n">
        <v>0</v>
      </c>
      <c r="G774" s="26" t="n">
        <v>0</v>
      </c>
      <c r="H774" s="1" t="s">
        <v>603</v>
      </c>
    </row>
    <row r="775" customFormat="false" ht="15" hidden="false" customHeight="true" outlineLevel="0" collapsed="false">
      <c r="A775" s="1" t="s">
        <v>626</v>
      </c>
      <c r="B775" s="1" t="s">
        <v>409</v>
      </c>
      <c r="C775" s="1" t="s">
        <v>604</v>
      </c>
      <c r="D775" s="1" t="s">
        <v>288</v>
      </c>
      <c r="E775" s="62" t="n">
        <v>0</v>
      </c>
      <c r="F775" s="26" t="n">
        <v>0</v>
      </c>
      <c r="G775" s="26" t="n">
        <v>0</v>
      </c>
      <c r="H775" s="1" t="s">
        <v>605</v>
      </c>
    </row>
    <row r="776" customFormat="false" ht="15" hidden="false" customHeight="true" outlineLevel="0" collapsed="false">
      <c r="A776" s="1" t="s">
        <v>626</v>
      </c>
      <c r="B776" s="1" t="s">
        <v>409</v>
      </c>
      <c r="C776" s="1" t="s">
        <v>418</v>
      </c>
      <c r="D776" s="1" t="s">
        <v>288</v>
      </c>
      <c r="E776" s="62" t="n">
        <v>-1</v>
      </c>
      <c r="F776" s="26" t="n">
        <v>620.34</v>
      </c>
      <c r="G776" s="26" t="n">
        <v>-620.34</v>
      </c>
      <c r="H776" s="1" t="s">
        <v>419</v>
      </c>
    </row>
    <row r="777" customFormat="false" ht="15" hidden="false" customHeight="true" outlineLevel="0" collapsed="false">
      <c r="A777" s="1" t="s">
        <v>626</v>
      </c>
      <c r="B777" s="1" t="s">
        <v>409</v>
      </c>
      <c r="C777" s="1" t="s">
        <v>418</v>
      </c>
      <c r="D777" s="1" t="s">
        <v>288</v>
      </c>
      <c r="E777" s="62" t="n">
        <v>-1</v>
      </c>
      <c r="F777" s="26" t="n">
        <v>2216.95</v>
      </c>
      <c r="G777" s="26" t="n">
        <v>-2216.95</v>
      </c>
      <c r="H777" s="1" t="s">
        <v>420</v>
      </c>
    </row>
    <row r="778" customFormat="false" ht="15" hidden="false" customHeight="true" outlineLevel="0" collapsed="false">
      <c r="A778" s="1" t="s">
        <v>626</v>
      </c>
      <c r="B778" s="1" t="s">
        <v>409</v>
      </c>
      <c r="C778" s="1" t="s">
        <v>421</v>
      </c>
      <c r="D778" s="1" t="s">
        <v>288</v>
      </c>
      <c r="E778" s="62" t="n">
        <v>-1</v>
      </c>
      <c r="F778" s="26" t="n">
        <v>260.108024691358</v>
      </c>
      <c r="G778" s="26" t="n">
        <v>-260.108024691358</v>
      </c>
      <c r="H778" s="1" t="s">
        <v>628</v>
      </c>
    </row>
    <row r="779" customFormat="false" ht="15" hidden="false" customHeight="true" outlineLevel="0" collapsed="false">
      <c r="A779" s="1" t="s">
        <v>626</v>
      </c>
      <c r="B779" s="1" t="s">
        <v>409</v>
      </c>
      <c r="C779" s="1" t="s">
        <v>423</v>
      </c>
      <c r="D779" s="1" t="s">
        <v>288</v>
      </c>
      <c r="E779" s="62" t="n">
        <v>0</v>
      </c>
      <c r="F779" s="26" t="n">
        <v>0</v>
      </c>
      <c r="G779" s="26" t="n">
        <v>0</v>
      </c>
      <c r="H779" s="1" t="s">
        <v>422</v>
      </c>
    </row>
    <row r="780" customFormat="false" ht="15" hidden="false" customHeight="true" outlineLevel="0" collapsed="false">
      <c r="A780" s="1" t="s">
        <v>626</v>
      </c>
      <c r="B780" s="1" t="s">
        <v>409</v>
      </c>
      <c r="C780" s="1" t="s">
        <v>424</v>
      </c>
      <c r="D780" s="1" t="s">
        <v>288</v>
      </c>
      <c r="E780" s="62" t="n">
        <v>0</v>
      </c>
      <c r="F780" s="26" t="n">
        <v>0</v>
      </c>
      <c r="G780" s="26" t="n">
        <v>0</v>
      </c>
      <c r="H780" s="1" t="s">
        <v>422</v>
      </c>
    </row>
    <row r="781" customFormat="false" ht="15" hidden="false" customHeight="true" outlineLevel="0" collapsed="false">
      <c r="A781" s="1" t="s">
        <v>626</v>
      </c>
      <c r="B781" s="1" t="s">
        <v>409</v>
      </c>
      <c r="C781" s="1" t="s">
        <v>425</v>
      </c>
      <c r="D781" s="1" t="s">
        <v>288</v>
      </c>
      <c r="E781" s="62" t="n">
        <v>3</v>
      </c>
      <c r="F781" s="26" t="n">
        <v>221.785743509048</v>
      </c>
      <c r="G781" s="26" t="n">
        <v>665.357230527144</v>
      </c>
      <c r="H781" s="1" t="s">
        <v>628</v>
      </c>
    </row>
    <row r="782" customFormat="false" ht="15" hidden="false" customHeight="true" outlineLevel="0" collapsed="false">
      <c r="A782" s="1" t="s">
        <v>626</v>
      </c>
      <c r="B782" s="1" t="s">
        <v>409</v>
      </c>
      <c r="C782" s="1" t="s">
        <v>426</v>
      </c>
      <c r="D782" s="1" t="s">
        <v>288</v>
      </c>
      <c r="E782" s="62" t="n">
        <v>0</v>
      </c>
      <c r="F782" s="26" t="n">
        <v>0</v>
      </c>
      <c r="G782" s="26" t="n">
        <v>0</v>
      </c>
      <c r="H782" s="1" t="s">
        <v>422</v>
      </c>
    </row>
    <row r="783" customFormat="false" ht="15" hidden="false" customHeight="true" outlineLevel="0" collapsed="false">
      <c r="A783" s="1" t="s">
        <v>626</v>
      </c>
      <c r="B783" s="1" t="s">
        <v>409</v>
      </c>
      <c r="C783" s="1" t="s">
        <v>427</v>
      </c>
      <c r="D783" s="1" t="s">
        <v>290</v>
      </c>
      <c r="E783" s="62" t="n">
        <v>1</v>
      </c>
      <c r="F783" s="26" t="n">
        <v>33.5</v>
      </c>
      <c r="G783" s="26" t="n">
        <v>33.5</v>
      </c>
      <c r="H783" s="1" t="s">
        <v>428</v>
      </c>
    </row>
    <row r="784" customFormat="false" ht="15" hidden="false" customHeight="true" outlineLevel="0" collapsed="false">
      <c r="A784" s="1" t="s">
        <v>626</v>
      </c>
      <c r="B784" s="1" t="s">
        <v>409</v>
      </c>
      <c r="C784" s="1" t="s">
        <v>427</v>
      </c>
      <c r="D784" s="1" t="s">
        <v>290</v>
      </c>
      <c r="E784" s="62" t="n">
        <v>1</v>
      </c>
      <c r="F784" s="26" t="n">
        <v>22</v>
      </c>
      <c r="G784" s="26" t="n">
        <v>22</v>
      </c>
      <c r="H784" s="1" t="s">
        <v>429</v>
      </c>
    </row>
    <row r="785" customFormat="false" ht="15" hidden="false" customHeight="true" outlineLevel="0" collapsed="false">
      <c r="A785" s="1" t="s">
        <v>626</v>
      </c>
      <c r="B785" s="1" t="s">
        <v>409</v>
      </c>
      <c r="C785" s="1" t="s">
        <v>410</v>
      </c>
      <c r="D785" s="1" t="s">
        <v>290</v>
      </c>
      <c r="E785" s="62" t="n">
        <v>312</v>
      </c>
      <c r="F785" s="26" t="n">
        <v>1.86</v>
      </c>
      <c r="G785" s="26" t="n">
        <v>580.32</v>
      </c>
      <c r="H785" s="1" t="s">
        <v>411</v>
      </c>
    </row>
    <row r="786" customFormat="false" ht="15" hidden="false" customHeight="true" outlineLevel="0" collapsed="false">
      <c r="A786" s="1" t="s">
        <v>626</v>
      </c>
      <c r="B786" s="1" t="s">
        <v>409</v>
      </c>
      <c r="C786" s="1" t="s">
        <v>602</v>
      </c>
      <c r="D786" s="1" t="s">
        <v>290</v>
      </c>
      <c r="E786" s="62" t="n">
        <v>0</v>
      </c>
      <c r="F786" s="26" t="n">
        <v>0</v>
      </c>
      <c r="G786" s="26" t="n">
        <v>0</v>
      </c>
      <c r="H786" s="1" t="s">
        <v>607</v>
      </c>
    </row>
    <row r="787" customFormat="false" ht="15" hidden="false" customHeight="true" outlineLevel="0" collapsed="false">
      <c r="A787" s="1" t="s">
        <v>626</v>
      </c>
      <c r="B787" s="1" t="s">
        <v>409</v>
      </c>
      <c r="C787" s="1" t="s">
        <v>418</v>
      </c>
      <c r="D787" s="1" t="s">
        <v>290</v>
      </c>
      <c r="E787" s="62" t="n">
        <v>0</v>
      </c>
      <c r="F787" s="26" t="n">
        <v>0</v>
      </c>
      <c r="G787" s="26" t="n">
        <v>0</v>
      </c>
      <c r="H787" s="1" t="s">
        <v>608</v>
      </c>
    </row>
    <row r="788" customFormat="false" ht="15" hidden="false" customHeight="true" outlineLevel="0" collapsed="false">
      <c r="A788" s="1" t="s">
        <v>626</v>
      </c>
      <c r="B788" s="1" t="s">
        <v>409</v>
      </c>
      <c r="C788" s="1" t="s">
        <v>418</v>
      </c>
      <c r="D788" s="1" t="s">
        <v>290</v>
      </c>
      <c r="E788" s="62" t="n">
        <v>1</v>
      </c>
      <c r="F788" s="26" t="n">
        <v>446.88</v>
      </c>
      <c r="G788" s="26" t="n">
        <v>446.88</v>
      </c>
      <c r="H788" s="1" t="s">
        <v>433</v>
      </c>
    </row>
    <row r="789" customFormat="false" ht="15" hidden="false" customHeight="true" outlineLevel="0" collapsed="false">
      <c r="A789" s="1" t="s">
        <v>626</v>
      </c>
      <c r="B789" s="1" t="s">
        <v>409</v>
      </c>
      <c r="C789" s="1" t="s">
        <v>418</v>
      </c>
      <c r="D789" s="1" t="s">
        <v>290</v>
      </c>
      <c r="E789" s="62" t="n">
        <v>36</v>
      </c>
      <c r="F789" s="26" t="n">
        <v>21.95</v>
      </c>
      <c r="G789" s="26" t="n">
        <v>790.2</v>
      </c>
      <c r="H789" s="1" t="s">
        <v>434</v>
      </c>
    </row>
    <row r="790" customFormat="false" ht="15" hidden="false" customHeight="true" outlineLevel="0" collapsed="false">
      <c r="A790" s="1" t="s">
        <v>626</v>
      </c>
      <c r="B790" s="1" t="s">
        <v>409</v>
      </c>
      <c r="C790" s="1" t="s">
        <v>435</v>
      </c>
      <c r="D790" s="1" t="s">
        <v>290</v>
      </c>
      <c r="E790" s="62" t="n">
        <v>1</v>
      </c>
      <c r="F790" s="26" t="n">
        <v>260.108024691358</v>
      </c>
      <c r="G790" s="26" t="n">
        <v>260.108024691358</v>
      </c>
      <c r="H790" s="1" t="s">
        <v>628</v>
      </c>
    </row>
    <row r="791" customFormat="false" ht="15" hidden="false" customHeight="true" outlineLevel="0" collapsed="false">
      <c r="A791" s="1" t="s">
        <v>626</v>
      </c>
      <c r="B791" s="1" t="s">
        <v>409</v>
      </c>
      <c r="C791" s="1" t="s">
        <v>423</v>
      </c>
      <c r="D791" s="1" t="s">
        <v>290</v>
      </c>
      <c r="E791" s="62" t="n">
        <v>2</v>
      </c>
      <c r="F791" s="26" t="n">
        <v>221.785743509048</v>
      </c>
      <c r="G791" s="26" t="n">
        <v>443.571487018096</v>
      </c>
      <c r="H791" s="1" t="s">
        <v>628</v>
      </c>
    </row>
    <row r="792" customFormat="false" ht="15" hidden="false" customHeight="true" outlineLevel="0" collapsed="false">
      <c r="A792" s="1" t="s">
        <v>626</v>
      </c>
      <c r="B792" s="1" t="s">
        <v>409</v>
      </c>
      <c r="C792" s="1" t="s">
        <v>436</v>
      </c>
      <c r="D792" s="1" t="s">
        <v>290</v>
      </c>
      <c r="E792" s="62" t="n">
        <v>0</v>
      </c>
      <c r="F792" s="26" t="n">
        <v>0</v>
      </c>
      <c r="G792" s="26" t="n">
        <v>0</v>
      </c>
      <c r="H792" s="1" t="s">
        <v>422</v>
      </c>
    </row>
    <row r="793" customFormat="false" ht="15" hidden="false" customHeight="true" outlineLevel="0" collapsed="false">
      <c r="A793" s="1" t="s">
        <v>626</v>
      </c>
      <c r="B793" s="1" t="s">
        <v>409</v>
      </c>
      <c r="C793" s="1" t="s">
        <v>437</v>
      </c>
      <c r="D793" s="1" t="s">
        <v>290</v>
      </c>
      <c r="E793" s="62" t="n">
        <v>-6</v>
      </c>
      <c r="F793" s="26" t="n">
        <v>221.785743509048</v>
      </c>
      <c r="G793" s="26" t="n">
        <v>-1330.71446105429</v>
      </c>
      <c r="H793" s="1" t="s">
        <v>628</v>
      </c>
    </row>
    <row r="794" customFormat="false" ht="15" hidden="false" customHeight="true" outlineLevel="0" collapsed="false">
      <c r="A794" s="1" t="s">
        <v>626</v>
      </c>
      <c r="B794" s="1" t="s">
        <v>409</v>
      </c>
      <c r="C794" s="1" t="s">
        <v>438</v>
      </c>
      <c r="D794" s="1" t="s">
        <v>290</v>
      </c>
      <c r="E794" s="62" t="n">
        <v>-3</v>
      </c>
      <c r="F794" s="26" t="n">
        <v>221.785743509048</v>
      </c>
      <c r="G794" s="26" t="n">
        <v>-665.357230527144</v>
      </c>
      <c r="H794" s="1" t="s">
        <v>628</v>
      </c>
    </row>
    <row r="795" customFormat="false" ht="15" hidden="false" customHeight="true" outlineLevel="0" collapsed="false">
      <c r="A795" s="1" t="s">
        <v>626</v>
      </c>
      <c r="B795" s="1" t="s">
        <v>409</v>
      </c>
      <c r="C795" s="1" t="s">
        <v>439</v>
      </c>
      <c r="D795" s="1" t="s">
        <v>290</v>
      </c>
      <c r="E795" s="62" t="n">
        <v>-2</v>
      </c>
      <c r="F795" s="26" t="n">
        <v>221.785743509048</v>
      </c>
      <c r="G795" s="26" t="n">
        <v>-443.571487018096</v>
      </c>
      <c r="H795" s="1" t="s">
        <v>628</v>
      </c>
    </row>
    <row r="796" customFormat="false" ht="15" hidden="false" customHeight="true" outlineLevel="0" collapsed="false">
      <c r="A796" s="1" t="s">
        <v>626</v>
      </c>
      <c r="B796" s="1" t="s">
        <v>409</v>
      </c>
      <c r="C796" s="1" t="s">
        <v>410</v>
      </c>
      <c r="D796" s="1" t="s">
        <v>294</v>
      </c>
      <c r="E796" s="62" t="n">
        <v>222</v>
      </c>
      <c r="F796" s="26" t="n">
        <v>1.86</v>
      </c>
      <c r="G796" s="26" t="n">
        <v>412.92</v>
      </c>
      <c r="H796" s="1" t="s">
        <v>411</v>
      </c>
    </row>
    <row r="797" customFormat="false" ht="15" hidden="false" customHeight="true" outlineLevel="0" collapsed="false">
      <c r="A797" s="1" t="s">
        <v>626</v>
      </c>
      <c r="B797" s="1" t="s">
        <v>409</v>
      </c>
      <c r="C797" s="1" t="s">
        <v>423</v>
      </c>
      <c r="D797" s="1" t="s">
        <v>294</v>
      </c>
      <c r="E797" s="62" t="n">
        <v>1</v>
      </c>
      <c r="F797" s="26" t="n">
        <v>221.785743509048</v>
      </c>
      <c r="G797" s="26" t="n">
        <v>221.785743509048</v>
      </c>
      <c r="H797" s="1" t="s">
        <v>628</v>
      </c>
    </row>
    <row r="798" customFormat="false" ht="15" hidden="false" customHeight="true" outlineLevel="0" collapsed="false">
      <c r="A798" s="1" t="s">
        <v>626</v>
      </c>
      <c r="B798" s="1" t="s">
        <v>409</v>
      </c>
      <c r="C798" s="1" t="s">
        <v>441</v>
      </c>
      <c r="D798" s="1" t="s">
        <v>294</v>
      </c>
      <c r="E798" s="62" t="n">
        <v>0</v>
      </c>
      <c r="F798" s="26" t="n">
        <v>0</v>
      </c>
      <c r="G798" s="26" t="n">
        <v>0</v>
      </c>
      <c r="H798" s="1" t="s">
        <v>628</v>
      </c>
    </row>
    <row r="799" customFormat="false" ht="15" hidden="false" customHeight="true" outlineLevel="0" collapsed="false">
      <c r="A799" s="1" t="s">
        <v>626</v>
      </c>
      <c r="B799" s="1" t="s">
        <v>409</v>
      </c>
      <c r="C799" s="1" t="s">
        <v>442</v>
      </c>
      <c r="D799" s="1" t="s">
        <v>294</v>
      </c>
      <c r="E799" s="62" t="n">
        <v>0</v>
      </c>
      <c r="F799" s="26" t="n">
        <v>0</v>
      </c>
      <c r="G799" s="26" t="n">
        <v>0</v>
      </c>
    </row>
    <row r="800" customFormat="false" ht="15" hidden="false" customHeight="true" outlineLevel="0" collapsed="false">
      <c r="A800" s="1" t="s">
        <v>626</v>
      </c>
      <c r="B800" s="1" t="s">
        <v>409</v>
      </c>
      <c r="C800" s="1" t="s">
        <v>443</v>
      </c>
      <c r="D800" s="1" t="s">
        <v>294</v>
      </c>
      <c r="E800" s="62" t="n">
        <v>0</v>
      </c>
      <c r="F800" s="26" t="n">
        <v>0</v>
      </c>
      <c r="G800" s="26" t="n">
        <v>0</v>
      </c>
      <c r="H800" s="1" t="s">
        <v>422</v>
      </c>
    </row>
    <row r="801" customFormat="false" ht="15" hidden="false" customHeight="true" outlineLevel="0" collapsed="false">
      <c r="A801" s="1" t="s">
        <v>626</v>
      </c>
      <c r="B801" s="1" t="s">
        <v>409</v>
      </c>
      <c r="C801" s="1" t="s">
        <v>410</v>
      </c>
      <c r="D801" s="1" t="s">
        <v>291</v>
      </c>
      <c r="E801" s="62" t="n">
        <v>669</v>
      </c>
      <c r="F801" s="26" t="n">
        <v>1.86</v>
      </c>
      <c r="G801" s="26" t="n">
        <v>1244.34</v>
      </c>
      <c r="H801" s="1" t="s">
        <v>411</v>
      </c>
    </row>
    <row r="802" customFormat="false" ht="15" hidden="false" customHeight="true" outlineLevel="0" collapsed="false">
      <c r="A802" s="1" t="s">
        <v>626</v>
      </c>
      <c r="B802" s="1" t="s">
        <v>409</v>
      </c>
      <c r="C802" s="1" t="s">
        <v>418</v>
      </c>
      <c r="D802" s="1" t="s">
        <v>291</v>
      </c>
      <c r="E802" s="62" t="n">
        <v>1</v>
      </c>
      <c r="F802" s="26" t="n">
        <v>173.46</v>
      </c>
      <c r="G802" s="26" t="n">
        <v>173.46</v>
      </c>
      <c r="H802" s="1" t="s">
        <v>447</v>
      </c>
    </row>
    <row r="803" customFormat="false" ht="15" hidden="false" customHeight="true" outlineLevel="0" collapsed="false">
      <c r="A803" s="1" t="s">
        <v>626</v>
      </c>
      <c r="B803" s="1" t="s">
        <v>409</v>
      </c>
      <c r="C803" s="1" t="s">
        <v>418</v>
      </c>
      <c r="D803" s="1" t="s">
        <v>291</v>
      </c>
      <c r="E803" s="62" t="n">
        <v>65</v>
      </c>
      <c r="F803" s="26" t="n">
        <v>21.95</v>
      </c>
      <c r="G803" s="26" t="n">
        <v>1426.75</v>
      </c>
      <c r="H803" s="1" t="s">
        <v>448</v>
      </c>
    </row>
    <row r="804" customFormat="false" ht="15" hidden="false" customHeight="true" outlineLevel="0" collapsed="false">
      <c r="A804" s="1" t="s">
        <v>626</v>
      </c>
      <c r="B804" s="1" t="s">
        <v>409</v>
      </c>
      <c r="C804" s="1" t="s">
        <v>449</v>
      </c>
      <c r="D804" s="1" t="s">
        <v>291</v>
      </c>
      <c r="E804" s="62" t="n">
        <v>1</v>
      </c>
      <c r="F804" s="26" t="n">
        <v>221.785743509048</v>
      </c>
      <c r="G804" s="26" t="n">
        <v>221.785743509048</v>
      </c>
      <c r="H804" s="1" t="s">
        <v>628</v>
      </c>
    </row>
    <row r="805" customFormat="false" ht="15" hidden="false" customHeight="true" outlineLevel="0" collapsed="false">
      <c r="A805" s="1" t="s">
        <v>626</v>
      </c>
      <c r="B805" s="1" t="s">
        <v>409</v>
      </c>
      <c r="C805" s="1" t="s">
        <v>450</v>
      </c>
      <c r="D805" s="1" t="s">
        <v>291</v>
      </c>
      <c r="E805" s="62" t="n">
        <v>2</v>
      </c>
      <c r="F805" s="26" t="n">
        <v>221.785743509048</v>
      </c>
      <c r="G805" s="26" t="n">
        <v>443.571487018096</v>
      </c>
      <c r="H805" s="1" t="s">
        <v>628</v>
      </c>
    </row>
    <row r="806" customFormat="false" ht="15" hidden="false" customHeight="true" outlineLevel="0" collapsed="false">
      <c r="A806" s="1" t="s">
        <v>626</v>
      </c>
      <c r="B806" s="1" t="s">
        <v>409</v>
      </c>
      <c r="C806" s="1" t="s">
        <v>451</v>
      </c>
      <c r="D806" s="1" t="s">
        <v>291</v>
      </c>
      <c r="E806" s="62" t="n">
        <v>0</v>
      </c>
      <c r="F806" s="26" t="n">
        <v>0</v>
      </c>
      <c r="G806" s="26" t="n">
        <v>0</v>
      </c>
    </row>
    <row r="807" customFormat="false" ht="15" hidden="false" customHeight="true" outlineLevel="0" collapsed="false">
      <c r="A807" s="1" t="s">
        <v>626</v>
      </c>
      <c r="B807" s="1" t="s">
        <v>409</v>
      </c>
      <c r="C807" s="1" t="s">
        <v>611</v>
      </c>
      <c r="D807" s="1" t="s">
        <v>291</v>
      </c>
      <c r="E807" s="62" t="n">
        <v>0</v>
      </c>
      <c r="F807" s="26" t="n">
        <v>0</v>
      </c>
      <c r="G807" s="26" t="n">
        <v>0</v>
      </c>
      <c r="H807" s="1" t="s">
        <v>628</v>
      </c>
    </row>
    <row r="808" customFormat="false" ht="15" hidden="false" customHeight="true" outlineLevel="0" collapsed="false">
      <c r="A808" s="1" t="s">
        <v>626</v>
      </c>
      <c r="B808" s="1" t="s">
        <v>409</v>
      </c>
      <c r="C808" s="1" t="s">
        <v>410</v>
      </c>
      <c r="D808" s="1" t="s">
        <v>285</v>
      </c>
      <c r="E808" s="62" t="n">
        <v>510</v>
      </c>
      <c r="F808" s="26" t="n">
        <v>1.86</v>
      </c>
      <c r="G808" s="26" t="n">
        <v>948.6</v>
      </c>
      <c r="H808" s="1" t="s">
        <v>411</v>
      </c>
    </row>
    <row r="809" customFormat="false" ht="15" hidden="false" customHeight="true" outlineLevel="0" collapsed="false">
      <c r="A809" s="1" t="s">
        <v>626</v>
      </c>
      <c r="B809" s="1" t="s">
        <v>409</v>
      </c>
      <c r="C809" s="1" t="s">
        <v>456</v>
      </c>
      <c r="D809" s="1" t="s">
        <v>285</v>
      </c>
      <c r="E809" s="62" t="n">
        <v>1</v>
      </c>
      <c r="F809" s="26" t="n">
        <v>542</v>
      </c>
      <c r="G809" s="26" t="n">
        <v>542</v>
      </c>
      <c r="H809" s="1" t="s">
        <v>457</v>
      </c>
    </row>
    <row r="810" customFormat="false" ht="15" hidden="false" customHeight="true" outlineLevel="0" collapsed="false">
      <c r="A810" s="1" t="s">
        <v>626</v>
      </c>
      <c r="B810" s="1" t="s">
        <v>409</v>
      </c>
      <c r="C810" s="1" t="s">
        <v>456</v>
      </c>
      <c r="D810" s="1" t="s">
        <v>285</v>
      </c>
      <c r="E810" s="62" t="n">
        <v>0</v>
      </c>
      <c r="F810" s="26" t="n">
        <v>0</v>
      </c>
      <c r="G810" s="26" t="n">
        <v>0</v>
      </c>
      <c r="H810" s="1" t="s">
        <v>434</v>
      </c>
    </row>
    <row r="811" customFormat="false" ht="15" hidden="false" customHeight="true" outlineLevel="0" collapsed="false">
      <c r="A811" s="1" t="s">
        <v>626</v>
      </c>
      <c r="B811" s="1" t="s">
        <v>409</v>
      </c>
      <c r="C811" s="1" t="s">
        <v>423</v>
      </c>
      <c r="D811" s="1" t="s">
        <v>285</v>
      </c>
      <c r="E811" s="62" t="n">
        <v>6</v>
      </c>
      <c r="F811" s="26" t="n">
        <v>221.785743509048</v>
      </c>
      <c r="G811" s="26" t="n">
        <v>1330.71446105429</v>
      </c>
      <c r="H811" s="1" t="s">
        <v>628</v>
      </c>
    </row>
    <row r="812" customFormat="false" ht="15" hidden="false" customHeight="true" outlineLevel="0" collapsed="false">
      <c r="A812" s="1" t="s">
        <v>626</v>
      </c>
      <c r="B812" s="1" t="s">
        <v>409</v>
      </c>
      <c r="C812" s="1" t="s">
        <v>459</v>
      </c>
      <c r="D812" s="1" t="s">
        <v>285</v>
      </c>
      <c r="E812" s="62" t="n">
        <v>0</v>
      </c>
      <c r="F812" s="26" t="n">
        <v>0</v>
      </c>
      <c r="G812" s="26" t="n">
        <v>0</v>
      </c>
      <c r="H812" s="1" t="s">
        <v>422</v>
      </c>
    </row>
    <row r="813" customFormat="false" ht="15" hidden="false" customHeight="true" outlineLevel="0" collapsed="false">
      <c r="A813" s="1" t="s">
        <v>626</v>
      </c>
      <c r="B813" s="1" t="s">
        <v>409</v>
      </c>
      <c r="C813" s="1" t="s">
        <v>460</v>
      </c>
      <c r="D813" s="1" t="s">
        <v>285</v>
      </c>
      <c r="E813" s="62" t="n">
        <v>0</v>
      </c>
      <c r="F813" s="26" t="n">
        <v>0</v>
      </c>
      <c r="G813" s="26" t="n">
        <v>0</v>
      </c>
      <c r="H813" s="1" t="s">
        <v>422</v>
      </c>
    </row>
    <row r="814" customFormat="false" ht="15" hidden="false" customHeight="true" outlineLevel="0" collapsed="false">
      <c r="A814" s="1" t="s">
        <v>626</v>
      </c>
      <c r="B814" s="1" t="s">
        <v>409</v>
      </c>
      <c r="C814" s="1" t="s">
        <v>629</v>
      </c>
      <c r="D814" s="1" t="s">
        <v>285</v>
      </c>
      <c r="E814" s="62" t="n">
        <v>0</v>
      </c>
      <c r="F814" s="26" t="n">
        <v>0</v>
      </c>
      <c r="G814" s="26" t="n">
        <v>0</v>
      </c>
      <c r="H814" s="1" t="s">
        <v>422</v>
      </c>
    </row>
    <row r="815" customFormat="false" ht="15" hidden="false" customHeight="true" outlineLevel="0" collapsed="false">
      <c r="A815" s="1" t="s">
        <v>626</v>
      </c>
      <c r="B815" s="1" t="s">
        <v>409</v>
      </c>
      <c r="C815" s="1" t="s">
        <v>410</v>
      </c>
      <c r="D815" s="1" t="s">
        <v>286</v>
      </c>
      <c r="E815" s="62" t="n">
        <v>154</v>
      </c>
      <c r="F815" s="26" t="n">
        <v>1.86</v>
      </c>
      <c r="G815" s="26" t="n">
        <v>286.44</v>
      </c>
      <c r="H815" s="1" t="s">
        <v>411</v>
      </c>
    </row>
    <row r="816" customFormat="false" ht="15" hidden="false" customHeight="true" outlineLevel="0" collapsed="false">
      <c r="A816" s="1" t="s">
        <v>626</v>
      </c>
      <c r="B816" s="1" t="s">
        <v>409</v>
      </c>
      <c r="C816" s="1" t="s">
        <v>456</v>
      </c>
      <c r="D816" s="1" t="s">
        <v>286</v>
      </c>
      <c r="E816" s="62" t="n">
        <v>1</v>
      </c>
      <c r="F816" s="26" t="n">
        <v>729</v>
      </c>
      <c r="G816" s="26" t="n">
        <v>729</v>
      </c>
      <c r="H816" s="1" t="s">
        <v>463</v>
      </c>
    </row>
    <row r="817" customFormat="false" ht="15" hidden="false" customHeight="true" outlineLevel="0" collapsed="false">
      <c r="A817" s="1" t="s">
        <v>626</v>
      </c>
      <c r="B817" s="1" t="s">
        <v>409</v>
      </c>
      <c r="C817" s="1" t="s">
        <v>456</v>
      </c>
      <c r="D817" s="1" t="s">
        <v>286</v>
      </c>
      <c r="E817" s="62" t="n">
        <v>35</v>
      </c>
      <c r="F817" s="26" t="n">
        <v>18.52</v>
      </c>
      <c r="G817" s="26" t="n">
        <v>648.2</v>
      </c>
      <c r="H817" s="1" t="s">
        <v>434</v>
      </c>
    </row>
    <row r="818" customFormat="false" ht="15" hidden="false" customHeight="true" outlineLevel="0" collapsed="false">
      <c r="A818" s="1" t="s">
        <v>626</v>
      </c>
      <c r="B818" s="1" t="s">
        <v>409</v>
      </c>
      <c r="C818" s="1" t="s">
        <v>423</v>
      </c>
      <c r="D818" s="1" t="s">
        <v>286</v>
      </c>
      <c r="E818" s="62" t="n">
        <v>0</v>
      </c>
      <c r="F818" s="26" t="n">
        <v>0</v>
      </c>
      <c r="G818" s="26" t="n">
        <v>0</v>
      </c>
      <c r="H818" s="1" t="s">
        <v>422</v>
      </c>
    </row>
    <row r="819" customFormat="false" ht="15" hidden="false" customHeight="true" outlineLevel="0" collapsed="false">
      <c r="A819" s="1" t="s">
        <v>626</v>
      </c>
      <c r="B819" s="1" t="s">
        <v>409</v>
      </c>
      <c r="C819" s="1" t="s">
        <v>464</v>
      </c>
      <c r="D819" s="1" t="s">
        <v>286</v>
      </c>
      <c r="E819" s="62" t="n">
        <v>-1</v>
      </c>
      <c r="F819" s="26" t="n">
        <v>519.806923076923</v>
      </c>
      <c r="G819" s="26" t="n">
        <v>-519.806923076923</v>
      </c>
      <c r="H819" s="1" t="s">
        <v>628</v>
      </c>
    </row>
    <row r="820" customFormat="false" ht="15" hidden="false" customHeight="true" outlineLevel="0" collapsed="false">
      <c r="A820" s="1" t="s">
        <v>626</v>
      </c>
      <c r="B820" s="1" t="s">
        <v>409</v>
      </c>
      <c r="C820" s="1" t="s">
        <v>427</v>
      </c>
      <c r="D820" s="1" t="s">
        <v>283</v>
      </c>
      <c r="E820" s="62" t="n">
        <v>1</v>
      </c>
      <c r="F820" s="26" t="n">
        <v>25.5</v>
      </c>
      <c r="G820" s="26" t="n">
        <v>25.5</v>
      </c>
      <c r="H820" s="1" t="s">
        <v>551</v>
      </c>
    </row>
    <row r="821" customFormat="false" ht="15" hidden="false" customHeight="true" outlineLevel="0" collapsed="false">
      <c r="A821" s="1" t="s">
        <v>626</v>
      </c>
      <c r="B821" s="1" t="s">
        <v>409</v>
      </c>
      <c r="C821" s="1" t="s">
        <v>410</v>
      </c>
      <c r="D821" s="1" t="s">
        <v>283</v>
      </c>
      <c r="E821" s="62" t="n">
        <v>268</v>
      </c>
      <c r="F821" s="26" t="n">
        <v>1.86</v>
      </c>
      <c r="G821" s="26" t="n">
        <v>498.48</v>
      </c>
      <c r="H821" s="1" t="s">
        <v>411</v>
      </c>
    </row>
    <row r="822" customFormat="false" ht="15" hidden="false" customHeight="true" outlineLevel="0" collapsed="false">
      <c r="A822" s="1" t="s">
        <v>626</v>
      </c>
      <c r="B822" s="1" t="s">
        <v>409</v>
      </c>
      <c r="C822" s="1" t="s">
        <v>423</v>
      </c>
      <c r="D822" s="1" t="s">
        <v>283</v>
      </c>
      <c r="E822" s="62" t="n">
        <v>5</v>
      </c>
      <c r="F822" s="26" t="n">
        <v>221.785743509048</v>
      </c>
      <c r="G822" s="26" t="n">
        <v>1108.92871754524</v>
      </c>
      <c r="H822" s="1" t="s">
        <v>630</v>
      </c>
    </row>
    <row r="823" customFormat="false" ht="15" hidden="false" customHeight="true" outlineLevel="0" collapsed="false">
      <c r="A823" s="1" t="s">
        <v>626</v>
      </c>
      <c r="B823" s="1" t="s">
        <v>409</v>
      </c>
      <c r="C823" s="1" t="s">
        <v>468</v>
      </c>
      <c r="D823" s="1" t="s">
        <v>283</v>
      </c>
      <c r="E823" s="62" t="n">
        <v>0</v>
      </c>
      <c r="F823" s="26" t="n">
        <v>0</v>
      </c>
      <c r="G823" s="26" t="n">
        <v>0</v>
      </c>
    </row>
    <row r="824" customFormat="false" ht="15" hidden="false" customHeight="true" outlineLevel="0" collapsed="false">
      <c r="A824" s="1" t="s">
        <v>626</v>
      </c>
      <c r="B824" s="1" t="s">
        <v>409</v>
      </c>
      <c r="C824" s="1" t="s">
        <v>469</v>
      </c>
      <c r="D824" s="1" t="s">
        <v>283</v>
      </c>
      <c r="E824" s="62" t="n">
        <v>-8</v>
      </c>
      <c r="F824" s="26" t="n">
        <v>289.27</v>
      </c>
      <c r="G824" s="26" t="n">
        <v>-2314.16</v>
      </c>
      <c r="H824" s="1" t="s">
        <v>628</v>
      </c>
    </row>
    <row r="825" customFormat="false" ht="15" hidden="false" customHeight="true" outlineLevel="0" collapsed="false">
      <c r="A825" s="1" t="s">
        <v>626</v>
      </c>
      <c r="B825" s="1" t="s">
        <v>409</v>
      </c>
      <c r="C825" s="1" t="s">
        <v>613</v>
      </c>
      <c r="D825" s="1" t="s">
        <v>283</v>
      </c>
      <c r="E825" s="62" t="n">
        <v>0</v>
      </c>
      <c r="F825" s="26" t="n">
        <v>0</v>
      </c>
      <c r="G825" s="26" t="n">
        <v>0</v>
      </c>
      <c r="H825" s="1" t="s">
        <v>422</v>
      </c>
    </row>
    <row r="826" customFormat="false" ht="15" hidden="false" customHeight="true" outlineLevel="0" collapsed="false">
      <c r="A826" s="1" t="s">
        <v>626</v>
      </c>
      <c r="B826" s="1" t="s">
        <v>409</v>
      </c>
      <c r="C826" s="1" t="s">
        <v>471</v>
      </c>
      <c r="D826" s="1" t="s">
        <v>283</v>
      </c>
      <c r="E826" s="62" t="n">
        <v>0</v>
      </c>
      <c r="F826" s="26" t="n">
        <v>0</v>
      </c>
      <c r="G826" s="26" t="n">
        <v>0</v>
      </c>
    </row>
    <row r="827" customFormat="false" ht="15" hidden="false" customHeight="true" outlineLevel="0" collapsed="false">
      <c r="A827" s="1" t="s">
        <v>626</v>
      </c>
      <c r="B827" s="1" t="s">
        <v>143</v>
      </c>
      <c r="C827" s="1" t="s">
        <v>472</v>
      </c>
      <c r="D827" s="1" t="s">
        <v>288</v>
      </c>
      <c r="E827" s="62" t="n">
        <v>6588</v>
      </c>
      <c r="F827" s="26" t="n">
        <v>0.2</v>
      </c>
      <c r="G827" s="26" t="n">
        <v>1317.6</v>
      </c>
      <c r="H827" s="1" t="s">
        <v>395</v>
      </c>
    </row>
    <row r="828" customFormat="false" ht="15" hidden="false" customHeight="true" outlineLevel="0" collapsed="false">
      <c r="A828" s="1" t="s">
        <v>626</v>
      </c>
      <c r="B828" s="1" t="s">
        <v>143</v>
      </c>
      <c r="C828" s="1" t="s">
        <v>472</v>
      </c>
      <c r="D828" s="1" t="s">
        <v>290</v>
      </c>
      <c r="E828" s="62" t="n">
        <v>13530</v>
      </c>
      <c r="F828" s="26" t="n">
        <v>0.2</v>
      </c>
      <c r="G828" s="26" t="n">
        <v>2706</v>
      </c>
      <c r="H828" s="1" t="s">
        <v>395</v>
      </c>
    </row>
    <row r="829" customFormat="false" ht="15" hidden="false" customHeight="true" outlineLevel="0" collapsed="false">
      <c r="A829" s="1" t="s">
        <v>626</v>
      </c>
      <c r="B829" s="1" t="s">
        <v>143</v>
      </c>
      <c r="C829" s="1" t="s">
        <v>472</v>
      </c>
      <c r="D829" s="1" t="s">
        <v>294</v>
      </c>
      <c r="E829" s="62" t="n">
        <v>3765</v>
      </c>
      <c r="F829" s="26" t="n">
        <v>0.2</v>
      </c>
      <c r="G829" s="26" t="n">
        <v>753</v>
      </c>
      <c r="H829" s="1" t="s">
        <v>395</v>
      </c>
    </row>
    <row r="830" customFormat="false" ht="15" hidden="false" customHeight="true" outlineLevel="0" collapsed="false">
      <c r="A830" s="1" t="s">
        <v>626</v>
      </c>
      <c r="B830" s="1" t="s">
        <v>143</v>
      </c>
      <c r="C830" s="1" t="s">
        <v>472</v>
      </c>
      <c r="D830" s="1" t="s">
        <v>291</v>
      </c>
      <c r="E830" s="62" t="n">
        <v>6568</v>
      </c>
      <c r="F830" s="26" t="n">
        <v>0.2</v>
      </c>
      <c r="G830" s="26" t="n">
        <v>1313.6</v>
      </c>
      <c r="H830" s="1" t="s">
        <v>395</v>
      </c>
    </row>
    <row r="831" customFormat="false" ht="15" hidden="false" customHeight="true" outlineLevel="0" collapsed="false">
      <c r="A831" s="1" t="s">
        <v>626</v>
      </c>
      <c r="B831" s="1" t="s">
        <v>143</v>
      </c>
      <c r="C831" s="1" t="s">
        <v>472</v>
      </c>
      <c r="D831" s="1" t="s">
        <v>285</v>
      </c>
      <c r="E831" s="62" t="n">
        <v>14689</v>
      </c>
      <c r="F831" s="26" t="n">
        <v>0.2</v>
      </c>
      <c r="G831" s="26" t="n">
        <v>2937.8</v>
      </c>
      <c r="H831" s="1" t="s">
        <v>395</v>
      </c>
    </row>
    <row r="832" customFormat="false" ht="15" hidden="false" customHeight="true" outlineLevel="0" collapsed="false">
      <c r="A832" s="1" t="s">
        <v>626</v>
      </c>
      <c r="B832" s="1" t="s">
        <v>143</v>
      </c>
      <c r="C832" s="1" t="s">
        <v>472</v>
      </c>
      <c r="D832" s="1" t="s">
        <v>286</v>
      </c>
      <c r="E832" s="62" t="n">
        <v>4805</v>
      </c>
      <c r="F832" s="26" t="n">
        <v>0.2</v>
      </c>
      <c r="G832" s="26" t="n">
        <v>961</v>
      </c>
      <c r="H832" s="1" t="s">
        <v>395</v>
      </c>
    </row>
    <row r="833" customFormat="false" ht="15" hidden="false" customHeight="true" outlineLevel="0" collapsed="false">
      <c r="A833" s="1" t="s">
        <v>626</v>
      </c>
      <c r="B833" s="1" t="s">
        <v>143</v>
      </c>
      <c r="C833" s="1" t="s">
        <v>472</v>
      </c>
      <c r="D833" s="1" t="s">
        <v>283</v>
      </c>
      <c r="E833" s="62" t="n">
        <v>4806</v>
      </c>
      <c r="F833" s="26" t="n">
        <v>0.2</v>
      </c>
      <c r="G833" s="26" t="n">
        <v>961.2</v>
      </c>
      <c r="H833" s="1" t="s">
        <v>395</v>
      </c>
    </row>
    <row r="834" customFormat="false" ht="15" hidden="false" customHeight="true" outlineLevel="0" collapsed="false">
      <c r="A834" s="1" t="s">
        <v>626</v>
      </c>
      <c r="B834" s="1" t="s">
        <v>141</v>
      </c>
      <c r="C834" s="1" t="s">
        <v>473</v>
      </c>
      <c r="D834" s="1" t="s">
        <v>290</v>
      </c>
      <c r="E834" s="62" t="n">
        <v>13530</v>
      </c>
      <c r="F834" s="26" t="n">
        <v>0.101057218436555</v>
      </c>
      <c r="G834" s="26" t="n">
        <v>1367.304165</v>
      </c>
      <c r="H834" s="1" t="s">
        <v>395</v>
      </c>
    </row>
    <row r="835" customFormat="false" ht="15" hidden="false" customHeight="true" outlineLevel="0" collapsed="false">
      <c r="A835" s="1" t="s">
        <v>626</v>
      </c>
      <c r="B835" s="1" t="s">
        <v>45</v>
      </c>
      <c r="C835" s="1" t="s">
        <v>474</v>
      </c>
      <c r="D835" s="1" t="s">
        <v>288</v>
      </c>
      <c r="E835" s="62" t="n">
        <v>1579</v>
      </c>
      <c r="F835" s="26" t="n">
        <v>7.19</v>
      </c>
      <c r="G835" s="26" t="n">
        <v>11353.01</v>
      </c>
      <c r="H835" s="1" t="s">
        <v>475</v>
      </c>
    </row>
    <row r="836" customFormat="false" ht="15" hidden="false" customHeight="true" outlineLevel="0" collapsed="false">
      <c r="A836" s="1" t="s">
        <v>626</v>
      </c>
      <c r="B836" s="1" t="s">
        <v>45</v>
      </c>
      <c r="C836" s="1" t="s">
        <v>474</v>
      </c>
      <c r="D836" s="1" t="s">
        <v>294</v>
      </c>
      <c r="E836" s="62" t="n">
        <v>469</v>
      </c>
      <c r="F836" s="26" t="n">
        <v>7.19</v>
      </c>
      <c r="G836" s="26" t="n">
        <v>3372.11</v>
      </c>
      <c r="H836" s="1" t="s">
        <v>475</v>
      </c>
    </row>
    <row r="837" customFormat="false" ht="15" hidden="false" customHeight="true" outlineLevel="0" collapsed="false">
      <c r="A837" s="1" t="s">
        <v>626</v>
      </c>
      <c r="B837" s="1" t="s">
        <v>45</v>
      </c>
      <c r="C837" s="1" t="s">
        <v>474</v>
      </c>
      <c r="D837" s="1" t="s">
        <v>291</v>
      </c>
      <c r="E837" s="62" t="n">
        <v>727</v>
      </c>
      <c r="F837" s="26" t="n">
        <v>7.20444291609354</v>
      </c>
      <c r="G837" s="26" t="n">
        <v>5237.63</v>
      </c>
      <c r="H837" s="1" t="s">
        <v>475</v>
      </c>
    </row>
    <row r="838" customFormat="false" ht="15" hidden="false" customHeight="true" outlineLevel="0" collapsed="false">
      <c r="A838" s="1" t="s">
        <v>626</v>
      </c>
      <c r="B838" s="1" t="s">
        <v>45</v>
      </c>
      <c r="C838" s="1" t="s">
        <v>474</v>
      </c>
      <c r="D838" s="1" t="s">
        <v>285</v>
      </c>
      <c r="E838" s="62" t="n">
        <v>2981</v>
      </c>
      <c r="F838" s="26" t="n">
        <v>7.19</v>
      </c>
      <c r="G838" s="26" t="n">
        <v>21433.39</v>
      </c>
      <c r="H838" s="1" t="s">
        <v>475</v>
      </c>
    </row>
    <row r="839" customFormat="false" ht="15" hidden="false" customHeight="true" outlineLevel="0" collapsed="false">
      <c r="A839" s="1" t="s">
        <v>626</v>
      </c>
      <c r="B839" s="1" t="s">
        <v>45</v>
      </c>
      <c r="C839" s="1" t="s">
        <v>474</v>
      </c>
      <c r="D839" s="1" t="s">
        <v>286</v>
      </c>
      <c r="E839" s="62" t="n">
        <v>2548</v>
      </c>
      <c r="F839" s="26" t="n">
        <v>7.19859497645212</v>
      </c>
      <c r="G839" s="26" t="n">
        <v>18342.02</v>
      </c>
      <c r="H839" s="1" t="s">
        <v>475</v>
      </c>
    </row>
    <row r="840" customFormat="false" ht="15" hidden="false" customHeight="true" outlineLevel="0" collapsed="false">
      <c r="A840" s="1" t="s">
        <v>626</v>
      </c>
      <c r="B840" s="1" t="s">
        <v>45</v>
      </c>
      <c r="C840" s="1" t="s">
        <v>476</v>
      </c>
      <c r="D840" s="1" t="s">
        <v>283</v>
      </c>
      <c r="E840" s="62" t="n">
        <v>0</v>
      </c>
      <c r="F840" s="26" t="n">
        <v>0</v>
      </c>
      <c r="G840" s="26" t="n">
        <v>0</v>
      </c>
      <c r="H840" s="1" t="s">
        <v>477</v>
      </c>
    </row>
    <row r="841" customFormat="false" ht="15" hidden="false" customHeight="true" outlineLevel="0" collapsed="false">
      <c r="A841" s="1" t="s">
        <v>626</v>
      </c>
      <c r="B841" s="1" t="s">
        <v>45</v>
      </c>
      <c r="C841" s="1" t="s">
        <v>474</v>
      </c>
      <c r="D841" s="1" t="s">
        <v>283</v>
      </c>
      <c r="E841" s="62" t="n">
        <v>1</v>
      </c>
      <c r="F841" s="26" t="n">
        <v>800</v>
      </c>
      <c r="G841" s="26" t="n">
        <v>800</v>
      </c>
      <c r="H841" s="1" t="s">
        <v>475</v>
      </c>
    </row>
    <row r="842" customFormat="false" ht="15" hidden="false" customHeight="true" outlineLevel="0" collapsed="false">
      <c r="A842" s="1" t="s">
        <v>626</v>
      </c>
      <c r="B842" s="1" t="s">
        <v>50</v>
      </c>
      <c r="C842" s="1" t="s">
        <v>478</v>
      </c>
      <c r="D842" s="1" t="s">
        <v>288</v>
      </c>
      <c r="E842" s="62" t="n">
        <v>0</v>
      </c>
      <c r="F842" s="26" t="n">
        <v>0</v>
      </c>
      <c r="G842" s="26" t="n">
        <v>0</v>
      </c>
      <c r="H842" s="1" t="s">
        <v>479</v>
      </c>
    </row>
    <row r="843" customFormat="false" ht="15" hidden="false" customHeight="true" outlineLevel="0" collapsed="false">
      <c r="A843" s="1" t="s">
        <v>626</v>
      </c>
      <c r="B843" s="1" t="s">
        <v>50</v>
      </c>
      <c r="C843" s="1" t="s">
        <v>478</v>
      </c>
      <c r="D843" s="1" t="s">
        <v>294</v>
      </c>
      <c r="E843" s="62" t="n">
        <v>0</v>
      </c>
      <c r="F843" s="26" t="n">
        <v>0</v>
      </c>
      <c r="G843" s="26" t="n">
        <v>0</v>
      </c>
      <c r="H843" s="1" t="s">
        <v>479</v>
      </c>
    </row>
    <row r="844" customFormat="false" ht="15" hidden="false" customHeight="true" outlineLevel="0" collapsed="false">
      <c r="A844" s="1" t="s">
        <v>626</v>
      </c>
      <c r="B844" s="1" t="s">
        <v>50</v>
      </c>
      <c r="C844" s="1" t="s">
        <v>478</v>
      </c>
      <c r="D844" s="1" t="s">
        <v>291</v>
      </c>
      <c r="E844" s="62" t="n">
        <v>0</v>
      </c>
      <c r="F844" s="26" t="n">
        <v>0</v>
      </c>
      <c r="G844" s="26" t="n">
        <v>0</v>
      </c>
      <c r="H844" s="1" t="s">
        <v>480</v>
      </c>
    </row>
    <row r="845" customFormat="false" ht="15" hidden="false" customHeight="true" outlineLevel="0" collapsed="false">
      <c r="A845" s="1" t="s">
        <v>626</v>
      </c>
      <c r="B845" s="1" t="s">
        <v>50</v>
      </c>
      <c r="C845" s="1" t="s">
        <v>478</v>
      </c>
      <c r="D845" s="1" t="s">
        <v>291</v>
      </c>
      <c r="E845" s="62" t="n">
        <v>0</v>
      </c>
      <c r="F845" s="26" t="n">
        <v>0</v>
      </c>
      <c r="G845" s="26" t="n">
        <v>0</v>
      </c>
      <c r="H845" s="1" t="s">
        <v>479</v>
      </c>
    </row>
    <row r="846" customFormat="false" ht="15" hidden="false" customHeight="true" outlineLevel="0" collapsed="false">
      <c r="A846" s="1" t="s">
        <v>626</v>
      </c>
      <c r="B846" s="1" t="s">
        <v>50</v>
      </c>
      <c r="C846" s="1" t="s">
        <v>478</v>
      </c>
      <c r="D846" s="1" t="s">
        <v>285</v>
      </c>
      <c r="E846" s="62" t="n">
        <v>0</v>
      </c>
      <c r="F846" s="26" t="n">
        <v>0</v>
      </c>
      <c r="G846" s="26" t="n">
        <v>0</v>
      </c>
      <c r="H846" s="1" t="s">
        <v>481</v>
      </c>
    </row>
    <row r="847" customFormat="false" ht="15" hidden="false" customHeight="true" outlineLevel="0" collapsed="false">
      <c r="A847" s="1" t="s">
        <v>626</v>
      </c>
      <c r="B847" s="1" t="s">
        <v>50</v>
      </c>
      <c r="C847" s="1" t="s">
        <v>478</v>
      </c>
      <c r="D847" s="1" t="s">
        <v>285</v>
      </c>
      <c r="E847" s="62" t="n">
        <v>0</v>
      </c>
      <c r="F847" s="26" t="n">
        <v>0</v>
      </c>
      <c r="G847" s="26" t="n">
        <v>0</v>
      </c>
      <c r="H847" s="1" t="s">
        <v>479</v>
      </c>
    </row>
    <row r="848" customFormat="false" ht="15" hidden="false" customHeight="true" outlineLevel="0" collapsed="false">
      <c r="A848" s="1" t="s">
        <v>626</v>
      </c>
      <c r="B848" s="1" t="s">
        <v>50</v>
      </c>
      <c r="C848" s="1" t="s">
        <v>478</v>
      </c>
      <c r="D848" s="1" t="s">
        <v>286</v>
      </c>
      <c r="E848" s="62" t="n">
        <v>0</v>
      </c>
      <c r="F848" s="26" t="n">
        <v>0</v>
      </c>
      <c r="G848" s="26" t="n">
        <v>0</v>
      </c>
      <c r="H848" s="1" t="s">
        <v>479</v>
      </c>
    </row>
    <row r="849" customFormat="false" ht="15" hidden="false" customHeight="true" outlineLevel="0" collapsed="false">
      <c r="A849" s="1" t="s">
        <v>626</v>
      </c>
      <c r="B849" s="1" t="s">
        <v>50</v>
      </c>
      <c r="C849" s="1" t="s">
        <v>478</v>
      </c>
      <c r="D849" s="1" t="s">
        <v>283</v>
      </c>
      <c r="E849" s="62" t="n">
        <v>0</v>
      </c>
      <c r="F849" s="26" t="n">
        <v>0</v>
      </c>
      <c r="G849" s="26" t="n">
        <v>0</v>
      </c>
      <c r="H849" s="1" t="s">
        <v>479</v>
      </c>
    </row>
    <row r="850" customFormat="false" ht="15" hidden="false" customHeight="true" outlineLevel="0" collapsed="false">
      <c r="A850" s="1" t="s">
        <v>626</v>
      </c>
      <c r="B850" s="1" t="s">
        <v>482</v>
      </c>
      <c r="C850" s="1" t="s">
        <v>483</v>
      </c>
      <c r="D850" s="1" t="s">
        <v>288</v>
      </c>
      <c r="E850" s="62" t="n">
        <v>0</v>
      </c>
      <c r="F850" s="26" t="n">
        <v>0</v>
      </c>
      <c r="G850" s="26" t="n">
        <v>0</v>
      </c>
      <c r="H850" s="1" t="s">
        <v>484</v>
      </c>
    </row>
    <row r="851" customFormat="false" ht="15" hidden="false" customHeight="true" outlineLevel="0" collapsed="false">
      <c r="A851" s="1" t="s">
        <v>626</v>
      </c>
      <c r="B851" s="1" t="s">
        <v>482</v>
      </c>
      <c r="C851" s="1" t="s">
        <v>485</v>
      </c>
      <c r="D851" s="1" t="s">
        <v>288</v>
      </c>
      <c r="E851" s="62" t="n">
        <v>0</v>
      </c>
      <c r="F851" s="26" t="n">
        <v>0</v>
      </c>
      <c r="G851" s="26" t="n">
        <v>0</v>
      </c>
      <c r="H851" s="1" t="s">
        <v>486</v>
      </c>
    </row>
    <row r="852" customFormat="false" ht="15" hidden="false" customHeight="true" outlineLevel="0" collapsed="false">
      <c r="A852" s="1" t="s">
        <v>626</v>
      </c>
      <c r="B852" s="1" t="s">
        <v>482</v>
      </c>
      <c r="C852" s="1" t="s">
        <v>487</v>
      </c>
      <c r="D852" s="1" t="s">
        <v>288</v>
      </c>
      <c r="E852" s="62" t="n">
        <v>10</v>
      </c>
      <c r="F852" s="26" t="n">
        <v>20</v>
      </c>
      <c r="G852" s="26" t="n">
        <v>200</v>
      </c>
      <c r="H852" s="1" t="s">
        <v>488</v>
      </c>
    </row>
    <row r="853" customFormat="false" ht="15" hidden="false" customHeight="true" outlineLevel="0" collapsed="false">
      <c r="A853" s="1" t="s">
        <v>626</v>
      </c>
      <c r="B853" s="1" t="s">
        <v>482</v>
      </c>
      <c r="C853" s="1" t="s">
        <v>489</v>
      </c>
      <c r="D853" s="1" t="s">
        <v>288</v>
      </c>
      <c r="E853" s="62" t="n">
        <v>1</v>
      </c>
      <c r="F853" s="26" t="n">
        <v>927.69</v>
      </c>
      <c r="G853" s="26" t="n">
        <v>927.69</v>
      </c>
      <c r="H853" s="1" t="s">
        <v>631</v>
      </c>
    </row>
    <row r="854" customFormat="false" ht="15" hidden="false" customHeight="true" outlineLevel="0" collapsed="false">
      <c r="A854" s="1" t="s">
        <v>626</v>
      </c>
      <c r="B854" s="1" t="s">
        <v>482</v>
      </c>
      <c r="C854" s="1" t="s">
        <v>491</v>
      </c>
      <c r="D854" s="1" t="s">
        <v>288</v>
      </c>
      <c r="E854" s="62" t="n">
        <v>1</v>
      </c>
      <c r="F854" s="26" t="n">
        <v>480</v>
      </c>
      <c r="G854" s="26" t="n">
        <v>480</v>
      </c>
      <c r="H854" s="1" t="s">
        <v>492</v>
      </c>
    </row>
    <row r="855" customFormat="false" ht="15" hidden="false" customHeight="true" outlineLevel="0" collapsed="false">
      <c r="A855" s="1" t="s">
        <v>626</v>
      </c>
      <c r="B855" s="1" t="s">
        <v>482</v>
      </c>
      <c r="C855" s="1" t="s">
        <v>489</v>
      </c>
      <c r="D855" s="1" t="s">
        <v>290</v>
      </c>
      <c r="E855" s="62" t="n">
        <v>0</v>
      </c>
      <c r="F855" s="26" t="n">
        <v>0</v>
      </c>
      <c r="G855" s="26" t="n">
        <v>0</v>
      </c>
      <c r="H855" s="1" t="s">
        <v>490</v>
      </c>
    </row>
    <row r="856" customFormat="false" ht="15" hidden="false" customHeight="true" outlineLevel="0" collapsed="false">
      <c r="A856" s="1" t="s">
        <v>626</v>
      </c>
      <c r="B856" s="1" t="s">
        <v>482</v>
      </c>
      <c r="C856" s="1" t="s">
        <v>487</v>
      </c>
      <c r="D856" s="1" t="s">
        <v>294</v>
      </c>
      <c r="E856" s="62" t="n">
        <v>3</v>
      </c>
      <c r="F856" s="26" t="n">
        <v>20</v>
      </c>
      <c r="G856" s="26" t="n">
        <v>60</v>
      </c>
      <c r="H856" s="1" t="s">
        <v>488</v>
      </c>
    </row>
    <row r="857" customFormat="false" ht="15" hidden="false" customHeight="true" outlineLevel="0" collapsed="false">
      <c r="A857" s="1" t="s">
        <v>626</v>
      </c>
      <c r="B857" s="1" t="s">
        <v>482</v>
      </c>
      <c r="C857" s="1" t="s">
        <v>489</v>
      </c>
      <c r="D857" s="1" t="s">
        <v>294</v>
      </c>
      <c r="E857" s="62" t="n">
        <v>0</v>
      </c>
      <c r="F857" s="26" t="n">
        <v>0</v>
      </c>
      <c r="G857" s="26" t="n">
        <v>0</v>
      </c>
      <c r="H857" s="1" t="s">
        <v>631</v>
      </c>
    </row>
    <row r="858" customFormat="false" ht="15" hidden="false" customHeight="true" outlineLevel="0" collapsed="false">
      <c r="A858" s="1" t="s">
        <v>626</v>
      </c>
      <c r="B858" s="1" t="s">
        <v>482</v>
      </c>
      <c r="C858" s="1" t="s">
        <v>491</v>
      </c>
      <c r="D858" s="1" t="s">
        <v>294</v>
      </c>
      <c r="E858" s="62" t="n">
        <v>0</v>
      </c>
      <c r="F858" s="26" t="n">
        <v>0</v>
      </c>
      <c r="G858" s="26" t="n">
        <v>0</v>
      </c>
      <c r="H858" s="1" t="s">
        <v>492</v>
      </c>
    </row>
    <row r="859" customFormat="false" ht="15" hidden="false" customHeight="true" outlineLevel="0" collapsed="false">
      <c r="A859" s="1" t="s">
        <v>626</v>
      </c>
      <c r="B859" s="1" t="s">
        <v>482</v>
      </c>
      <c r="C859" s="1" t="s">
        <v>483</v>
      </c>
      <c r="D859" s="1" t="s">
        <v>291</v>
      </c>
      <c r="E859" s="62" t="n">
        <v>0</v>
      </c>
      <c r="F859" s="26" t="n">
        <v>0</v>
      </c>
      <c r="G859" s="26" t="n">
        <v>0</v>
      </c>
      <c r="H859" s="1" t="s">
        <v>493</v>
      </c>
    </row>
    <row r="860" customFormat="false" ht="15" hidden="false" customHeight="true" outlineLevel="0" collapsed="false">
      <c r="A860" s="1" t="s">
        <v>626</v>
      </c>
      <c r="B860" s="1" t="s">
        <v>482</v>
      </c>
      <c r="C860" s="1" t="s">
        <v>485</v>
      </c>
      <c r="D860" s="1" t="s">
        <v>291</v>
      </c>
      <c r="E860" s="62" t="n">
        <v>0</v>
      </c>
      <c r="F860" s="26" t="n">
        <v>0</v>
      </c>
      <c r="G860" s="26" t="n">
        <v>0</v>
      </c>
      <c r="H860" s="1" t="s">
        <v>494</v>
      </c>
    </row>
    <row r="861" customFormat="false" ht="15" hidden="false" customHeight="true" outlineLevel="0" collapsed="false">
      <c r="A861" s="1" t="s">
        <v>626</v>
      </c>
      <c r="B861" s="1" t="s">
        <v>482</v>
      </c>
      <c r="C861" s="1" t="s">
        <v>487</v>
      </c>
      <c r="D861" s="1" t="s">
        <v>291</v>
      </c>
      <c r="E861" s="62" t="n">
        <v>13</v>
      </c>
      <c r="F861" s="26" t="n">
        <v>20</v>
      </c>
      <c r="G861" s="26" t="n">
        <v>260</v>
      </c>
      <c r="H861" s="1" t="s">
        <v>488</v>
      </c>
    </row>
    <row r="862" customFormat="false" ht="15" hidden="false" customHeight="true" outlineLevel="0" collapsed="false">
      <c r="A862" s="1" t="s">
        <v>626</v>
      </c>
      <c r="B862" s="1" t="s">
        <v>482</v>
      </c>
      <c r="C862" s="1" t="s">
        <v>489</v>
      </c>
      <c r="D862" s="1" t="s">
        <v>291</v>
      </c>
      <c r="E862" s="62" t="n">
        <v>1</v>
      </c>
      <c r="F862" s="26" t="n">
        <v>1454.08</v>
      </c>
      <c r="G862" s="26" t="n">
        <v>1454.08</v>
      </c>
      <c r="H862" s="1" t="s">
        <v>631</v>
      </c>
    </row>
    <row r="863" customFormat="false" ht="15" hidden="false" customHeight="true" outlineLevel="0" collapsed="false">
      <c r="A863" s="1" t="s">
        <v>626</v>
      </c>
      <c r="B863" s="1" t="s">
        <v>482</v>
      </c>
      <c r="C863" s="1" t="s">
        <v>491</v>
      </c>
      <c r="D863" s="1" t="s">
        <v>291</v>
      </c>
      <c r="E863" s="62" t="n">
        <v>1</v>
      </c>
      <c r="F863" s="26" t="n">
        <v>456</v>
      </c>
      <c r="G863" s="26" t="n">
        <v>456</v>
      </c>
      <c r="H863" s="1" t="s">
        <v>492</v>
      </c>
    </row>
    <row r="864" customFormat="false" ht="15" hidden="false" customHeight="true" outlineLevel="0" collapsed="false">
      <c r="A864" s="1" t="s">
        <v>626</v>
      </c>
      <c r="B864" s="1" t="s">
        <v>482</v>
      </c>
      <c r="C864" s="1" t="s">
        <v>487</v>
      </c>
      <c r="D864" s="1" t="s">
        <v>285</v>
      </c>
      <c r="E864" s="62" t="n">
        <v>19</v>
      </c>
      <c r="F864" s="26" t="n">
        <v>20</v>
      </c>
      <c r="G864" s="26" t="n">
        <v>380</v>
      </c>
      <c r="H864" s="1" t="s">
        <v>488</v>
      </c>
    </row>
    <row r="865" customFormat="false" ht="15" hidden="false" customHeight="true" outlineLevel="0" collapsed="false">
      <c r="A865" s="1" t="s">
        <v>626</v>
      </c>
      <c r="B865" s="1" t="s">
        <v>482</v>
      </c>
      <c r="C865" s="1" t="s">
        <v>489</v>
      </c>
      <c r="D865" s="1" t="s">
        <v>285</v>
      </c>
      <c r="E865" s="62" t="n">
        <v>1</v>
      </c>
      <c r="F865" s="26" t="n">
        <v>1598.23</v>
      </c>
      <c r="G865" s="26" t="n">
        <v>1598.23</v>
      </c>
      <c r="H865" s="1" t="s">
        <v>631</v>
      </c>
    </row>
    <row r="866" customFormat="false" ht="15" hidden="false" customHeight="true" outlineLevel="0" collapsed="false">
      <c r="A866" s="1" t="s">
        <v>626</v>
      </c>
      <c r="B866" s="1" t="s">
        <v>482</v>
      </c>
      <c r="C866" s="1" t="s">
        <v>496</v>
      </c>
      <c r="D866" s="1" t="s">
        <v>285</v>
      </c>
      <c r="E866" s="62" t="n">
        <v>0</v>
      </c>
      <c r="F866" s="26" t="n">
        <v>0</v>
      </c>
      <c r="G866" s="26" t="n">
        <v>0</v>
      </c>
      <c r="H866" s="1" t="s">
        <v>631</v>
      </c>
    </row>
    <row r="867" customFormat="false" ht="15" hidden="false" customHeight="true" outlineLevel="0" collapsed="false">
      <c r="A867" s="1" t="s">
        <v>626</v>
      </c>
      <c r="B867" s="1" t="s">
        <v>482</v>
      </c>
      <c r="C867" s="1" t="s">
        <v>495</v>
      </c>
      <c r="D867" s="1" t="s">
        <v>286</v>
      </c>
      <c r="E867" s="62" t="n">
        <v>0</v>
      </c>
      <c r="F867" s="26" t="n">
        <v>0</v>
      </c>
      <c r="G867" s="26" t="n">
        <v>0</v>
      </c>
      <c r="H867" s="1" t="s">
        <v>497</v>
      </c>
    </row>
    <row r="868" customFormat="false" ht="15" hidden="false" customHeight="true" outlineLevel="0" collapsed="false">
      <c r="A868" s="1" t="s">
        <v>626</v>
      </c>
      <c r="B868" s="1" t="s">
        <v>482</v>
      </c>
      <c r="C868" s="1" t="s">
        <v>487</v>
      </c>
      <c r="D868" s="1" t="s">
        <v>286</v>
      </c>
      <c r="E868" s="62" t="n">
        <v>4</v>
      </c>
      <c r="F868" s="26" t="n">
        <v>20</v>
      </c>
      <c r="G868" s="26" t="n">
        <v>80</v>
      </c>
      <c r="H868" s="1" t="s">
        <v>488</v>
      </c>
    </row>
    <row r="869" customFormat="false" ht="15" hidden="false" customHeight="true" outlineLevel="0" collapsed="false">
      <c r="A869" s="1" t="s">
        <v>626</v>
      </c>
      <c r="B869" s="1" t="s">
        <v>482</v>
      </c>
      <c r="C869" s="1" t="s">
        <v>489</v>
      </c>
      <c r="D869" s="1" t="s">
        <v>286</v>
      </c>
      <c r="E869" s="62" t="n">
        <v>1</v>
      </c>
      <c r="F869" s="26" t="n">
        <v>415.62</v>
      </c>
      <c r="G869" s="26" t="n">
        <v>415.62</v>
      </c>
      <c r="H869" s="1" t="s">
        <v>631</v>
      </c>
    </row>
    <row r="870" customFormat="false" ht="15" hidden="false" customHeight="true" outlineLevel="0" collapsed="false">
      <c r="A870" s="1" t="s">
        <v>626</v>
      </c>
      <c r="B870" s="1" t="s">
        <v>482</v>
      </c>
      <c r="C870" s="1" t="s">
        <v>496</v>
      </c>
      <c r="D870" s="1" t="s">
        <v>286</v>
      </c>
      <c r="E870" s="62" t="n">
        <v>1</v>
      </c>
      <c r="F870" s="26" t="n">
        <v>108</v>
      </c>
      <c r="G870" s="26" t="n">
        <v>108</v>
      </c>
      <c r="H870" s="1" t="s">
        <v>492</v>
      </c>
    </row>
    <row r="871" customFormat="false" ht="15" hidden="false" customHeight="true" outlineLevel="0" collapsed="false">
      <c r="A871" s="1" t="s">
        <v>626</v>
      </c>
      <c r="B871" s="1" t="s">
        <v>482</v>
      </c>
      <c r="C871" s="1" t="s">
        <v>483</v>
      </c>
      <c r="D871" s="1" t="s">
        <v>283</v>
      </c>
      <c r="E871" s="62" t="n">
        <v>0</v>
      </c>
      <c r="F871" s="26" t="n">
        <v>0</v>
      </c>
      <c r="G871" s="26" t="n">
        <v>0</v>
      </c>
      <c r="H871" s="1" t="s">
        <v>498</v>
      </c>
    </row>
    <row r="872" customFormat="false" ht="15" hidden="false" customHeight="true" outlineLevel="0" collapsed="false">
      <c r="A872" s="1" t="s">
        <v>626</v>
      </c>
      <c r="B872" s="1" t="s">
        <v>482</v>
      </c>
      <c r="C872" s="1" t="s">
        <v>487</v>
      </c>
      <c r="D872" s="1" t="s">
        <v>283</v>
      </c>
      <c r="E872" s="62" t="n">
        <v>8</v>
      </c>
      <c r="F872" s="26" t="n">
        <v>20</v>
      </c>
      <c r="G872" s="26" t="n">
        <v>160</v>
      </c>
      <c r="H872" s="1" t="s">
        <v>488</v>
      </c>
    </row>
    <row r="873" customFormat="false" ht="15" hidden="false" customHeight="true" outlineLevel="0" collapsed="false">
      <c r="A873" s="1" t="s">
        <v>626</v>
      </c>
      <c r="B873" s="1" t="s">
        <v>482</v>
      </c>
      <c r="C873" s="1" t="s">
        <v>489</v>
      </c>
      <c r="D873" s="1" t="s">
        <v>283</v>
      </c>
      <c r="E873" s="62" t="n">
        <v>1</v>
      </c>
      <c r="F873" s="26" t="n">
        <v>468.01</v>
      </c>
      <c r="G873" s="26" t="n">
        <v>468.01</v>
      </c>
      <c r="H873" s="1" t="s">
        <v>489</v>
      </c>
    </row>
    <row r="874" customFormat="false" ht="15" hidden="false" customHeight="true" outlineLevel="0" collapsed="false">
      <c r="A874" s="1" t="s">
        <v>626</v>
      </c>
      <c r="B874" s="1" t="s">
        <v>482</v>
      </c>
      <c r="C874" s="1" t="s">
        <v>491</v>
      </c>
      <c r="D874" s="1" t="s">
        <v>283</v>
      </c>
      <c r="E874" s="62" t="n">
        <v>1</v>
      </c>
      <c r="F874" s="26" t="n">
        <v>72</v>
      </c>
      <c r="G874" s="26" t="n">
        <v>72</v>
      </c>
      <c r="H874" s="1" t="s">
        <v>492</v>
      </c>
    </row>
    <row r="875" customFormat="false" ht="15" hidden="false" customHeight="true" outlineLevel="0" collapsed="false">
      <c r="A875" s="1" t="s">
        <v>626</v>
      </c>
      <c r="B875" s="1" t="s">
        <v>499</v>
      </c>
      <c r="C875" s="1" t="s">
        <v>618</v>
      </c>
      <c r="D875" s="1" t="s">
        <v>288</v>
      </c>
      <c r="E875" s="62" t="n">
        <v>0</v>
      </c>
      <c r="F875" s="26" t="n">
        <v>0</v>
      </c>
      <c r="G875" s="26" t="n">
        <v>0</v>
      </c>
      <c r="H875" s="1" t="s">
        <v>503</v>
      </c>
    </row>
    <row r="876" customFormat="false" ht="15" hidden="false" customHeight="true" outlineLevel="0" collapsed="false">
      <c r="A876" s="1" t="s">
        <v>626</v>
      </c>
      <c r="B876" s="1" t="s">
        <v>499</v>
      </c>
      <c r="C876" s="1" t="s">
        <v>500</v>
      </c>
      <c r="D876" s="1" t="s">
        <v>288</v>
      </c>
      <c r="E876" s="62" t="n">
        <v>0</v>
      </c>
      <c r="F876" s="26" t="n">
        <v>0</v>
      </c>
      <c r="G876" s="26" t="n">
        <v>0</v>
      </c>
      <c r="H876" s="1" t="s">
        <v>501</v>
      </c>
    </row>
    <row r="877" customFormat="false" ht="15" hidden="false" customHeight="true" outlineLevel="0" collapsed="false">
      <c r="A877" s="1" t="s">
        <v>626</v>
      </c>
      <c r="B877" s="1" t="s">
        <v>499</v>
      </c>
      <c r="C877" s="1" t="s">
        <v>504</v>
      </c>
      <c r="D877" s="1" t="s">
        <v>288</v>
      </c>
      <c r="E877" s="62" t="n">
        <v>0</v>
      </c>
      <c r="F877" s="26" t="n">
        <v>0</v>
      </c>
      <c r="G877" s="26" t="n">
        <v>0</v>
      </c>
      <c r="H877" s="1" t="s">
        <v>505</v>
      </c>
    </row>
    <row r="878" customFormat="false" ht="15" hidden="false" customHeight="true" outlineLevel="0" collapsed="false">
      <c r="A878" s="1" t="s">
        <v>626</v>
      </c>
      <c r="B878" s="1" t="s">
        <v>499</v>
      </c>
      <c r="C878" s="1" t="s">
        <v>619</v>
      </c>
      <c r="D878" s="1" t="s">
        <v>288</v>
      </c>
      <c r="E878" s="62" t="n">
        <v>0</v>
      </c>
      <c r="F878" s="26" t="n">
        <v>0</v>
      </c>
      <c r="G878" s="26" t="n">
        <v>0</v>
      </c>
      <c r="H878" s="1" t="s">
        <v>507</v>
      </c>
    </row>
    <row r="879" customFormat="false" ht="15" hidden="false" customHeight="true" outlineLevel="0" collapsed="false">
      <c r="A879" s="1" t="s">
        <v>626</v>
      </c>
      <c r="B879" s="1" t="s">
        <v>499</v>
      </c>
      <c r="C879" s="1" t="s">
        <v>508</v>
      </c>
      <c r="D879" s="1" t="s">
        <v>290</v>
      </c>
      <c r="E879" s="62" t="n">
        <v>0</v>
      </c>
      <c r="F879" s="26" t="n">
        <v>0</v>
      </c>
      <c r="G879" s="26" t="n">
        <v>0</v>
      </c>
      <c r="H879" s="1" t="s">
        <v>509</v>
      </c>
    </row>
    <row r="880" customFormat="false" ht="15" hidden="false" customHeight="true" outlineLevel="0" collapsed="false">
      <c r="A880" s="1" t="s">
        <v>626</v>
      </c>
      <c r="B880" s="1" t="s">
        <v>499</v>
      </c>
      <c r="C880" s="1" t="s">
        <v>510</v>
      </c>
      <c r="D880" s="1" t="s">
        <v>290</v>
      </c>
      <c r="E880" s="62" t="n">
        <v>0</v>
      </c>
      <c r="F880" s="26" t="n">
        <v>0</v>
      </c>
      <c r="G880" s="26" t="n">
        <v>0</v>
      </c>
      <c r="H880" s="1" t="s">
        <v>511</v>
      </c>
    </row>
    <row r="881" customFormat="false" ht="15" hidden="false" customHeight="true" outlineLevel="0" collapsed="false">
      <c r="A881" s="1" t="s">
        <v>626</v>
      </c>
      <c r="B881" s="1" t="s">
        <v>499</v>
      </c>
      <c r="C881" s="1" t="s">
        <v>512</v>
      </c>
      <c r="D881" s="1" t="s">
        <v>294</v>
      </c>
      <c r="E881" s="62" t="n">
        <v>0</v>
      </c>
      <c r="F881" s="26" t="n">
        <v>0</v>
      </c>
      <c r="G881" s="26" t="n">
        <v>0</v>
      </c>
      <c r="H881" s="1" t="s">
        <v>513</v>
      </c>
    </row>
    <row r="882" customFormat="false" ht="15" hidden="false" customHeight="true" outlineLevel="0" collapsed="false">
      <c r="A882" s="1" t="s">
        <v>626</v>
      </c>
      <c r="B882" s="1" t="s">
        <v>499</v>
      </c>
      <c r="C882" s="1" t="s">
        <v>514</v>
      </c>
      <c r="D882" s="1" t="s">
        <v>294</v>
      </c>
      <c r="E882" s="62" t="n">
        <v>0</v>
      </c>
      <c r="F882" s="26" t="n">
        <v>0</v>
      </c>
      <c r="G882" s="26" t="n">
        <v>0</v>
      </c>
      <c r="H882" s="1" t="s">
        <v>515</v>
      </c>
    </row>
    <row r="883" customFormat="false" ht="15" hidden="false" customHeight="true" outlineLevel="0" collapsed="false">
      <c r="A883" s="1" t="s">
        <v>626</v>
      </c>
      <c r="B883" s="1" t="s">
        <v>499</v>
      </c>
      <c r="C883" s="1" t="s">
        <v>516</v>
      </c>
      <c r="D883" s="1" t="s">
        <v>294</v>
      </c>
      <c r="E883" s="62" t="n">
        <v>0</v>
      </c>
      <c r="F883" s="26" t="n">
        <v>0</v>
      </c>
      <c r="G883" s="26" t="n">
        <v>0</v>
      </c>
      <c r="H883" s="1" t="s">
        <v>509</v>
      </c>
    </row>
    <row r="884" customFormat="false" ht="15" hidden="false" customHeight="true" outlineLevel="0" collapsed="false">
      <c r="A884" s="1" t="s">
        <v>626</v>
      </c>
      <c r="B884" s="1" t="s">
        <v>499</v>
      </c>
      <c r="C884" s="1" t="s">
        <v>517</v>
      </c>
      <c r="D884" s="1" t="s">
        <v>294</v>
      </c>
      <c r="E884" s="62" t="n">
        <v>0</v>
      </c>
      <c r="F884" s="26" t="n">
        <v>0</v>
      </c>
      <c r="G884" s="26" t="n">
        <v>0</v>
      </c>
      <c r="H884" s="1" t="s">
        <v>518</v>
      </c>
    </row>
    <row r="885" customFormat="false" ht="15" hidden="false" customHeight="true" outlineLevel="0" collapsed="false">
      <c r="A885" s="1" t="s">
        <v>626</v>
      </c>
      <c r="B885" s="1" t="s">
        <v>499</v>
      </c>
      <c r="C885" s="1" t="s">
        <v>519</v>
      </c>
      <c r="D885" s="1" t="s">
        <v>294</v>
      </c>
      <c r="E885" s="62" t="n">
        <v>0</v>
      </c>
      <c r="F885" s="26" t="n">
        <v>0</v>
      </c>
      <c r="G885" s="26" t="n">
        <v>0</v>
      </c>
      <c r="H885" s="1" t="s">
        <v>518</v>
      </c>
    </row>
    <row r="886" customFormat="false" ht="15" hidden="false" customHeight="true" outlineLevel="0" collapsed="false">
      <c r="A886" s="1" t="s">
        <v>626</v>
      </c>
      <c r="B886" s="1" t="s">
        <v>499</v>
      </c>
      <c r="C886" s="1" t="s">
        <v>520</v>
      </c>
      <c r="D886" s="1" t="s">
        <v>294</v>
      </c>
      <c r="E886" s="62" t="n">
        <v>1</v>
      </c>
      <c r="F886" s="26" t="n">
        <v>3548.72</v>
      </c>
      <c r="G886" s="26" t="n">
        <v>3548.72</v>
      </c>
      <c r="H886" s="1" t="s">
        <v>521</v>
      </c>
    </row>
    <row r="887" customFormat="false" ht="15" hidden="false" customHeight="true" outlineLevel="0" collapsed="false">
      <c r="A887" s="1" t="s">
        <v>626</v>
      </c>
      <c r="B887" s="1" t="s">
        <v>499</v>
      </c>
      <c r="C887" s="1" t="s">
        <v>522</v>
      </c>
      <c r="D887" s="1" t="s">
        <v>291</v>
      </c>
      <c r="E887" s="62" t="n">
        <v>0</v>
      </c>
      <c r="F887" s="26" t="n">
        <v>0</v>
      </c>
      <c r="G887" s="26" t="n">
        <v>0</v>
      </c>
      <c r="H887" s="1" t="s">
        <v>509</v>
      </c>
    </row>
    <row r="888" customFormat="false" ht="15" hidden="false" customHeight="true" outlineLevel="0" collapsed="false">
      <c r="A888" s="1" t="s">
        <v>626</v>
      </c>
      <c r="B888" s="1" t="s">
        <v>499</v>
      </c>
      <c r="C888" s="1" t="s">
        <v>523</v>
      </c>
      <c r="D888" s="1" t="s">
        <v>291</v>
      </c>
      <c r="E888" s="62" t="n">
        <v>0</v>
      </c>
      <c r="F888" s="26" t="n">
        <v>0</v>
      </c>
      <c r="G888" s="26" t="n">
        <v>0</v>
      </c>
      <c r="H888" s="1" t="s">
        <v>524</v>
      </c>
    </row>
    <row r="889" customFormat="false" ht="15" hidden="false" customHeight="true" outlineLevel="0" collapsed="false">
      <c r="A889" s="1" t="s">
        <v>626</v>
      </c>
      <c r="B889" s="1" t="s">
        <v>499</v>
      </c>
      <c r="C889" s="1" t="s">
        <v>525</v>
      </c>
      <c r="D889" s="1" t="s">
        <v>285</v>
      </c>
      <c r="E889" s="62" t="n">
        <v>0</v>
      </c>
      <c r="F889" s="26" t="n">
        <v>0</v>
      </c>
      <c r="G889" s="26" t="n">
        <v>0</v>
      </c>
      <c r="H889" s="1" t="s">
        <v>526</v>
      </c>
    </row>
    <row r="890" customFormat="false" ht="15" hidden="false" customHeight="true" outlineLevel="0" collapsed="false">
      <c r="A890" s="1" t="s">
        <v>626</v>
      </c>
      <c r="B890" s="1" t="s">
        <v>499</v>
      </c>
      <c r="C890" s="1" t="s">
        <v>527</v>
      </c>
      <c r="D890" s="1" t="s">
        <v>285</v>
      </c>
      <c r="E890" s="62" t="n">
        <v>0</v>
      </c>
      <c r="F890" s="26" t="n">
        <v>0</v>
      </c>
      <c r="G890" s="26" t="n">
        <v>0</v>
      </c>
      <c r="H890" s="1" t="s">
        <v>501</v>
      </c>
    </row>
    <row r="891" customFormat="false" ht="15" hidden="false" customHeight="true" outlineLevel="0" collapsed="false">
      <c r="A891" s="1" t="s">
        <v>626</v>
      </c>
      <c r="B891" s="1" t="s">
        <v>499</v>
      </c>
      <c r="C891" s="1" t="s">
        <v>528</v>
      </c>
      <c r="D891" s="1" t="s">
        <v>285</v>
      </c>
      <c r="E891" s="62" t="n">
        <v>0</v>
      </c>
      <c r="F891" s="26" t="n">
        <v>0</v>
      </c>
      <c r="G891" s="26" t="n">
        <v>0</v>
      </c>
      <c r="H891" s="1" t="s">
        <v>505</v>
      </c>
    </row>
    <row r="892" customFormat="false" ht="15" hidden="false" customHeight="true" outlineLevel="0" collapsed="false">
      <c r="A892" s="1" t="s">
        <v>626</v>
      </c>
      <c r="B892" s="1" t="s">
        <v>499</v>
      </c>
      <c r="C892" s="1" t="s">
        <v>529</v>
      </c>
      <c r="D892" s="1" t="s">
        <v>285</v>
      </c>
      <c r="E892" s="62" t="n">
        <v>0</v>
      </c>
      <c r="F892" s="26" t="n">
        <v>0</v>
      </c>
      <c r="G892" s="26" t="n">
        <v>0</v>
      </c>
      <c r="H892" s="1" t="s">
        <v>511</v>
      </c>
    </row>
    <row r="893" customFormat="false" ht="15" hidden="false" customHeight="true" outlineLevel="0" collapsed="false">
      <c r="A893" s="1" t="s">
        <v>626</v>
      </c>
      <c r="B893" s="1" t="s">
        <v>499</v>
      </c>
      <c r="C893" s="1" t="s">
        <v>525</v>
      </c>
      <c r="D893" s="1" t="s">
        <v>286</v>
      </c>
      <c r="E893" s="62" t="n">
        <v>0</v>
      </c>
      <c r="F893" s="26" t="n">
        <v>0</v>
      </c>
      <c r="G893" s="26" t="n">
        <v>0</v>
      </c>
      <c r="H893" s="1" t="s">
        <v>509</v>
      </c>
    </row>
    <row r="894" customFormat="false" ht="15" hidden="false" customHeight="true" outlineLevel="0" collapsed="false">
      <c r="A894" s="1" t="s">
        <v>626</v>
      </c>
      <c r="B894" s="1" t="s">
        <v>499</v>
      </c>
      <c r="C894" s="1" t="s">
        <v>530</v>
      </c>
      <c r="D894" s="1" t="s">
        <v>286</v>
      </c>
      <c r="E894" s="62" t="n">
        <v>0</v>
      </c>
      <c r="F894" s="26" t="n">
        <v>0</v>
      </c>
      <c r="G894" s="26" t="n">
        <v>0</v>
      </c>
      <c r="H894" s="1" t="s">
        <v>509</v>
      </c>
    </row>
    <row r="895" customFormat="false" ht="15" hidden="false" customHeight="true" outlineLevel="0" collapsed="false">
      <c r="A895" s="1" t="s">
        <v>626</v>
      </c>
      <c r="B895" s="1" t="s">
        <v>499</v>
      </c>
      <c r="C895" s="1" t="s">
        <v>531</v>
      </c>
      <c r="D895" s="1" t="s">
        <v>286</v>
      </c>
      <c r="E895" s="62" t="n">
        <v>0</v>
      </c>
      <c r="F895" s="26" t="n">
        <v>0</v>
      </c>
      <c r="G895" s="26" t="n">
        <v>0</v>
      </c>
      <c r="H895" s="1" t="s">
        <v>524</v>
      </c>
    </row>
    <row r="896" customFormat="false" ht="15" hidden="false" customHeight="true" outlineLevel="0" collapsed="false">
      <c r="A896" s="1" t="s">
        <v>626</v>
      </c>
      <c r="B896" s="1" t="s">
        <v>499</v>
      </c>
      <c r="C896" s="1" t="s">
        <v>529</v>
      </c>
      <c r="D896" s="1" t="s">
        <v>286</v>
      </c>
      <c r="E896" s="62" t="n">
        <v>0</v>
      </c>
      <c r="F896" s="26" t="n">
        <v>0</v>
      </c>
      <c r="G896" s="26" t="n">
        <v>0</v>
      </c>
      <c r="H896" s="1" t="s">
        <v>532</v>
      </c>
    </row>
    <row r="897" customFormat="false" ht="15" hidden="false" customHeight="true" outlineLevel="0" collapsed="false">
      <c r="A897" s="1" t="s">
        <v>626</v>
      </c>
      <c r="B897" s="1" t="s">
        <v>499</v>
      </c>
      <c r="C897" s="1" t="s">
        <v>533</v>
      </c>
      <c r="D897" s="1" t="s">
        <v>283</v>
      </c>
      <c r="E897" s="62" t="n">
        <v>4806</v>
      </c>
      <c r="F897" s="26" t="n">
        <v>0.62</v>
      </c>
      <c r="G897" s="26" t="n">
        <v>2979.72</v>
      </c>
      <c r="H897" s="1" t="s">
        <v>395</v>
      </c>
    </row>
    <row r="898" customFormat="false" ht="15" hidden="false" customHeight="true" outlineLevel="0" collapsed="false">
      <c r="A898" s="1" t="s">
        <v>626</v>
      </c>
      <c r="B898" s="1" t="s">
        <v>499</v>
      </c>
      <c r="C898" s="1" t="s">
        <v>534</v>
      </c>
      <c r="D898" s="1" t="s">
        <v>283</v>
      </c>
      <c r="E898" s="62" t="n">
        <v>1</v>
      </c>
      <c r="F898" s="26" t="n">
        <v>561.64</v>
      </c>
      <c r="G898" s="26" t="n">
        <v>561.64</v>
      </c>
      <c r="H898" s="1" t="s">
        <v>509</v>
      </c>
    </row>
    <row r="899" customFormat="false" ht="15" hidden="false" customHeight="true" outlineLevel="0" collapsed="false">
      <c r="A899" s="1" t="s">
        <v>626</v>
      </c>
      <c r="B899" s="1" t="s">
        <v>499</v>
      </c>
      <c r="C899" s="1" t="s">
        <v>535</v>
      </c>
      <c r="D899" s="1" t="s">
        <v>283</v>
      </c>
      <c r="E899" s="62" t="n">
        <v>0</v>
      </c>
      <c r="F899" s="26" t="n">
        <v>0</v>
      </c>
      <c r="G899" s="26" t="n">
        <v>0</v>
      </c>
      <c r="H899" s="1" t="s">
        <v>509</v>
      </c>
    </row>
    <row r="900" customFormat="false" ht="15" hidden="false" customHeight="true" outlineLevel="0" collapsed="false">
      <c r="A900" s="1" t="s">
        <v>626</v>
      </c>
      <c r="B900" s="1" t="s">
        <v>499</v>
      </c>
      <c r="C900" s="1" t="s">
        <v>632</v>
      </c>
      <c r="D900" s="1" t="s">
        <v>283</v>
      </c>
      <c r="E900" s="62" t="n">
        <v>1</v>
      </c>
      <c r="F900" s="26" t="n">
        <v>2033.5</v>
      </c>
      <c r="G900" s="26" t="n">
        <v>2033.5</v>
      </c>
      <c r="H900" s="1" t="s">
        <v>532</v>
      </c>
    </row>
    <row r="901" customFormat="false" ht="15" hidden="false" customHeight="true" outlineLevel="0" collapsed="false">
      <c r="A901" s="1" t="s">
        <v>626</v>
      </c>
      <c r="B901" s="1" t="s">
        <v>499</v>
      </c>
      <c r="C901" s="1" t="s">
        <v>537</v>
      </c>
      <c r="D901" s="1" t="s">
        <v>283</v>
      </c>
      <c r="E901" s="62" t="n">
        <v>0</v>
      </c>
      <c r="F901" s="26" t="n">
        <v>0</v>
      </c>
      <c r="G901" s="26" t="n">
        <v>0</v>
      </c>
      <c r="H901" s="1" t="s">
        <v>524</v>
      </c>
    </row>
    <row r="902" customFormat="false" ht="15" hidden="false" customHeight="true" outlineLevel="0" collapsed="false">
      <c r="A902" s="1" t="s">
        <v>626</v>
      </c>
      <c r="B902" s="1" t="s">
        <v>538</v>
      </c>
      <c r="C902" s="1" t="s">
        <v>539</v>
      </c>
      <c r="D902" s="1" t="s">
        <v>290</v>
      </c>
      <c r="E902" s="62" t="n">
        <v>1</v>
      </c>
      <c r="F902" s="26" t="n">
        <v>238.88</v>
      </c>
      <c r="G902" s="26" t="n">
        <v>238.88</v>
      </c>
      <c r="H902" s="1" t="s">
        <v>633</v>
      </c>
    </row>
    <row r="903" customFormat="false" ht="15" hidden="false" customHeight="true" outlineLevel="0" collapsed="false">
      <c r="A903" s="1" t="s">
        <v>626</v>
      </c>
      <c r="B903" s="1" t="s">
        <v>538</v>
      </c>
      <c r="C903" s="1" t="s">
        <v>541</v>
      </c>
      <c r="D903" s="1" t="s">
        <v>290</v>
      </c>
      <c r="E903" s="62" t="n">
        <v>1</v>
      </c>
      <c r="F903" s="26" t="n">
        <v>624.79</v>
      </c>
      <c r="G903" s="26" t="n">
        <v>624.79</v>
      </c>
      <c r="H903" s="1" t="s">
        <v>633</v>
      </c>
    </row>
    <row r="904" customFormat="false" ht="15" hidden="false" customHeight="true" outlineLevel="0" collapsed="false">
      <c r="A904" s="1" t="s">
        <v>626</v>
      </c>
      <c r="B904" s="1" t="s">
        <v>538</v>
      </c>
      <c r="C904" s="1" t="s">
        <v>542</v>
      </c>
      <c r="D904" s="1" t="s">
        <v>290</v>
      </c>
      <c r="E904" s="62" t="n">
        <v>1</v>
      </c>
      <c r="F904" s="26" t="n">
        <v>510</v>
      </c>
      <c r="G904" s="26" t="n">
        <v>510</v>
      </c>
      <c r="H904" s="1" t="s">
        <v>633</v>
      </c>
    </row>
    <row r="905" customFormat="false" ht="15" hidden="false" customHeight="true" outlineLevel="0" collapsed="false">
      <c r="A905" s="1" t="s">
        <v>626</v>
      </c>
      <c r="B905" s="1" t="s">
        <v>538</v>
      </c>
      <c r="C905" s="1" t="s">
        <v>543</v>
      </c>
      <c r="D905" s="1" t="s">
        <v>290</v>
      </c>
      <c r="E905" s="62" t="n">
        <v>1</v>
      </c>
      <c r="F905" s="26" t="n">
        <v>333.1</v>
      </c>
      <c r="G905" s="26" t="n">
        <v>333.1</v>
      </c>
      <c r="H905" s="1" t="s">
        <v>633</v>
      </c>
    </row>
    <row r="906" customFormat="false" ht="15" hidden="false" customHeight="true" outlineLevel="0" collapsed="false">
      <c r="A906" s="1" t="s">
        <v>626</v>
      </c>
      <c r="B906" s="1" t="s">
        <v>538</v>
      </c>
      <c r="C906" s="1" t="s">
        <v>546</v>
      </c>
      <c r="D906" s="1" t="s">
        <v>290</v>
      </c>
      <c r="E906" s="62" t="n">
        <v>1</v>
      </c>
      <c r="F906" s="26" t="n">
        <v>2973.2</v>
      </c>
      <c r="G906" s="26" t="n">
        <v>2973.2</v>
      </c>
      <c r="H906" s="1" t="s">
        <v>633</v>
      </c>
    </row>
    <row r="907" customFormat="false" ht="15" hidden="false" customHeight="true" outlineLevel="0" collapsed="false">
      <c r="A907" s="1" t="s">
        <v>626</v>
      </c>
      <c r="B907" s="1" t="s">
        <v>538</v>
      </c>
      <c r="C907" s="1" t="s">
        <v>620</v>
      </c>
      <c r="D907" s="1" t="s">
        <v>290</v>
      </c>
      <c r="E907" s="62" t="n">
        <v>1</v>
      </c>
      <c r="F907" s="26" t="n">
        <v>1833.24</v>
      </c>
      <c r="G907" s="26" t="n">
        <v>1833.24</v>
      </c>
      <c r="H907" s="1" t="s">
        <v>633</v>
      </c>
    </row>
    <row r="908" customFormat="false" ht="15" hidden="false" customHeight="true" outlineLevel="0" collapsed="false">
      <c r="A908" s="1" t="s">
        <v>626</v>
      </c>
      <c r="B908" s="1" t="s">
        <v>538</v>
      </c>
      <c r="C908" s="1" t="s">
        <v>547</v>
      </c>
      <c r="D908" s="1" t="s">
        <v>290</v>
      </c>
      <c r="E908" s="62" t="n">
        <v>1</v>
      </c>
      <c r="F908" s="26" t="n">
        <v>7615.46</v>
      </c>
      <c r="G908" s="26" t="n">
        <v>7615.46</v>
      </c>
      <c r="H908" s="1" t="s">
        <v>633</v>
      </c>
    </row>
    <row r="909" customFormat="false" ht="15" hidden="false" customHeight="true" outlineLevel="0" collapsed="false">
      <c r="A909" s="1" t="s">
        <v>626</v>
      </c>
      <c r="B909" s="1" t="s">
        <v>538</v>
      </c>
      <c r="C909" s="1" t="s">
        <v>621</v>
      </c>
      <c r="D909" s="1" t="s">
        <v>291</v>
      </c>
      <c r="E909" s="62" t="n">
        <v>-1</v>
      </c>
      <c r="F909" s="26" t="n">
        <v>1046.56</v>
      </c>
      <c r="G909" s="26" t="n">
        <v>-1046.56</v>
      </c>
      <c r="H909" s="1" t="s">
        <v>622</v>
      </c>
    </row>
    <row r="910" customFormat="false" ht="15" hidden="false" customHeight="true" outlineLevel="0" collapsed="false">
      <c r="A910" s="1" t="s">
        <v>626</v>
      </c>
      <c r="B910" s="1" t="s">
        <v>538</v>
      </c>
      <c r="C910" s="1" t="s">
        <v>539</v>
      </c>
      <c r="D910" s="1" t="s">
        <v>291</v>
      </c>
      <c r="E910" s="62" t="n">
        <v>0</v>
      </c>
      <c r="F910" s="26" t="n">
        <v>0</v>
      </c>
      <c r="G910" s="26" t="n">
        <v>0</v>
      </c>
      <c r="H910" s="1" t="s">
        <v>550</v>
      </c>
    </row>
    <row r="911" customFormat="false" ht="15" hidden="false" customHeight="true" outlineLevel="0" collapsed="false">
      <c r="A911" s="1" t="s">
        <v>626</v>
      </c>
      <c r="B911" s="1" t="s">
        <v>538</v>
      </c>
      <c r="C911" s="1" t="s">
        <v>539</v>
      </c>
      <c r="D911" s="1" t="s">
        <v>291</v>
      </c>
      <c r="E911" s="62" t="n">
        <v>-1</v>
      </c>
      <c r="F911" s="26" t="n">
        <v>238.88</v>
      </c>
      <c r="G911" s="26" t="n">
        <v>-238.88</v>
      </c>
      <c r="H911" s="1" t="s">
        <v>593</v>
      </c>
    </row>
    <row r="912" customFormat="false" ht="15" hidden="false" customHeight="true" outlineLevel="0" collapsed="false">
      <c r="A912" s="1" t="s">
        <v>626</v>
      </c>
      <c r="B912" s="1" t="s">
        <v>538</v>
      </c>
      <c r="C912" s="1" t="s">
        <v>542</v>
      </c>
      <c r="D912" s="1" t="s">
        <v>283</v>
      </c>
      <c r="E912" s="62" t="n">
        <v>1</v>
      </c>
      <c r="F912" s="26" t="n">
        <v>67.33</v>
      </c>
      <c r="G912" s="26" t="n">
        <v>67.33</v>
      </c>
      <c r="H912" s="1" t="s">
        <v>552</v>
      </c>
    </row>
    <row r="913" customFormat="false" ht="15" hidden="false" customHeight="true" outlineLevel="0" collapsed="false">
      <c r="A913" s="1" t="s">
        <v>626</v>
      </c>
      <c r="B913" s="1" t="s">
        <v>538</v>
      </c>
      <c r="C913" s="1" t="s">
        <v>542</v>
      </c>
      <c r="D913" s="1" t="s">
        <v>283</v>
      </c>
      <c r="E913" s="62" t="n">
        <v>-1</v>
      </c>
      <c r="F913" s="26" t="n">
        <v>510</v>
      </c>
      <c r="G913" s="26" t="n">
        <v>-510</v>
      </c>
      <c r="H913" s="1" t="s">
        <v>593</v>
      </c>
    </row>
    <row r="914" customFormat="false" ht="15" hidden="false" customHeight="true" outlineLevel="0" collapsed="false">
      <c r="A914" s="1" t="s">
        <v>626</v>
      </c>
      <c r="B914" s="1" t="s">
        <v>47</v>
      </c>
      <c r="C914" s="1" t="s">
        <v>553</v>
      </c>
      <c r="D914" s="1" t="s">
        <v>288</v>
      </c>
      <c r="E914" s="62" t="n">
        <v>1</v>
      </c>
      <c r="F914" s="26" t="n">
        <v>1027.18</v>
      </c>
      <c r="G914" s="26" t="n">
        <v>1027.18</v>
      </c>
      <c r="H914" s="1" t="s">
        <v>634</v>
      </c>
    </row>
    <row r="915" customFormat="false" ht="15" hidden="false" customHeight="true" outlineLevel="0" collapsed="false">
      <c r="A915" s="1" t="s">
        <v>626</v>
      </c>
      <c r="B915" s="1" t="s">
        <v>47</v>
      </c>
      <c r="C915" s="1" t="s">
        <v>553</v>
      </c>
      <c r="D915" s="1" t="s">
        <v>290</v>
      </c>
      <c r="E915" s="62" t="n">
        <v>0</v>
      </c>
      <c r="F915" s="26" t="n">
        <v>0</v>
      </c>
      <c r="G915" s="26" t="n">
        <v>0</v>
      </c>
      <c r="H915" s="1" t="s">
        <v>555</v>
      </c>
    </row>
    <row r="916" customFormat="false" ht="15" hidden="false" customHeight="true" outlineLevel="0" collapsed="false">
      <c r="A916" s="1" t="s">
        <v>626</v>
      </c>
      <c r="B916" s="1" t="s">
        <v>47</v>
      </c>
      <c r="C916" s="1" t="s">
        <v>553</v>
      </c>
      <c r="D916" s="1" t="s">
        <v>294</v>
      </c>
      <c r="E916" s="62" t="n">
        <v>0</v>
      </c>
      <c r="F916" s="26" t="n">
        <v>0</v>
      </c>
      <c r="G916" s="26" t="n">
        <v>0</v>
      </c>
      <c r="H916" s="1" t="s">
        <v>556</v>
      </c>
    </row>
    <row r="917" customFormat="false" ht="15" hidden="false" customHeight="true" outlineLevel="0" collapsed="false">
      <c r="A917" s="1" t="s">
        <v>626</v>
      </c>
      <c r="B917" s="1" t="s">
        <v>47</v>
      </c>
      <c r="C917" s="1" t="s">
        <v>553</v>
      </c>
      <c r="D917" s="1" t="s">
        <v>291</v>
      </c>
      <c r="E917" s="62" t="n">
        <v>1</v>
      </c>
      <c r="F917" s="26" t="n">
        <v>9586.03</v>
      </c>
      <c r="G917" s="26" t="n">
        <v>9586.03</v>
      </c>
      <c r="H917" s="1" t="s">
        <v>635</v>
      </c>
    </row>
    <row r="918" customFormat="false" ht="15" hidden="false" customHeight="true" outlineLevel="0" collapsed="false">
      <c r="A918" s="1" t="s">
        <v>626</v>
      </c>
      <c r="B918" s="1" t="s">
        <v>47</v>
      </c>
      <c r="C918" s="1" t="s">
        <v>553</v>
      </c>
      <c r="D918" s="1" t="s">
        <v>285</v>
      </c>
      <c r="E918" s="62" t="n">
        <v>0</v>
      </c>
      <c r="F918" s="26" t="n">
        <v>0</v>
      </c>
      <c r="G918" s="26" t="n">
        <v>0</v>
      </c>
      <c r="H918" s="1" t="s">
        <v>558</v>
      </c>
    </row>
    <row r="919" customFormat="false" ht="15" hidden="false" customHeight="true" outlineLevel="0" collapsed="false">
      <c r="A919" s="1" t="s">
        <v>626</v>
      </c>
      <c r="B919" s="1" t="s">
        <v>47</v>
      </c>
      <c r="C919" s="1" t="s">
        <v>553</v>
      </c>
      <c r="D919" s="1" t="s">
        <v>286</v>
      </c>
      <c r="E919" s="62" t="n">
        <v>0</v>
      </c>
      <c r="F919" s="26" t="n">
        <v>0</v>
      </c>
      <c r="G919" s="26" t="n">
        <v>0</v>
      </c>
      <c r="H919" s="1" t="s">
        <v>556</v>
      </c>
    </row>
    <row r="920" customFormat="false" ht="15" hidden="false" customHeight="true" outlineLevel="0" collapsed="false">
      <c r="A920" s="1" t="s">
        <v>626</v>
      </c>
      <c r="B920" s="1" t="s">
        <v>47</v>
      </c>
      <c r="C920" s="1" t="s">
        <v>553</v>
      </c>
      <c r="D920" s="1" t="s">
        <v>283</v>
      </c>
      <c r="E920" s="62" t="n">
        <v>1</v>
      </c>
      <c r="F920" s="26" t="n">
        <v>371.45</v>
      </c>
      <c r="G920" s="26" t="n">
        <v>371.45</v>
      </c>
      <c r="H920" s="1" t="s">
        <v>636</v>
      </c>
    </row>
    <row r="921" customFormat="false" ht="15" hidden="false" customHeight="true" outlineLevel="0" collapsed="false">
      <c r="A921" s="1" t="s">
        <v>626</v>
      </c>
      <c r="B921" s="1" t="s">
        <v>85</v>
      </c>
      <c r="C921" s="1" t="s">
        <v>560</v>
      </c>
      <c r="D921" s="1" t="s">
        <v>276</v>
      </c>
      <c r="E921" s="62" t="n">
        <v>149</v>
      </c>
      <c r="F921" s="26" t="n">
        <v>125.29</v>
      </c>
      <c r="G921" s="26" t="n">
        <v>18668.21</v>
      </c>
      <c r="H921" s="1" t="s">
        <v>637</v>
      </c>
    </row>
    <row r="922" customFormat="false" ht="15" hidden="false" customHeight="true" outlineLevel="0" collapsed="false">
      <c r="A922" s="1" t="s">
        <v>626</v>
      </c>
      <c r="B922" s="1" t="s">
        <v>85</v>
      </c>
      <c r="C922" s="1" t="s">
        <v>560</v>
      </c>
      <c r="D922" s="1" t="s">
        <v>288</v>
      </c>
      <c r="E922" s="62" t="n">
        <v>2</v>
      </c>
      <c r="F922" s="26" t="n">
        <v>161.82</v>
      </c>
      <c r="G922" s="26" t="n">
        <v>323.64</v>
      </c>
      <c r="H922" s="1" t="s">
        <v>637</v>
      </c>
    </row>
    <row r="923" customFormat="false" ht="15" hidden="false" customHeight="true" outlineLevel="0" collapsed="false">
      <c r="A923" s="1" t="s">
        <v>626</v>
      </c>
      <c r="B923" s="1" t="s">
        <v>85</v>
      </c>
      <c r="C923" s="1" t="s">
        <v>560</v>
      </c>
      <c r="D923" s="1" t="s">
        <v>290</v>
      </c>
      <c r="E923" s="62" t="n">
        <v>22</v>
      </c>
      <c r="F923" s="26" t="n">
        <v>156.91</v>
      </c>
      <c r="G923" s="26" t="n">
        <v>3452.02</v>
      </c>
      <c r="H923" s="1" t="s">
        <v>562</v>
      </c>
    </row>
    <row r="924" customFormat="false" ht="15" hidden="false" customHeight="true" outlineLevel="0" collapsed="false">
      <c r="A924" s="1" t="s">
        <v>626</v>
      </c>
      <c r="B924" s="1" t="s">
        <v>85</v>
      </c>
      <c r="C924" s="1" t="s">
        <v>560</v>
      </c>
      <c r="D924" s="1" t="s">
        <v>294</v>
      </c>
      <c r="E924" s="62" t="n">
        <v>11</v>
      </c>
      <c r="F924" s="26" t="n">
        <v>164.27</v>
      </c>
      <c r="G924" s="26" t="n">
        <v>1806.97</v>
      </c>
      <c r="H924" s="1" t="s">
        <v>562</v>
      </c>
    </row>
    <row r="925" customFormat="false" ht="15" hidden="false" customHeight="true" outlineLevel="0" collapsed="false">
      <c r="A925" s="1" t="s">
        <v>626</v>
      </c>
      <c r="B925" s="1" t="s">
        <v>85</v>
      </c>
      <c r="C925" s="1" t="s">
        <v>560</v>
      </c>
      <c r="D925" s="1" t="s">
        <v>291</v>
      </c>
      <c r="E925" s="62" t="n">
        <v>24</v>
      </c>
      <c r="F925" s="26" t="n">
        <v>152.82</v>
      </c>
      <c r="G925" s="26" t="n">
        <v>3667.68</v>
      </c>
      <c r="H925" s="1" t="s">
        <v>562</v>
      </c>
    </row>
    <row r="926" customFormat="false" ht="15" hidden="false" customHeight="true" outlineLevel="0" collapsed="false">
      <c r="A926" s="1" t="s">
        <v>626</v>
      </c>
      <c r="B926" s="1" t="s">
        <v>85</v>
      </c>
      <c r="C926" s="1" t="s">
        <v>560</v>
      </c>
      <c r="D926" s="1" t="s">
        <v>285</v>
      </c>
      <c r="E926" s="62" t="n">
        <v>10</v>
      </c>
      <c r="F926" s="26" t="n">
        <v>151.02</v>
      </c>
      <c r="G926" s="26" t="n">
        <v>1510.2</v>
      </c>
      <c r="H926" s="1" t="s">
        <v>562</v>
      </c>
    </row>
    <row r="927" customFormat="false" ht="15" hidden="false" customHeight="true" outlineLevel="0" collapsed="false">
      <c r="A927" s="1" t="s">
        <v>626</v>
      </c>
      <c r="B927" s="1" t="s">
        <v>85</v>
      </c>
      <c r="C927" s="1" t="s">
        <v>560</v>
      </c>
      <c r="D927" s="1" t="s">
        <v>286</v>
      </c>
      <c r="E927" s="62" t="n">
        <v>0</v>
      </c>
      <c r="F927" s="26" t="n">
        <v>0</v>
      </c>
      <c r="G927" s="26" t="n">
        <v>0</v>
      </c>
      <c r="H927" s="1" t="s">
        <v>562</v>
      </c>
    </row>
    <row r="928" customFormat="false" ht="15" hidden="false" customHeight="true" outlineLevel="0" collapsed="false">
      <c r="A928" s="1" t="s">
        <v>626</v>
      </c>
      <c r="B928" s="1" t="s">
        <v>85</v>
      </c>
      <c r="C928" s="1" t="s">
        <v>560</v>
      </c>
      <c r="D928" s="1" t="s">
        <v>283</v>
      </c>
      <c r="E928" s="62" t="n">
        <v>12</v>
      </c>
      <c r="F928" s="26" t="n">
        <v>157.32</v>
      </c>
      <c r="G928" s="26" t="n">
        <v>1887.84</v>
      </c>
      <c r="H928" s="1" t="s">
        <v>562</v>
      </c>
    </row>
    <row r="929" customFormat="false" ht="15" hidden="false" customHeight="true" outlineLevel="0" collapsed="false">
      <c r="A929" s="1" t="s">
        <v>626</v>
      </c>
      <c r="B929" s="1" t="s">
        <v>32</v>
      </c>
      <c r="C929" s="1" t="s">
        <v>563</v>
      </c>
      <c r="D929" s="1" t="s">
        <v>288</v>
      </c>
      <c r="E929" s="62" t="n">
        <v>1</v>
      </c>
      <c r="F929" s="26" t="n">
        <v>91.2</v>
      </c>
      <c r="G929" s="26" t="n">
        <v>91.2</v>
      </c>
      <c r="H929" s="1" t="s">
        <v>564</v>
      </c>
    </row>
    <row r="930" customFormat="false" ht="15" hidden="false" customHeight="true" outlineLevel="0" collapsed="false">
      <c r="A930" s="1" t="s">
        <v>626</v>
      </c>
      <c r="B930" s="1" t="s">
        <v>32</v>
      </c>
      <c r="C930" s="1" t="s">
        <v>565</v>
      </c>
      <c r="D930" s="1" t="s">
        <v>288</v>
      </c>
      <c r="E930" s="62" t="n">
        <v>0</v>
      </c>
      <c r="F930" s="26" t="n">
        <v>0</v>
      </c>
      <c r="G930" s="26" t="n">
        <v>0</v>
      </c>
      <c r="H930" s="1" t="s">
        <v>566</v>
      </c>
    </row>
    <row r="931" customFormat="false" ht="15" hidden="false" customHeight="true" outlineLevel="0" collapsed="false">
      <c r="A931" s="1" t="s">
        <v>626</v>
      </c>
      <c r="B931" s="1" t="s">
        <v>32</v>
      </c>
      <c r="C931" s="1" t="s">
        <v>563</v>
      </c>
      <c r="D931" s="1" t="s">
        <v>294</v>
      </c>
      <c r="E931" s="62" t="n">
        <v>0</v>
      </c>
      <c r="F931" s="26" t="n">
        <v>0</v>
      </c>
      <c r="G931" s="26" t="n">
        <v>0</v>
      </c>
      <c r="H931" s="1" t="s">
        <v>564</v>
      </c>
    </row>
    <row r="932" customFormat="false" ht="15" hidden="false" customHeight="true" outlineLevel="0" collapsed="false">
      <c r="A932" s="1" t="s">
        <v>626</v>
      </c>
      <c r="B932" s="1" t="s">
        <v>32</v>
      </c>
      <c r="C932" s="1" t="s">
        <v>565</v>
      </c>
      <c r="D932" s="1" t="s">
        <v>294</v>
      </c>
      <c r="E932" s="62" t="n">
        <v>0</v>
      </c>
      <c r="F932" s="26" t="n">
        <v>0</v>
      </c>
      <c r="G932" s="26" t="n">
        <v>0</v>
      </c>
      <c r="H932" s="1" t="s">
        <v>567</v>
      </c>
    </row>
    <row r="933" customFormat="false" ht="15" hidden="false" customHeight="true" outlineLevel="0" collapsed="false">
      <c r="A933" s="1" t="s">
        <v>626</v>
      </c>
      <c r="B933" s="1" t="s">
        <v>32</v>
      </c>
      <c r="C933" s="1" t="s">
        <v>563</v>
      </c>
      <c r="D933" s="1" t="s">
        <v>291</v>
      </c>
      <c r="E933" s="62" t="n">
        <v>1</v>
      </c>
      <c r="F933" s="26" t="n">
        <v>696</v>
      </c>
      <c r="G933" s="26" t="n">
        <v>696</v>
      </c>
      <c r="H933" s="1" t="s">
        <v>564</v>
      </c>
    </row>
    <row r="934" customFormat="false" ht="15" hidden="false" customHeight="true" outlineLevel="0" collapsed="false">
      <c r="A934" s="1" t="s">
        <v>626</v>
      </c>
      <c r="B934" s="1" t="s">
        <v>32</v>
      </c>
      <c r="C934" s="1" t="s">
        <v>563</v>
      </c>
      <c r="D934" s="1" t="s">
        <v>291</v>
      </c>
      <c r="E934" s="62" t="n">
        <v>0</v>
      </c>
      <c r="F934" s="26" t="n">
        <v>0</v>
      </c>
      <c r="G934" s="26" t="n">
        <v>0</v>
      </c>
      <c r="H934" s="1" t="s">
        <v>564</v>
      </c>
    </row>
    <row r="935" customFormat="false" ht="15" hidden="false" customHeight="true" outlineLevel="0" collapsed="false">
      <c r="A935" s="1" t="s">
        <v>626</v>
      </c>
      <c r="B935" s="1" t="s">
        <v>32</v>
      </c>
      <c r="C935" s="1" t="s">
        <v>563</v>
      </c>
      <c r="D935" s="1" t="s">
        <v>285</v>
      </c>
      <c r="E935" s="62" t="n">
        <v>1</v>
      </c>
      <c r="F935" s="26" t="n">
        <v>980.4</v>
      </c>
      <c r="G935" s="26" t="n">
        <v>980.4</v>
      </c>
      <c r="H935" s="1" t="s">
        <v>564</v>
      </c>
    </row>
    <row r="936" customFormat="false" ht="15" hidden="false" customHeight="true" outlineLevel="0" collapsed="false">
      <c r="A936" s="1" t="s">
        <v>626</v>
      </c>
      <c r="B936" s="1" t="s">
        <v>32</v>
      </c>
      <c r="C936" s="1" t="s">
        <v>565</v>
      </c>
      <c r="D936" s="1" t="s">
        <v>285</v>
      </c>
      <c r="E936" s="62" t="n">
        <v>0</v>
      </c>
      <c r="F936" s="26" t="n">
        <v>0</v>
      </c>
      <c r="G936" s="26" t="n">
        <v>0</v>
      </c>
      <c r="H936" s="1" t="s">
        <v>566</v>
      </c>
    </row>
    <row r="937" customFormat="false" ht="15" hidden="false" customHeight="true" outlineLevel="0" collapsed="false">
      <c r="A937" s="1" t="s">
        <v>626</v>
      </c>
      <c r="B937" s="1" t="s">
        <v>32</v>
      </c>
      <c r="C937" s="1" t="s">
        <v>563</v>
      </c>
      <c r="D937" s="1" t="s">
        <v>286</v>
      </c>
      <c r="E937" s="62" t="n">
        <v>0</v>
      </c>
      <c r="F937" s="26" t="n">
        <v>0</v>
      </c>
      <c r="G937" s="26" t="n">
        <v>0</v>
      </c>
      <c r="H937" s="1" t="s">
        <v>564</v>
      </c>
    </row>
    <row r="938" customFormat="false" ht="15" hidden="false" customHeight="true" outlineLevel="0" collapsed="false">
      <c r="A938" s="1" t="s">
        <v>626</v>
      </c>
      <c r="B938" s="1" t="s">
        <v>32</v>
      </c>
      <c r="C938" s="1" t="s">
        <v>563</v>
      </c>
      <c r="D938" s="1" t="s">
        <v>283</v>
      </c>
      <c r="E938" s="62" t="n">
        <v>1</v>
      </c>
      <c r="F938" s="26" t="n">
        <v>314.6</v>
      </c>
      <c r="G938" s="26" t="n">
        <v>314.6</v>
      </c>
      <c r="H938" s="1" t="s">
        <v>564</v>
      </c>
    </row>
    <row r="939" customFormat="false" ht="15" hidden="false" customHeight="true" outlineLevel="0" collapsed="false">
      <c r="A939" s="1" t="s">
        <v>626</v>
      </c>
      <c r="B939" s="1" t="s">
        <v>32</v>
      </c>
      <c r="C939" s="1" t="s">
        <v>565</v>
      </c>
      <c r="D939" s="1" t="s">
        <v>283</v>
      </c>
      <c r="E939" s="62" t="n">
        <v>0</v>
      </c>
      <c r="F939" s="26" t="n">
        <v>0</v>
      </c>
      <c r="G939" s="26" t="n">
        <v>0</v>
      </c>
      <c r="H939" s="1" t="s">
        <v>568</v>
      </c>
    </row>
    <row r="940" customFormat="false" ht="15" hidden="false" customHeight="true" outlineLevel="0" collapsed="false">
      <c r="A940" s="1" t="s">
        <v>626</v>
      </c>
      <c r="B940" s="1" t="s">
        <v>569</v>
      </c>
      <c r="C940" s="1" t="s">
        <v>570</v>
      </c>
      <c r="D940" s="1" t="s">
        <v>290</v>
      </c>
      <c r="E940" s="62" t="n">
        <v>13530</v>
      </c>
      <c r="F940" s="26" t="n">
        <v>3.18253026831306</v>
      </c>
      <c r="G940" s="26" t="n">
        <v>43059.63453</v>
      </c>
      <c r="H940" s="1" t="s">
        <v>395</v>
      </c>
    </row>
    <row r="941" customFormat="false" ht="15" hidden="false" customHeight="true" outlineLevel="0" collapsed="false">
      <c r="A941" s="1" t="s">
        <v>626</v>
      </c>
      <c r="B941" s="1" t="s">
        <v>44</v>
      </c>
      <c r="C941" s="1" t="s">
        <v>571</v>
      </c>
      <c r="D941" s="1" t="s">
        <v>288</v>
      </c>
      <c r="E941" s="62" t="n">
        <v>-1</v>
      </c>
      <c r="F941" s="26" t="n">
        <v>847.7</v>
      </c>
      <c r="G941" s="26" t="n">
        <v>-847.7</v>
      </c>
      <c r="H941" s="1" t="s">
        <v>572</v>
      </c>
    </row>
    <row r="942" customFormat="false" ht="15" hidden="false" customHeight="true" outlineLevel="0" collapsed="false">
      <c r="A942" s="1" t="s">
        <v>626</v>
      </c>
      <c r="B942" s="1" t="s">
        <v>44</v>
      </c>
      <c r="C942" s="1" t="s">
        <v>571</v>
      </c>
      <c r="D942" s="1" t="s">
        <v>288</v>
      </c>
      <c r="E942" s="62" t="n">
        <v>1</v>
      </c>
      <c r="F942" s="26" t="n">
        <v>2959.45</v>
      </c>
      <c r="G942" s="26" t="n">
        <v>2959.45</v>
      </c>
      <c r="H942" s="1" t="s">
        <v>638</v>
      </c>
    </row>
    <row r="943" customFormat="false" ht="15" hidden="false" customHeight="true" outlineLevel="0" collapsed="false">
      <c r="A943" s="1" t="s">
        <v>626</v>
      </c>
      <c r="B943" s="1" t="s">
        <v>44</v>
      </c>
      <c r="C943" s="1" t="s">
        <v>571</v>
      </c>
      <c r="D943" s="1" t="s">
        <v>290</v>
      </c>
      <c r="E943" s="62" t="n">
        <v>1</v>
      </c>
      <c r="F943" s="26" t="n">
        <v>863</v>
      </c>
      <c r="G943" s="26" t="n">
        <v>863</v>
      </c>
      <c r="H943" s="1" t="s">
        <v>624</v>
      </c>
    </row>
    <row r="944" customFormat="false" ht="15" hidden="false" customHeight="true" outlineLevel="0" collapsed="false">
      <c r="A944" s="1" t="s">
        <v>626</v>
      </c>
      <c r="B944" s="1" t="s">
        <v>44</v>
      </c>
      <c r="C944" s="1" t="s">
        <v>574</v>
      </c>
      <c r="D944" s="1" t="s">
        <v>290</v>
      </c>
      <c r="E944" s="62" t="n">
        <v>0</v>
      </c>
      <c r="F944" s="26" t="n">
        <v>0</v>
      </c>
      <c r="G944" s="26" t="n">
        <v>0</v>
      </c>
      <c r="H944" s="1" t="s">
        <v>575</v>
      </c>
    </row>
    <row r="945" customFormat="false" ht="15" hidden="false" customHeight="true" outlineLevel="0" collapsed="false">
      <c r="A945" s="1" t="s">
        <v>626</v>
      </c>
      <c r="B945" s="1" t="s">
        <v>44</v>
      </c>
      <c r="C945" s="1" t="s">
        <v>576</v>
      </c>
      <c r="D945" s="1" t="s">
        <v>290</v>
      </c>
      <c r="E945" s="62" t="n">
        <v>0</v>
      </c>
      <c r="F945" s="26" t="n">
        <v>0</v>
      </c>
      <c r="G945" s="26" t="n">
        <v>0</v>
      </c>
      <c r="H945" s="1" t="s">
        <v>577</v>
      </c>
    </row>
    <row r="946" customFormat="false" ht="15" hidden="false" customHeight="true" outlineLevel="0" collapsed="false">
      <c r="A946" s="1" t="s">
        <v>626</v>
      </c>
      <c r="B946" s="1" t="s">
        <v>44</v>
      </c>
      <c r="C946" s="1" t="s">
        <v>578</v>
      </c>
      <c r="D946" s="1" t="s">
        <v>290</v>
      </c>
      <c r="E946" s="62" t="n">
        <v>1</v>
      </c>
      <c r="F946" s="26" t="n">
        <v>6471.5</v>
      </c>
      <c r="G946" s="26" t="n">
        <v>6471.5</v>
      </c>
      <c r="H946" s="1" t="s">
        <v>579</v>
      </c>
    </row>
    <row r="947" customFormat="false" ht="15" hidden="false" customHeight="true" outlineLevel="0" collapsed="false">
      <c r="A947" s="1" t="s">
        <v>626</v>
      </c>
      <c r="B947" s="1" t="s">
        <v>44</v>
      </c>
      <c r="C947" s="1" t="s">
        <v>571</v>
      </c>
      <c r="D947" s="1" t="s">
        <v>294</v>
      </c>
      <c r="E947" s="62" t="n">
        <v>1</v>
      </c>
      <c r="F947" s="26" t="n">
        <v>1119.06</v>
      </c>
      <c r="G947" s="26" t="n">
        <v>1119.06</v>
      </c>
      <c r="H947" s="1" t="s">
        <v>624</v>
      </c>
    </row>
    <row r="948" customFormat="false" ht="15" hidden="false" customHeight="true" outlineLevel="0" collapsed="false">
      <c r="A948" s="1" t="s">
        <v>626</v>
      </c>
      <c r="B948" s="1" t="s">
        <v>44</v>
      </c>
      <c r="C948" s="1" t="s">
        <v>571</v>
      </c>
      <c r="D948" s="1" t="s">
        <v>294</v>
      </c>
      <c r="E948" s="62" t="n">
        <v>-1</v>
      </c>
      <c r="F948" s="26" t="n">
        <v>155.9</v>
      </c>
      <c r="G948" s="26" t="n">
        <v>-155.9</v>
      </c>
      <c r="H948" s="1" t="s">
        <v>572</v>
      </c>
    </row>
    <row r="949" customFormat="false" ht="15" hidden="false" customHeight="true" outlineLevel="0" collapsed="false">
      <c r="A949" s="1" t="s">
        <v>626</v>
      </c>
      <c r="B949" s="1" t="s">
        <v>44</v>
      </c>
      <c r="C949" s="1" t="s">
        <v>580</v>
      </c>
      <c r="D949" s="1" t="s">
        <v>294</v>
      </c>
      <c r="E949" s="62" t="n">
        <v>0</v>
      </c>
      <c r="F949" s="26" t="n">
        <v>0</v>
      </c>
      <c r="G949" s="26" t="n">
        <v>0</v>
      </c>
      <c r="H949" s="1" t="s">
        <v>575</v>
      </c>
    </row>
    <row r="950" customFormat="false" ht="15" hidden="false" customHeight="true" outlineLevel="0" collapsed="false">
      <c r="A950" s="1" t="s">
        <v>626</v>
      </c>
      <c r="B950" s="1" t="s">
        <v>44</v>
      </c>
      <c r="C950" s="1" t="s">
        <v>581</v>
      </c>
      <c r="D950" s="1" t="s">
        <v>294</v>
      </c>
      <c r="E950" s="62" t="n">
        <v>0</v>
      </c>
      <c r="F950" s="26" t="n">
        <v>0</v>
      </c>
      <c r="G950" s="26" t="n">
        <v>0</v>
      </c>
      <c r="H950" s="1" t="s">
        <v>579</v>
      </c>
    </row>
    <row r="951" customFormat="false" ht="15" hidden="false" customHeight="true" outlineLevel="0" collapsed="false">
      <c r="A951" s="1" t="s">
        <v>626</v>
      </c>
      <c r="B951" s="1" t="s">
        <v>44</v>
      </c>
      <c r="C951" s="1" t="s">
        <v>571</v>
      </c>
      <c r="D951" s="1" t="s">
        <v>291</v>
      </c>
      <c r="E951" s="62" t="n">
        <v>1</v>
      </c>
      <c r="F951" s="26" t="n">
        <v>8439.17</v>
      </c>
      <c r="G951" s="26" t="n">
        <v>8439.17</v>
      </c>
      <c r="H951" s="1" t="s">
        <v>624</v>
      </c>
    </row>
    <row r="952" customFormat="false" ht="15" hidden="false" customHeight="true" outlineLevel="0" collapsed="false">
      <c r="A952" s="1" t="s">
        <v>626</v>
      </c>
      <c r="B952" s="1" t="s">
        <v>44</v>
      </c>
      <c r="C952" s="1" t="s">
        <v>582</v>
      </c>
      <c r="D952" s="1" t="s">
        <v>291</v>
      </c>
      <c r="E952" s="62" t="n">
        <v>0</v>
      </c>
      <c r="F952" s="26" t="n">
        <v>0</v>
      </c>
      <c r="G952" s="26" t="n">
        <v>0</v>
      </c>
      <c r="H952" s="1" t="s">
        <v>575</v>
      </c>
    </row>
    <row r="953" customFormat="false" ht="15" hidden="false" customHeight="true" outlineLevel="0" collapsed="false">
      <c r="A953" s="1" t="s">
        <v>626</v>
      </c>
      <c r="B953" s="1" t="s">
        <v>44</v>
      </c>
      <c r="C953" s="1" t="s">
        <v>583</v>
      </c>
      <c r="D953" s="1" t="s">
        <v>291</v>
      </c>
      <c r="E953" s="62" t="n">
        <v>0</v>
      </c>
      <c r="F953" s="26" t="n">
        <v>0</v>
      </c>
      <c r="G953" s="26" t="n">
        <v>0</v>
      </c>
      <c r="H953" s="1" t="s">
        <v>575</v>
      </c>
    </row>
    <row r="954" customFormat="false" ht="15" hidden="false" customHeight="true" outlineLevel="0" collapsed="false">
      <c r="A954" s="1" t="s">
        <v>626</v>
      </c>
      <c r="B954" s="1" t="s">
        <v>44</v>
      </c>
      <c r="C954" s="1" t="s">
        <v>639</v>
      </c>
      <c r="D954" s="1" t="s">
        <v>291</v>
      </c>
      <c r="E954" s="62" t="n">
        <v>-1</v>
      </c>
      <c r="F954" s="26" t="n">
        <v>358.78</v>
      </c>
      <c r="G954" s="26" t="n">
        <v>-358.78</v>
      </c>
      <c r="H954" s="1" t="s">
        <v>572</v>
      </c>
    </row>
    <row r="955" customFormat="false" ht="15" hidden="false" customHeight="true" outlineLevel="0" collapsed="false">
      <c r="A955" s="1" t="s">
        <v>626</v>
      </c>
      <c r="B955" s="1" t="s">
        <v>44</v>
      </c>
      <c r="C955" s="1" t="s">
        <v>585</v>
      </c>
      <c r="D955" s="1" t="s">
        <v>291</v>
      </c>
      <c r="E955" s="62" t="n">
        <v>0</v>
      </c>
      <c r="F955" s="26" t="n">
        <v>0</v>
      </c>
      <c r="G955" s="26" t="n">
        <v>0</v>
      </c>
      <c r="H955" s="1" t="s">
        <v>579</v>
      </c>
    </row>
    <row r="956" customFormat="false" ht="15" hidden="false" customHeight="true" outlineLevel="0" collapsed="false">
      <c r="A956" s="1" t="s">
        <v>626</v>
      </c>
      <c r="B956" s="1" t="s">
        <v>44</v>
      </c>
      <c r="C956" s="1" t="s">
        <v>625</v>
      </c>
      <c r="D956" s="1" t="s">
        <v>291</v>
      </c>
      <c r="E956" s="62" t="n">
        <v>0</v>
      </c>
      <c r="F956" s="26" t="n">
        <v>0</v>
      </c>
      <c r="G956" s="26" t="n">
        <v>0</v>
      </c>
      <c r="H956" s="1" t="s">
        <v>579</v>
      </c>
    </row>
    <row r="957" customFormat="false" ht="15" hidden="false" customHeight="true" outlineLevel="0" collapsed="false">
      <c r="A957" s="1" t="s">
        <v>626</v>
      </c>
      <c r="B957" s="1" t="s">
        <v>44</v>
      </c>
      <c r="C957" s="1" t="s">
        <v>571</v>
      </c>
      <c r="D957" s="1" t="s">
        <v>285</v>
      </c>
      <c r="E957" s="62" t="n">
        <v>1</v>
      </c>
      <c r="F957" s="26" t="n">
        <v>3957</v>
      </c>
      <c r="G957" s="26" t="n">
        <v>3957</v>
      </c>
      <c r="H957" s="1" t="s">
        <v>573</v>
      </c>
    </row>
    <row r="958" customFormat="false" ht="15" hidden="false" customHeight="true" outlineLevel="0" collapsed="false">
      <c r="A958" s="1" t="s">
        <v>626</v>
      </c>
      <c r="B958" s="1" t="s">
        <v>44</v>
      </c>
      <c r="C958" s="1" t="s">
        <v>571</v>
      </c>
      <c r="D958" s="1" t="s">
        <v>285</v>
      </c>
      <c r="E958" s="62" t="n">
        <v>0</v>
      </c>
      <c r="F958" s="26" t="n">
        <v>0</v>
      </c>
      <c r="G958" s="26" t="n">
        <v>0</v>
      </c>
      <c r="H958" s="1" t="s">
        <v>573</v>
      </c>
    </row>
    <row r="959" customFormat="false" ht="15" hidden="false" customHeight="true" outlineLevel="0" collapsed="false">
      <c r="A959" s="1" t="s">
        <v>626</v>
      </c>
      <c r="B959" s="1" t="s">
        <v>44</v>
      </c>
      <c r="C959" s="1" t="s">
        <v>583</v>
      </c>
      <c r="D959" s="1" t="s">
        <v>285</v>
      </c>
      <c r="E959" s="62" t="n">
        <v>0</v>
      </c>
      <c r="F959" s="26" t="n">
        <v>0</v>
      </c>
      <c r="G959" s="26" t="n">
        <v>0</v>
      </c>
      <c r="H959" s="1" t="s">
        <v>579</v>
      </c>
    </row>
    <row r="960" customFormat="false" ht="15" hidden="false" customHeight="true" outlineLevel="0" collapsed="false">
      <c r="A960" s="1" t="s">
        <v>626</v>
      </c>
      <c r="B960" s="1" t="s">
        <v>44</v>
      </c>
      <c r="C960" s="1" t="s">
        <v>584</v>
      </c>
      <c r="D960" s="1" t="s">
        <v>285</v>
      </c>
      <c r="E960" s="62" t="n">
        <v>0</v>
      </c>
      <c r="F960" s="26" t="n">
        <v>0</v>
      </c>
      <c r="G960" s="26" t="n">
        <v>0</v>
      </c>
      <c r="H960" s="1" t="s">
        <v>579</v>
      </c>
    </row>
    <row r="961" customFormat="false" ht="15" hidden="false" customHeight="true" outlineLevel="0" collapsed="false">
      <c r="A961" s="1" t="s">
        <v>626</v>
      </c>
      <c r="B961" s="1" t="s">
        <v>44</v>
      </c>
      <c r="C961" s="1" t="s">
        <v>571</v>
      </c>
      <c r="D961" s="1" t="s">
        <v>286</v>
      </c>
      <c r="E961" s="62" t="n">
        <v>1</v>
      </c>
      <c r="F961" s="26" t="n">
        <v>1010.04</v>
      </c>
      <c r="G961" s="26" t="n">
        <v>1010.04</v>
      </c>
      <c r="H961" s="1" t="s">
        <v>624</v>
      </c>
    </row>
    <row r="962" customFormat="false" ht="15" hidden="false" customHeight="true" outlineLevel="0" collapsed="false">
      <c r="A962" s="1" t="s">
        <v>626</v>
      </c>
      <c r="B962" s="1" t="s">
        <v>44</v>
      </c>
      <c r="C962" s="1" t="s">
        <v>571</v>
      </c>
      <c r="D962" s="1" t="s">
        <v>286</v>
      </c>
      <c r="E962" s="62" t="n">
        <v>0</v>
      </c>
      <c r="F962" s="26" t="n">
        <v>0</v>
      </c>
      <c r="G962" s="26" t="n">
        <v>0</v>
      </c>
      <c r="H962" s="1" t="s">
        <v>572</v>
      </c>
    </row>
    <row r="963" customFormat="false" ht="15" hidden="false" customHeight="true" outlineLevel="0" collapsed="false">
      <c r="A963" s="1" t="s">
        <v>626</v>
      </c>
      <c r="B963" s="1" t="s">
        <v>44</v>
      </c>
      <c r="C963" s="1" t="s">
        <v>571</v>
      </c>
      <c r="D963" s="1" t="s">
        <v>283</v>
      </c>
      <c r="E963" s="62" t="n">
        <v>1</v>
      </c>
      <c r="F963" s="26" t="n">
        <v>6035.94</v>
      </c>
      <c r="G963" s="26" t="n">
        <v>6035.94</v>
      </c>
      <c r="H963" s="1" t="s">
        <v>624</v>
      </c>
    </row>
    <row r="964" customFormat="false" ht="15" hidden="false" customHeight="true" outlineLevel="0" collapsed="false">
      <c r="A964" s="1" t="s">
        <v>626</v>
      </c>
      <c r="B964" s="1" t="s">
        <v>44</v>
      </c>
      <c r="C964" s="1" t="s">
        <v>571</v>
      </c>
      <c r="D964" s="1" t="s">
        <v>283</v>
      </c>
      <c r="E964" s="62" t="n">
        <v>-1</v>
      </c>
      <c r="F964" s="26" t="n">
        <v>1333.53</v>
      </c>
      <c r="G964" s="26" t="n">
        <v>-1333.53</v>
      </c>
      <c r="H964" s="1" t="s">
        <v>572</v>
      </c>
    </row>
    <row r="965" customFormat="false" ht="15" hidden="false" customHeight="true" outlineLevel="0" collapsed="false">
      <c r="A965" s="1" t="s">
        <v>626</v>
      </c>
      <c r="B965" s="1" t="s">
        <v>44</v>
      </c>
      <c r="C965" s="1" t="s">
        <v>586</v>
      </c>
      <c r="D965" s="1" t="s">
        <v>283</v>
      </c>
      <c r="E965" s="62" t="n">
        <v>0</v>
      </c>
      <c r="F965" s="26" t="n">
        <v>0</v>
      </c>
      <c r="G965" s="26" t="n">
        <v>0</v>
      </c>
      <c r="H965" s="1" t="s">
        <v>575</v>
      </c>
    </row>
    <row r="966" customFormat="false" ht="15" hidden="false" customHeight="true" outlineLevel="0" collapsed="false">
      <c r="A966" s="1" t="s">
        <v>626</v>
      </c>
      <c r="B966" s="1" t="s">
        <v>44</v>
      </c>
      <c r="C966" s="1" t="s">
        <v>581</v>
      </c>
      <c r="D966" s="1" t="s">
        <v>283</v>
      </c>
      <c r="E966" s="62" t="n">
        <v>0</v>
      </c>
      <c r="F966" s="26" t="n">
        <v>0</v>
      </c>
      <c r="G966" s="26" t="n">
        <v>0</v>
      </c>
      <c r="H966" s="1" t="s">
        <v>579</v>
      </c>
    </row>
    <row r="967" customFormat="false" ht="15" hidden="false" customHeight="true" outlineLevel="0" collapsed="false">
      <c r="A967" s="1" t="s">
        <v>626</v>
      </c>
      <c r="B967" s="1" t="s">
        <v>87</v>
      </c>
      <c r="C967" s="1" t="s">
        <v>587</v>
      </c>
      <c r="D967" s="1" t="s">
        <v>288</v>
      </c>
      <c r="E967" s="62" t="n">
        <v>2</v>
      </c>
      <c r="F967" s="26" t="n">
        <v>50</v>
      </c>
      <c r="G967" s="26" t="n">
        <v>100</v>
      </c>
      <c r="H967" s="1" t="s">
        <v>588</v>
      </c>
    </row>
    <row r="968" customFormat="false" ht="15" hidden="false" customHeight="true" outlineLevel="0" collapsed="false">
      <c r="A968" s="1" t="s">
        <v>626</v>
      </c>
      <c r="B968" s="1" t="s">
        <v>87</v>
      </c>
      <c r="C968" s="1" t="s">
        <v>587</v>
      </c>
      <c r="D968" s="1" t="s">
        <v>294</v>
      </c>
      <c r="E968" s="62" t="n">
        <v>1</v>
      </c>
      <c r="F968" s="26" t="n">
        <v>10</v>
      </c>
      <c r="G968" s="26" t="n">
        <v>10</v>
      </c>
      <c r="H968" s="1" t="s">
        <v>588</v>
      </c>
    </row>
    <row r="969" customFormat="false" ht="15" hidden="false" customHeight="true" outlineLevel="0" collapsed="false">
      <c r="A969" s="1" t="s">
        <v>626</v>
      </c>
      <c r="B969" s="1" t="s">
        <v>87</v>
      </c>
      <c r="C969" s="1" t="s">
        <v>587</v>
      </c>
      <c r="D969" s="1" t="s">
        <v>291</v>
      </c>
      <c r="E969" s="62" t="n">
        <v>1</v>
      </c>
      <c r="F969" s="26" t="n">
        <v>10</v>
      </c>
      <c r="G969" s="26" t="n">
        <v>10</v>
      </c>
      <c r="H969" s="1" t="s">
        <v>588</v>
      </c>
    </row>
    <row r="970" customFormat="false" ht="15" hidden="false" customHeight="true" outlineLevel="0" collapsed="false">
      <c r="A970" s="1" t="s">
        <v>626</v>
      </c>
      <c r="B970" s="1" t="s">
        <v>87</v>
      </c>
      <c r="C970" s="1" t="s">
        <v>587</v>
      </c>
      <c r="D970" s="1" t="s">
        <v>291</v>
      </c>
      <c r="E970" s="62" t="n">
        <v>5</v>
      </c>
      <c r="F970" s="26" t="n">
        <v>50</v>
      </c>
      <c r="G970" s="26" t="n">
        <v>250</v>
      </c>
      <c r="H970" s="1" t="s">
        <v>588</v>
      </c>
    </row>
    <row r="971" customFormat="false" ht="15" hidden="false" customHeight="true" outlineLevel="0" collapsed="false">
      <c r="A971" s="1" t="s">
        <v>626</v>
      </c>
      <c r="B971" s="1" t="s">
        <v>87</v>
      </c>
      <c r="C971" s="1" t="s">
        <v>587</v>
      </c>
      <c r="D971" s="1" t="s">
        <v>285</v>
      </c>
      <c r="E971" s="62" t="n">
        <v>1</v>
      </c>
      <c r="F971" s="26" t="n">
        <v>10</v>
      </c>
      <c r="G971" s="26" t="n">
        <v>10</v>
      </c>
      <c r="H971" s="1" t="s">
        <v>588</v>
      </c>
    </row>
    <row r="972" customFormat="false" ht="15" hidden="false" customHeight="true" outlineLevel="0" collapsed="false">
      <c r="A972" s="1" t="s">
        <v>626</v>
      </c>
      <c r="B972" s="1" t="s">
        <v>87</v>
      </c>
      <c r="C972" s="1" t="s">
        <v>587</v>
      </c>
      <c r="D972" s="1" t="s">
        <v>285</v>
      </c>
      <c r="E972" s="62" t="n">
        <v>2</v>
      </c>
      <c r="F972" s="26" t="n">
        <v>50</v>
      </c>
      <c r="G972" s="26" t="n">
        <v>100</v>
      </c>
      <c r="H972" s="1" t="s">
        <v>588</v>
      </c>
    </row>
    <row r="973" customFormat="false" ht="15" hidden="false" customHeight="true" outlineLevel="0" collapsed="false">
      <c r="A973" s="1" t="s">
        <v>626</v>
      </c>
      <c r="B973" s="1" t="s">
        <v>87</v>
      </c>
      <c r="C973" s="1" t="s">
        <v>587</v>
      </c>
      <c r="D973" s="1" t="s">
        <v>286</v>
      </c>
      <c r="E973" s="62" t="n">
        <v>1</v>
      </c>
      <c r="F973" s="26" t="n">
        <v>50</v>
      </c>
      <c r="G973" s="26" t="n">
        <v>50</v>
      </c>
      <c r="H973" s="1" t="s">
        <v>588</v>
      </c>
    </row>
    <row r="974" customFormat="false" ht="15" hidden="false" customHeight="true" outlineLevel="0" collapsed="false">
      <c r="A974" s="1" t="s">
        <v>626</v>
      </c>
      <c r="B974" s="1" t="s">
        <v>87</v>
      </c>
      <c r="C974" s="1" t="s">
        <v>587</v>
      </c>
      <c r="D974" s="1" t="s">
        <v>283</v>
      </c>
      <c r="E974" s="62" t="n">
        <v>1</v>
      </c>
      <c r="F974" s="26" t="n">
        <v>90</v>
      </c>
      <c r="G974" s="26" t="n">
        <v>90</v>
      </c>
      <c r="H974" s="1" t="s">
        <v>588</v>
      </c>
    </row>
    <row r="975" customFormat="false" ht="15" hidden="false" customHeight="true" outlineLevel="0" collapsed="false">
      <c r="A975" s="1" t="s">
        <v>626</v>
      </c>
      <c r="B975" s="1" t="s">
        <v>87</v>
      </c>
      <c r="C975" s="1" t="s">
        <v>587</v>
      </c>
      <c r="D975" s="1" t="s">
        <v>283</v>
      </c>
      <c r="E975" s="62" t="n">
        <v>2</v>
      </c>
      <c r="F975" s="26" t="n">
        <v>10</v>
      </c>
      <c r="G975" s="26" t="n">
        <v>20</v>
      </c>
      <c r="H975" s="1" t="s">
        <v>588</v>
      </c>
    </row>
    <row r="976" customFormat="false" ht="15" hidden="false" customHeight="true" outlineLevel="0" collapsed="false">
      <c r="A976" s="1" t="s">
        <v>626</v>
      </c>
      <c r="B976" s="1" t="s">
        <v>87</v>
      </c>
      <c r="C976" s="1" t="s">
        <v>587</v>
      </c>
      <c r="D976" s="1" t="s">
        <v>283</v>
      </c>
      <c r="E976" s="62" t="n">
        <v>3</v>
      </c>
      <c r="F976" s="26" t="n">
        <v>50</v>
      </c>
      <c r="G976" s="26" t="n">
        <v>150</v>
      </c>
      <c r="H976" s="1" t="s">
        <v>588</v>
      </c>
    </row>
    <row r="977" customFormat="false" ht="15" hidden="false" customHeight="true" outlineLevel="0" collapsed="false">
      <c r="A977" s="1" t="s">
        <v>626</v>
      </c>
      <c r="B977" s="1" t="s">
        <v>43</v>
      </c>
      <c r="C977" s="1" t="s">
        <v>43</v>
      </c>
      <c r="D977" s="1" t="s">
        <v>288</v>
      </c>
      <c r="E977" s="62" t="n">
        <v>6588</v>
      </c>
      <c r="F977" s="26" t="n">
        <v>0.138633956355371</v>
      </c>
      <c r="G977" s="26" t="n">
        <v>913.320504</v>
      </c>
      <c r="H977" s="1" t="s">
        <v>395</v>
      </c>
    </row>
    <row r="978" customFormat="false" ht="15" hidden="false" customHeight="true" outlineLevel="0" collapsed="false">
      <c r="A978" s="1" t="s">
        <v>626</v>
      </c>
      <c r="B978" s="1" t="s">
        <v>43</v>
      </c>
      <c r="C978" s="1" t="s">
        <v>43</v>
      </c>
      <c r="D978" s="1" t="s">
        <v>294</v>
      </c>
      <c r="E978" s="62" t="n">
        <v>3765</v>
      </c>
      <c r="F978" s="26" t="n">
        <v>0.138633956355371</v>
      </c>
      <c r="G978" s="26" t="n">
        <v>521.956846</v>
      </c>
      <c r="H978" s="1" t="s">
        <v>395</v>
      </c>
    </row>
    <row r="979" customFormat="false" ht="15" hidden="false" customHeight="true" outlineLevel="0" collapsed="false">
      <c r="A979" s="1" t="s">
        <v>626</v>
      </c>
      <c r="B979" s="1" t="s">
        <v>43</v>
      </c>
      <c r="C979" s="1" t="s">
        <v>43</v>
      </c>
      <c r="D979" s="1" t="s">
        <v>291</v>
      </c>
      <c r="E979" s="62" t="n">
        <v>6568</v>
      </c>
      <c r="F979" s="26" t="n">
        <v>0.138633956355371</v>
      </c>
      <c r="G979" s="26" t="n">
        <v>910.547825</v>
      </c>
      <c r="H979" s="1" t="s">
        <v>395</v>
      </c>
    </row>
    <row r="980" customFormat="false" ht="15" hidden="false" customHeight="true" outlineLevel="0" collapsed="false">
      <c r="A980" s="1" t="s">
        <v>626</v>
      </c>
      <c r="B980" s="1" t="s">
        <v>43</v>
      </c>
      <c r="C980" s="1" t="s">
        <v>43</v>
      </c>
      <c r="D980" s="1" t="s">
        <v>285</v>
      </c>
      <c r="E980" s="62" t="n">
        <v>14689</v>
      </c>
      <c r="F980" s="26" t="n">
        <v>0.138633956355371</v>
      </c>
      <c r="G980" s="26" t="n">
        <v>2036.394185</v>
      </c>
      <c r="H980" s="1" t="s">
        <v>395</v>
      </c>
    </row>
    <row r="981" customFormat="false" ht="15" hidden="false" customHeight="true" outlineLevel="0" collapsed="false">
      <c r="A981" s="1" t="s">
        <v>626</v>
      </c>
      <c r="B981" s="1" t="s">
        <v>43</v>
      </c>
      <c r="C981" s="1" t="s">
        <v>43</v>
      </c>
      <c r="D981" s="1" t="s">
        <v>286</v>
      </c>
      <c r="E981" s="62" t="n">
        <v>4805</v>
      </c>
      <c r="F981" s="26" t="n">
        <v>0.138633956355371</v>
      </c>
      <c r="G981" s="26" t="n">
        <v>666.13616</v>
      </c>
      <c r="H981" s="1" t="s">
        <v>395</v>
      </c>
    </row>
    <row r="982" customFormat="false" ht="15" hidden="false" customHeight="true" outlineLevel="0" collapsed="false">
      <c r="A982" s="1" t="s">
        <v>626</v>
      </c>
      <c r="B982" s="1" t="s">
        <v>43</v>
      </c>
      <c r="C982" s="1" t="s">
        <v>43</v>
      </c>
      <c r="D982" s="1" t="s">
        <v>283</v>
      </c>
      <c r="E982" s="62" t="n">
        <v>4806</v>
      </c>
      <c r="F982" s="26" t="n">
        <v>0.138633956355371</v>
      </c>
      <c r="G982" s="26" t="n">
        <v>666.274794</v>
      </c>
      <c r="H982" s="1" t="s">
        <v>395</v>
      </c>
    </row>
    <row r="983" customFormat="false" ht="15" hidden="false" customHeight="true" outlineLevel="0" collapsed="false">
      <c r="A983" s="1" t="s">
        <v>626</v>
      </c>
      <c r="B983" s="1" t="s">
        <v>396</v>
      </c>
      <c r="C983" s="1" t="s">
        <v>86</v>
      </c>
      <c r="D983" s="1" t="s">
        <v>288</v>
      </c>
      <c r="E983" s="62" t="n">
        <v>6588</v>
      </c>
      <c r="F983" s="26" t="n">
        <v>0.190684</v>
      </c>
      <c r="G983" s="26" t="n">
        <v>1256.226192</v>
      </c>
      <c r="H983" s="1" t="s">
        <v>395</v>
      </c>
    </row>
    <row r="984" customFormat="false" ht="15" hidden="false" customHeight="true" outlineLevel="0" collapsed="false">
      <c r="A984" s="1" t="s">
        <v>626</v>
      </c>
      <c r="B984" s="1" t="s">
        <v>396</v>
      </c>
      <c r="C984" s="1" t="s">
        <v>86</v>
      </c>
      <c r="D984" s="1" t="s">
        <v>294</v>
      </c>
      <c r="E984" s="62" t="n">
        <v>3765</v>
      </c>
      <c r="F984" s="26" t="n">
        <v>0.190684</v>
      </c>
      <c r="G984" s="26" t="n">
        <v>717.92526</v>
      </c>
      <c r="H984" s="1" t="s">
        <v>395</v>
      </c>
    </row>
    <row r="985" customFormat="false" ht="15" hidden="false" customHeight="true" outlineLevel="0" collapsed="false">
      <c r="A985" s="1" t="s">
        <v>626</v>
      </c>
      <c r="B985" s="1" t="s">
        <v>396</v>
      </c>
      <c r="C985" s="1" t="s">
        <v>86</v>
      </c>
      <c r="D985" s="1" t="s">
        <v>291</v>
      </c>
      <c r="E985" s="62" t="n">
        <v>6568</v>
      </c>
      <c r="F985" s="26" t="n">
        <v>0.190684</v>
      </c>
      <c r="G985" s="26" t="n">
        <v>1252.412512</v>
      </c>
      <c r="H985" s="1" t="s">
        <v>395</v>
      </c>
    </row>
    <row r="986" customFormat="false" ht="15" hidden="false" customHeight="true" outlineLevel="0" collapsed="false">
      <c r="A986" s="1" t="s">
        <v>626</v>
      </c>
      <c r="B986" s="1" t="s">
        <v>396</v>
      </c>
      <c r="C986" s="1" t="s">
        <v>86</v>
      </c>
      <c r="D986" s="1" t="s">
        <v>285</v>
      </c>
      <c r="E986" s="62" t="n">
        <v>14689</v>
      </c>
      <c r="F986" s="26" t="n">
        <v>0.190684</v>
      </c>
      <c r="G986" s="26" t="n">
        <v>2800.957276</v>
      </c>
      <c r="H986" s="1" t="s">
        <v>395</v>
      </c>
    </row>
    <row r="987" customFormat="false" ht="15" hidden="false" customHeight="true" outlineLevel="0" collapsed="false">
      <c r="A987" s="1" t="s">
        <v>626</v>
      </c>
      <c r="B987" s="1" t="s">
        <v>396</v>
      </c>
      <c r="C987" s="1" t="s">
        <v>86</v>
      </c>
      <c r="D987" s="1" t="s">
        <v>286</v>
      </c>
      <c r="E987" s="62" t="n">
        <v>4805</v>
      </c>
      <c r="F987" s="26" t="n">
        <v>0.190684</v>
      </c>
      <c r="G987" s="26" t="n">
        <v>916.23662</v>
      </c>
      <c r="H987" s="1" t="s">
        <v>395</v>
      </c>
    </row>
    <row r="988" customFormat="false" ht="15" hidden="false" customHeight="true" outlineLevel="0" collapsed="false">
      <c r="A988" s="1" t="s">
        <v>626</v>
      </c>
      <c r="B988" s="1" t="s">
        <v>396</v>
      </c>
      <c r="C988" s="1" t="s">
        <v>86</v>
      </c>
      <c r="D988" s="1" t="s">
        <v>283</v>
      </c>
      <c r="E988" s="62" t="n">
        <v>4806</v>
      </c>
      <c r="F988" s="26" t="n">
        <v>0.190684</v>
      </c>
      <c r="G988" s="26" t="n">
        <v>916.427304</v>
      </c>
      <c r="H988" s="1" t="s">
        <v>395</v>
      </c>
    </row>
    <row r="989" customFormat="false" ht="15" hidden="false" customHeight="true" outlineLevel="0" collapsed="false">
      <c r="A989" s="1" t="s">
        <v>626</v>
      </c>
      <c r="B989" s="1" t="s">
        <v>81</v>
      </c>
      <c r="C989" s="1" t="s">
        <v>81</v>
      </c>
      <c r="D989" s="1" t="s">
        <v>288</v>
      </c>
      <c r="E989" s="62" t="n">
        <v>6588</v>
      </c>
      <c r="F989" s="26" t="n">
        <v>0.071167700671494</v>
      </c>
      <c r="G989" s="26" t="n">
        <v>468.852812</v>
      </c>
      <c r="H989" s="1" t="s">
        <v>395</v>
      </c>
    </row>
    <row r="990" customFormat="false" ht="15" hidden="false" customHeight="true" outlineLevel="0" collapsed="false">
      <c r="A990" s="1" t="s">
        <v>626</v>
      </c>
      <c r="B990" s="1" t="s">
        <v>81</v>
      </c>
      <c r="C990" s="1" t="s">
        <v>81</v>
      </c>
      <c r="D990" s="1" t="s">
        <v>290</v>
      </c>
      <c r="E990" s="62" t="n">
        <v>13530</v>
      </c>
      <c r="F990" s="26" t="n">
        <v>0.071167700671494</v>
      </c>
      <c r="G990" s="26" t="n">
        <v>962.89899</v>
      </c>
      <c r="H990" s="1" t="s">
        <v>395</v>
      </c>
    </row>
    <row r="991" customFormat="false" ht="15" hidden="false" customHeight="true" outlineLevel="0" collapsed="false">
      <c r="A991" s="1" t="s">
        <v>626</v>
      </c>
      <c r="B991" s="1" t="s">
        <v>81</v>
      </c>
      <c r="C991" s="1" t="s">
        <v>81</v>
      </c>
      <c r="D991" s="1" t="s">
        <v>294</v>
      </c>
      <c r="E991" s="62" t="n">
        <v>3765</v>
      </c>
      <c r="F991" s="26" t="n">
        <v>0.071167700671494</v>
      </c>
      <c r="G991" s="26" t="n">
        <v>267.946393</v>
      </c>
      <c r="H991" s="1" t="s">
        <v>395</v>
      </c>
    </row>
    <row r="992" customFormat="false" ht="15" hidden="false" customHeight="true" outlineLevel="0" collapsed="false">
      <c r="A992" s="1" t="s">
        <v>626</v>
      </c>
      <c r="B992" s="1" t="s">
        <v>81</v>
      </c>
      <c r="C992" s="1" t="s">
        <v>81</v>
      </c>
      <c r="D992" s="1" t="s">
        <v>291</v>
      </c>
      <c r="E992" s="62" t="n">
        <v>6568</v>
      </c>
      <c r="F992" s="26" t="n">
        <v>0.071167700671494</v>
      </c>
      <c r="G992" s="26" t="n">
        <v>467.429458</v>
      </c>
      <c r="H992" s="1" t="s">
        <v>395</v>
      </c>
    </row>
    <row r="993" customFormat="false" ht="15" hidden="false" customHeight="true" outlineLevel="0" collapsed="false">
      <c r="A993" s="1" t="s">
        <v>626</v>
      </c>
      <c r="B993" s="1" t="s">
        <v>81</v>
      </c>
      <c r="C993" s="1" t="s">
        <v>81</v>
      </c>
      <c r="D993" s="1" t="s">
        <v>285</v>
      </c>
      <c r="E993" s="62" t="n">
        <v>14689</v>
      </c>
      <c r="F993" s="26" t="n">
        <v>0.071167700671494</v>
      </c>
      <c r="G993" s="26" t="n">
        <v>1045.382355</v>
      </c>
      <c r="H993" s="1" t="s">
        <v>395</v>
      </c>
    </row>
    <row r="994" customFormat="false" ht="15" hidden="false" customHeight="true" outlineLevel="0" collapsed="false">
      <c r="A994" s="1" t="s">
        <v>626</v>
      </c>
      <c r="B994" s="1" t="s">
        <v>81</v>
      </c>
      <c r="C994" s="1" t="s">
        <v>81</v>
      </c>
      <c r="D994" s="1" t="s">
        <v>286</v>
      </c>
      <c r="E994" s="62" t="n">
        <v>4805</v>
      </c>
      <c r="F994" s="26" t="n">
        <v>0.071167700671494</v>
      </c>
      <c r="G994" s="26" t="n">
        <v>341.960802</v>
      </c>
      <c r="H994" s="1" t="s">
        <v>395</v>
      </c>
    </row>
    <row r="995" customFormat="false" ht="15" hidden="false" customHeight="true" outlineLevel="0" collapsed="false">
      <c r="A995" s="1" t="s">
        <v>626</v>
      </c>
      <c r="B995" s="1" t="s">
        <v>81</v>
      </c>
      <c r="C995" s="1" t="s">
        <v>81</v>
      </c>
      <c r="D995" s="1" t="s">
        <v>283</v>
      </c>
      <c r="E995" s="62" t="n">
        <v>4806</v>
      </c>
      <c r="F995" s="26" t="n">
        <v>0.071167700671494</v>
      </c>
      <c r="G995" s="26" t="n">
        <v>342.031969</v>
      </c>
      <c r="H995" s="1" t="s">
        <v>395</v>
      </c>
    </row>
    <row r="996" customFormat="false" ht="15" hidden="false" customHeight="true" outlineLevel="0" collapsed="false">
      <c r="A996" s="1" t="s">
        <v>626</v>
      </c>
      <c r="B996" s="1" t="s">
        <v>36</v>
      </c>
      <c r="C996" s="1" t="s">
        <v>36</v>
      </c>
      <c r="D996" s="1" t="s">
        <v>288</v>
      </c>
      <c r="E996" s="62" t="n">
        <v>6588</v>
      </c>
      <c r="F996" s="26" t="n">
        <v>0.373762045947462</v>
      </c>
      <c r="G996" s="26" t="n">
        <v>2462.344359</v>
      </c>
      <c r="H996" s="1" t="s">
        <v>395</v>
      </c>
    </row>
    <row r="997" customFormat="false" ht="15" hidden="false" customHeight="true" outlineLevel="0" collapsed="false">
      <c r="A997" s="1" t="s">
        <v>626</v>
      </c>
      <c r="B997" s="1" t="s">
        <v>36</v>
      </c>
      <c r="C997" s="1" t="s">
        <v>36</v>
      </c>
      <c r="D997" s="1" t="s">
        <v>294</v>
      </c>
      <c r="E997" s="62" t="n">
        <v>3765</v>
      </c>
      <c r="F997" s="26" t="n">
        <v>0.373762045947462</v>
      </c>
      <c r="G997" s="26" t="n">
        <v>1407.214103</v>
      </c>
      <c r="H997" s="1" t="s">
        <v>395</v>
      </c>
    </row>
    <row r="998" customFormat="false" ht="15" hidden="false" customHeight="true" outlineLevel="0" collapsed="false">
      <c r="A998" s="1" t="s">
        <v>626</v>
      </c>
      <c r="B998" s="1" t="s">
        <v>36</v>
      </c>
      <c r="C998" s="1" t="s">
        <v>36</v>
      </c>
      <c r="D998" s="1" t="s">
        <v>291</v>
      </c>
      <c r="E998" s="62" t="n">
        <v>6568</v>
      </c>
      <c r="F998" s="26" t="n">
        <v>0.373762045947462</v>
      </c>
      <c r="G998" s="26" t="n">
        <v>2454.869118</v>
      </c>
      <c r="H998" s="1" t="s">
        <v>395</v>
      </c>
    </row>
    <row r="999" customFormat="false" ht="15" hidden="false" customHeight="true" outlineLevel="0" collapsed="false">
      <c r="A999" s="1" t="s">
        <v>626</v>
      </c>
      <c r="B999" s="1" t="s">
        <v>36</v>
      </c>
      <c r="C999" s="1" t="s">
        <v>36</v>
      </c>
      <c r="D999" s="1" t="s">
        <v>285</v>
      </c>
      <c r="E999" s="62" t="n">
        <v>14689</v>
      </c>
      <c r="F999" s="26" t="n">
        <v>0.373762045947462</v>
      </c>
      <c r="G999" s="26" t="n">
        <v>5490.190693</v>
      </c>
      <c r="H999" s="1" t="s">
        <v>395</v>
      </c>
    </row>
    <row r="1000" customFormat="false" ht="15" hidden="false" customHeight="true" outlineLevel="0" collapsed="false">
      <c r="A1000" s="1" t="s">
        <v>626</v>
      </c>
      <c r="B1000" s="1" t="s">
        <v>36</v>
      </c>
      <c r="C1000" s="1" t="s">
        <v>36</v>
      </c>
      <c r="D1000" s="1" t="s">
        <v>286</v>
      </c>
      <c r="E1000" s="62" t="n">
        <v>4805</v>
      </c>
      <c r="F1000" s="26" t="n">
        <v>0.373762045947462</v>
      </c>
      <c r="G1000" s="26" t="n">
        <v>1795.926631</v>
      </c>
      <c r="H1000" s="1" t="s">
        <v>395</v>
      </c>
    </row>
    <row r="1001" customFormat="false" ht="15" hidden="false" customHeight="true" outlineLevel="0" collapsed="false">
      <c r="A1001" s="1" t="s">
        <v>626</v>
      </c>
      <c r="B1001" s="1" t="s">
        <v>36</v>
      </c>
      <c r="C1001" s="1" t="s">
        <v>36</v>
      </c>
      <c r="D1001" s="1" t="s">
        <v>283</v>
      </c>
      <c r="E1001" s="62" t="n">
        <v>4806</v>
      </c>
      <c r="F1001" s="26" t="n">
        <v>0.373762045947462</v>
      </c>
      <c r="G1001" s="26" t="n">
        <v>1796.300393</v>
      </c>
      <c r="H1001" s="1" t="s">
        <v>395</v>
      </c>
    </row>
    <row r="1002" customFormat="false" ht="15" hidden="false" customHeight="true" outlineLevel="0" collapsed="false">
      <c r="A1002" s="1" t="s">
        <v>626</v>
      </c>
      <c r="B1002" s="1" t="s">
        <v>83</v>
      </c>
      <c r="C1002" s="1" t="s">
        <v>83</v>
      </c>
      <c r="D1002" s="1" t="s">
        <v>288</v>
      </c>
      <c r="E1002" s="62" t="n">
        <v>6588</v>
      </c>
      <c r="F1002" s="26" t="n">
        <v>0.0793753070856763</v>
      </c>
      <c r="G1002" s="26" t="n">
        <v>522.924523</v>
      </c>
      <c r="H1002" s="1" t="s">
        <v>395</v>
      </c>
    </row>
    <row r="1003" customFormat="false" ht="15" hidden="false" customHeight="true" outlineLevel="0" collapsed="false">
      <c r="A1003" s="1" t="s">
        <v>626</v>
      </c>
      <c r="B1003" s="1" t="s">
        <v>83</v>
      </c>
      <c r="C1003" s="1" t="s">
        <v>83</v>
      </c>
      <c r="D1003" s="1" t="s">
        <v>294</v>
      </c>
      <c r="E1003" s="62" t="n">
        <v>3765</v>
      </c>
      <c r="F1003" s="26" t="n">
        <v>0.0793753070856763</v>
      </c>
      <c r="G1003" s="26" t="n">
        <v>298.848031</v>
      </c>
      <c r="H1003" s="1" t="s">
        <v>395</v>
      </c>
    </row>
    <row r="1004" customFormat="false" ht="15" hidden="false" customHeight="true" outlineLevel="0" collapsed="false">
      <c r="A1004" s="1" t="s">
        <v>626</v>
      </c>
      <c r="B1004" s="1" t="s">
        <v>83</v>
      </c>
      <c r="C1004" s="1" t="s">
        <v>83</v>
      </c>
      <c r="D1004" s="1" t="s">
        <v>291</v>
      </c>
      <c r="E1004" s="62" t="n">
        <v>6568</v>
      </c>
      <c r="F1004" s="26" t="n">
        <v>0.0793753070856763</v>
      </c>
      <c r="G1004" s="26" t="n">
        <v>521.337017</v>
      </c>
      <c r="H1004" s="1" t="s">
        <v>395</v>
      </c>
    </row>
    <row r="1005" customFormat="false" ht="15" hidden="false" customHeight="true" outlineLevel="0" collapsed="false">
      <c r="A1005" s="1" t="s">
        <v>626</v>
      </c>
      <c r="B1005" s="1" t="s">
        <v>83</v>
      </c>
      <c r="C1005" s="1" t="s">
        <v>83</v>
      </c>
      <c r="D1005" s="1" t="s">
        <v>285</v>
      </c>
      <c r="E1005" s="62" t="n">
        <v>14689</v>
      </c>
      <c r="F1005" s="26" t="n">
        <v>0.0793753070856763</v>
      </c>
      <c r="G1005" s="26" t="n">
        <v>1165.943886</v>
      </c>
      <c r="H1005" s="1" t="s">
        <v>395</v>
      </c>
    </row>
    <row r="1006" customFormat="false" ht="15" hidden="false" customHeight="true" outlineLevel="0" collapsed="false">
      <c r="A1006" s="1" t="s">
        <v>626</v>
      </c>
      <c r="B1006" s="1" t="s">
        <v>83</v>
      </c>
      <c r="C1006" s="1" t="s">
        <v>83</v>
      </c>
      <c r="D1006" s="1" t="s">
        <v>286</v>
      </c>
      <c r="E1006" s="62" t="n">
        <v>4805</v>
      </c>
      <c r="F1006" s="26" t="n">
        <v>0.0793753070856763</v>
      </c>
      <c r="G1006" s="26" t="n">
        <v>381.398351</v>
      </c>
      <c r="H1006" s="1" t="s">
        <v>395</v>
      </c>
    </row>
    <row r="1007" customFormat="false" ht="15" hidden="false" customHeight="true" outlineLevel="0" collapsed="false">
      <c r="A1007" s="1" t="s">
        <v>626</v>
      </c>
      <c r="B1007" s="1" t="s">
        <v>83</v>
      </c>
      <c r="C1007" s="1" t="s">
        <v>83</v>
      </c>
      <c r="D1007" s="1" t="s">
        <v>283</v>
      </c>
      <c r="E1007" s="62" t="n">
        <v>4806</v>
      </c>
      <c r="F1007" s="26" t="n">
        <v>0.0793753070856763</v>
      </c>
      <c r="G1007" s="26" t="n">
        <v>381.477726</v>
      </c>
      <c r="H1007" s="1" t="s">
        <v>395</v>
      </c>
    </row>
    <row r="1008" customFormat="false" ht="15" hidden="false" customHeight="true" outlineLevel="0" collapsed="false">
      <c r="A1008" s="1" t="s">
        <v>626</v>
      </c>
      <c r="B1008" s="1" t="s">
        <v>31</v>
      </c>
      <c r="C1008" s="1" t="s">
        <v>31</v>
      </c>
      <c r="D1008" s="1" t="s">
        <v>288</v>
      </c>
      <c r="E1008" s="62" t="n">
        <v>6588</v>
      </c>
      <c r="F1008" s="26" t="n">
        <v>0.371854</v>
      </c>
      <c r="G1008" s="26" t="n">
        <v>2449.774152</v>
      </c>
      <c r="H1008" s="1" t="s">
        <v>395</v>
      </c>
    </row>
    <row r="1009" customFormat="false" ht="15" hidden="false" customHeight="true" outlineLevel="0" collapsed="false">
      <c r="A1009" s="1" t="s">
        <v>626</v>
      </c>
      <c r="B1009" s="1" t="s">
        <v>31</v>
      </c>
      <c r="C1009" s="1" t="s">
        <v>31</v>
      </c>
      <c r="D1009" s="1" t="s">
        <v>290</v>
      </c>
      <c r="E1009" s="62" t="n">
        <v>13530</v>
      </c>
      <c r="F1009" s="26" t="n">
        <v>0.371854</v>
      </c>
      <c r="G1009" s="26" t="n">
        <v>5031.18462</v>
      </c>
      <c r="H1009" s="1" t="s">
        <v>395</v>
      </c>
    </row>
    <row r="1010" customFormat="false" ht="15" hidden="false" customHeight="true" outlineLevel="0" collapsed="false">
      <c r="A1010" s="1" t="s">
        <v>626</v>
      </c>
      <c r="B1010" s="1" t="s">
        <v>31</v>
      </c>
      <c r="C1010" s="1" t="s">
        <v>31</v>
      </c>
      <c r="D1010" s="1" t="s">
        <v>294</v>
      </c>
      <c r="E1010" s="62" t="n">
        <v>3765</v>
      </c>
      <c r="F1010" s="26" t="n">
        <v>0.371854</v>
      </c>
      <c r="G1010" s="26" t="n">
        <v>1400.03031</v>
      </c>
      <c r="H1010" s="1" t="s">
        <v>395</v>
      </c>
    </row>
    <row r="1011" customFormat="false" ht="15" hidden="false" customHeight="true" outlineLevel="0" collapsed="false">
      <c r="A1011" s="1" t="s">
        <v>626</v>
      </c>
      <c r="B1011" s="1" t="s">
        <v>31</v>
      </c>
      <c r="C1011" s="1" t="s">
        <v>31</v>
      </c>
      <c r="D1011" s="1" t="s">
        <v>291</v>
      </c>
      <c r="E1011" s="62" t="n">
        <v>6568</v>
      </c>
      <c r="F1011" s="26" t="n">
        <v>0.371854</v>
      </c>
      <c r="G1011" s="26" t="n">
        <v>2442.337072</v>
      </c>
      <c r="H1011" s="1" t="s">
        <v>395</v>
      </c>
    </row>
    <row r="1012" customFormat="false" ht="15" hidden="false" customHeight="true" outlineLevel="0" collapsed="false">
      <c r="A1012" s="1" t="s">
        <v>626</v>
      </c>
      <c r="B1012" s="1" t="s">
        <v>31</v>
      </c>
      <c r="C1012" s="1" t="s">
        <v>31</v>
      </c>
      <c r="D1012" s="1" t="s">
        <v>285</v>
      </c>
      <c r="E1012" s="62" t="n">
        <v>14689</v>
      </c>
      <c r="F1012" s="26" t="n">
        <v>0.371854</v>
      </c>
      <c r="G1012" s="26" t="n">
        <v>5462.163406</v>
      </c>
      <c r="H1012" s="1" t="s">
        <v>395</v>
      </c>
    </row>
    <row r="1013" customFormat="false" ht="15" hidden="false" customHeight="true" outlineLevel="0" collapsed="false">
      <c r="A1013" s="1" t="s">
        <v>626</v>
      </c>
      <c r="B1013" s="1" t="s">
        <v>31</v>
      </c>
      <c r="C1013" s="1" t="s">
        <v>31</v>
      </c>
      <c r="D1013" s="1" t="s">
        <v>286</v>
      </c>
      <c r="E1013" s="62" t="n">
        <v>4805</v>
      </c>
      <c r="F1013" s="26" t="n">
        <v>0.371854</v>
      </c>
      <c r="G1013" s="26" t="n">
        <v>1786.75847</v>
      </c>
      <c r="H1013" s="1" t="s">
        <v>395</v>
      </c>
    </row>
    <row r="1014" customFormat="false" ht="15" hidden="false" customHeight="true" outlineLevel="0" collapsed="false">
      <c r="A1014" s="1" t="s">
        <v>626</v>
      </c>
      <c r="B1014" s="1" t="s">
        <v>31</v>
      </c>
      <c r="C1014" s="1" t="s">
        <v>31</v>
      </c>
      <c r="D1014" s="1" t="s">
        <v>283</v>
      </c>
      <c r="E1014" s="62" t="n">
        <v>4806</v>
      </c>
      <c r="F1014" s="26" t="n">
        <v>0.371854</v>
      </c>
      <c r="G1014" s="26" t="n">
        <v>1787.130324</v>
      </c>
      <c r="H1014" s="1" t="s">
        <v>395</v>
      </c>
    </row>
    <row r="1015" customFormat="false" ht="15" hidden="false" customHeight="true" outlineLevel="0" collapsed="false">
      <c r="A1015" s="1" t="s">
        <v>626</v>
      </c>
      <c r="B1015" s="1" t="s">
        <v>32</v>
      </c>
      <c r="C1015" s="1" t="s">
        <v>640</v>
      </c>
      <c r="D1015" s="1" t="s">
        <v>288</v>
      </c>
      <c r="E1015" s="62" t="n">
        <v>29</v>
      </c>
      <c r="F1015" s="26" t="n">
        <v>35.6374549100918</v>
      </c>
      <c r="G1015" s="26" t="n">
        <v>1033.486192</v>
      </c>
      <c r="H1015" s="1" t="s">
        <v>641</v>
      </c>
    </row>
    <row r="1016" customFormat="false" ht="15" hidden="false" customHeight="true" outlineLevel="0" collapsed="false">
      <c r="A1016" s="1" t="s">
        <v>626</v>
      </c>
      <c r="B1016" s="1" t="s">
        <v>32</v>
      </c>
      <c r="C1016" s="1" t="s">
        <v>640</v>
      </c>
      <c r="D1016" s="1" t="s">
        <v>294</v>
      </c>
      <c r="E1016" s="62" t="n">
        <v>10</v>
      </c>
      <c r="F1016" s="26" t="n">
        <v>35.6374549100918</v>
      </c>
      <c r="G1016" s="26" t="n">
        <v>356.374549</v>
      </c>
      <c r="H1016" s="1" t="s">
        <v>641</v>
      </c>
    </row>
    <row r="1017" customFormat="false" ht="15" hidden="false" customHeight="true" outlineLevel="0" collapsed="false">
      <c r="A1017" s="1" t="s">
        <v>626</v>
      </c>
      <c r="B1017" s="1" t="s">
        <v>32</v>
      </c>
      <c r="C1017" s="1" t="s">
        <v>640</v>
      </c>
      <c r="D1017" s="1" t="s">
        <v>291</v>
      </c>
      <c r="E1017" s="62" t="n">
        <v>43</v>
      </c>
      <c r="F1017" s="26" t="n">
        <v>35.6374549100918</v>
      </c>
      <c r="G1017" s="26" t="n">
        <v>1532.410561</v>
      </c>
      <c r="H1017" s="1" t="s">
        <v>641</v>
      </c>
    </row>
    <row r="1018" customFormat="false" ht="15" hidden="false" customHeight="true" outlineLevel="0" collapsed="false">
      <c r="A1018" s="1" t="s">
        <v>626</v>
      </c>
      <c r="B1018" s="1" t="s">
        <v>32</v>
      </c>
      <c r="C1018" s="1" t="s">
        <v>640</v>
      </c>
      <c r="D1018" s="1" t="s">
        <v>285</v>
      </c>
      <c r="E1018" s="62" t="n">
        <v>45</v>
      </c>
      <c r="F1018" s="26" t="n">
        <v>35.6374549100918</v>
      </c>
      <c r="G1018" s="26" t="n">
        <v>1603.685471</v>
      </c>
      <c r="H1018" s="1" t="s">
        <v>641</v>
      </c>
    </row>
    <row r="1019" customFormat="false" ht="15" hidden="false" customHeight="true" outlineLevel="0" collapsed="false">
      <c r="A1019" s="1" t="s">
        <v>626</v>
      </c>
      <c r="B1019" s="1" t="s">
        <v>32</v>
      </c>
      <c r="C1019" s="1" t="s">
        <v>640</v>
      </c>
      <c r="D1019" s="1" t="s">
        <v>286</v>
      </c>
      <c r="E1019" s="62" t="n">
        <v>18</v>
      </c>
      <c r="F1019" s="26" t="n">
        <v>35.6374549100918</v>
      </c>
      <c r="G1019" s="26" t="n">
        <v>641.474188</v>
      </c>
      <c r="H1019" s="1" t="s">
        <v>641</v>
      </c>
    </row>
    <row r="1020" customFormat="false" ht="15" hidden="false" customHeight="true" outlineLevel="0" collapsed="false">
      <c r="A1020" s="1" t="s">
        <v>626</v>
      </c>
      <c r="B1020" s="1" t="s">
        <v>32</v>
      </c>
      <c r="C1020" s="1" t="s">
        <v>640</v>
      </c>
      <c r="D1020" s="1" t="s">
        <v>283</v>
      </c>
      <c r="E1020" s="62" t="n">
        <v>19</v>
      </c>
      <c r="F1020" s="26" t="n">
        <v>35.6374549100918</v>
      </c>
      <c r="G1020" s="26" t="n">
        <v>677.111643</v>
      </c>
      <c r="H1020" s="1" t="s">
        <v>641</v>
      </c>
    </row>
    <row r="1021" customFormat="false" ht="15" hidden="false" customHeight="true" outlineLevel="0" collapsed="false">
      <c r="A1021" s="1" t="s">
        <v>626</v>
      </c>
      <c r="B1021" s="1" t="s">
        <v>33</v>
      </c>
      <c r="C1021" s="1" t="s">
        <v>642</v>
      </c>
      <c r="D1021" s="1" t="s">
        <v>288</v>
      </c>
      <c r="E1021" s="62" t="n">
        <v>29</v>
      </c>
      <c r="F1021" s="26" t="n">
        <v>52.434725412844</v>
      </c>
      <c r="G1021" s="26" t="n">
        <v>1520.607037</v>
      </c>
      <c r="H1021" s="1" t="s">
        <v>641</v>
      </c>
    </row>
    <row r="1022" customFormat="false" ht="15" hidden="false" customHeight="true" outlineLevel="0" collapsed="false">
      <c r="A1022" s="1" t="s">
        <v>626</v>
      </c>
      <c r="B1022" s="1" t="s">
        <v>33</v>
      </c>
      <c r="C1022" s="1" t="s">
        <v>642</v>
      </c>
      <c r="D1022" s="1" t="s">
        <v>294</v>
      </c>
      <c r="E1022" s="62" t="n">
        <v>10</v>
      </c>
      <c r="F1022" s="26" t="n">
        <v>52.434725412844</v>
      </c>
      <c r="G1022" s="26" t="n">
        <v>524.347254</v>
      </c>
      <c r="H1022" s="1" t="s">
        <v>641</v>
      </c>
    </row>
    <row r="1023" customFormat="false" ht="15" hidden="false" customHeight="true" outlineLevel="0" collapsed="false">
      <c r="A1023" s="1" t="s">
        <v>626</v>
      </c>
      <c r="B1023" s="1" t="s">
        <v>33</v>
      </c>
      <c r="C1023" s="1" t="s">
        <v>642</v>
      </c>
      <c r="D1023" s="1" t="s">
        <v>291</v>
      </c>
      <c r="E1023" s="62" t="n">
        <v>43</v>
      </c>
      <c r="F1023" s="26" t="n">
        <v>52.434725412844</v>
      </c>
      <c r="G1023" s="26" t="n">
        <v>2254.693193</v>
      </c>
      <c r="H1023" s="1" t="s">
        <v>641</v>
      </c>
    </row>
    <row r="1024" customFormat="false" ht="15" hidden="false" customHeight="true" outlineLevel="0" collapsed="false">
      <c r="A1024" s="1" t="s">
        <v>626</v>
      </c>
      <c r="B1024" s="1" t="s">
        <v>33</v>
      </c>
      <c r="C1024" s="1" t="s">
        <v>642</v>
      </c>
      <c r="D1024" s="1" t="s">
        <v>285</v>
      </c>
      <c r="E1024" s="62" t="n">
        <v>45</v>
      </c>
      <c r="F1024" s="26" t="n">
        <v>52.434725412844</v>
      </c>
      <c r="G1024" s="26" t="n">
        <v>2359.562644</v>
      </c>
      <c r="H1024" s="1" t="s">
        <v>641</v>
      </c>
    </row>
    <row r="1025" customFormat="false" ht="15" hidden="false" customHeight="true" outlineLevel="0" collapsed="false">
      <c r="A1025" s="1" t="s">
        <v>626</v>
      </c>
      <c r="B1025" s="1" t="s">
        <v>33</v>
      </c>
      <c r="C1025" s="1" t="s">
        <v>642</v>
      </c>
      <c r="D1025" s="1" t="s">
        <v>286</v>
      </c>
      <c r="E1025" s="62" t="n">
        <v>18</v>
      </c>
      <c r="F1025" s="26" t="n">
        <v>52.434725412844</v>
      </c>
      <c r="G1025" s="26" t="n">
        <v>943.825057</v>
      </c>
      <c r="H1025" s="1" t="s">
        <v>641</v>
      </c>
    </row>
    <row r="1026" customFormat="false" ht="15" hidden="false" customHeight="true" outlineLevel="0" collapsed="false">
      <c r="A1026" s="1" t="s">
        <v>626</v>
      </c>
      <c r="B1026" s="1" t="s">
        <v>33</v>
      </c>
      <c r="C1026" s="1" t="s">
        <v>642</v>
      </c>
      <c r="D1026" s="1" t="s">
        <v>283</v>
      </c>
      <c r="E1026" s="62" t="n">
        <v>19</v>
      </c>
      <c r="F1026" s="26" t="n">
        <v>52.434725412844</v>
      </c>
      <c r="G1026" s="26" t="n">
        <v>996.259783</v>
      </c>
      <c r="H1026" s="1" t="s">
        <v>641</v>
      </c>
    </row>
    <row r="1027" customFormat="false" ht="15" hidden="false" customHeight="true" outlineLevel="0" collapsed="false">
      <c r="A1027" s="1" t="s">
        <v>626</v>
      </c>
      <c r="B1027" s="1" t="s">
        <v>44</v>
      </c>
      <c r="C1027" s="1" t="s">
        <v>643</v>
      </c>
      <c r="D1027" s="1" t="s">
        <v>288</v>
      </c>
      <c r="E1027" s="62" t="n">
        <v>29</v>
      </c>
      <c r="F1027" s="26" t="n">
        <v>60.0816569724771</v>
      </c>
      <c r="G1027" s="26" t="n">
        <v>1742.36805220184</v>
      </c>
      <c r="H1027" s="1" t="s">
        <v>644</v>
      </c>
    </row>
    <row r="1028" customFormat="false" ht="15" hidden="false" customHeight="true" outlineLevel="0" collapsed="false">
      <c r="A1028" s="1" t="s">
        <v>626</v>
      </c>
      <c r="B1028" s="1" t="s">
        <v>44</v>
      </c>
      <c r="C1028" s="1" t="s">
        <v>643</v>
      </c>
      <c r="D1028" s="1" t="s">
        <v>290</v>
      </c>
      <c r="E1028" s="62" t="n">
        <v>37</v>
      </c>
      <c r="F1028" s="26" t="n">
        <v>60.0816569724771</v>
      </c>
      <c r="G1028" s="26" t="n">
        <v>2223.02130798165</v>
      </c>
      <c r="H1028" s="1" t="s">
        <v>644</v>
      </c>
    </row>
    <row r="1029" customFormat="false" ht="15" hidden="false" customHeight="true" outlineLevel="0" collapsed="false">
      <c r="A1029" s="1" t="s">
        <v>626</v>
      </c>
      <c r="B1029" s="1" t="s">
        <v>44</v>
      </c>
      <c r="C1029" s="1" t="s">
        <v>643</v>
      </c>
      <c r="D1029" s="1" t="s">
        <v>294</v>
      </c>
      <c r="E1029" s="62" t="n">
        <v>10</v>
      </c>
      <c r="F1029" s="26" t="n">
        <v>60.0816569724771</v>
      </c>
      <c r="G1029" s="26" t="n">
        <v>600.816569724771</v>
      </c>
      <c r="H1029" s="1" t="s">
        <v>644</v>
      </c>
    </row>
    <row r="1030" customFormat="false" ht="15" hidden="false" customHeight="true" outlineLevel="0" collapsed="false">
      <c r="A1030" s="1" t="s">
        <v>626</v>
      </c>
      <c r="B1030" s="1" t="s">
        <v>44</v>
      </c>
      <c r="C1030" s="1" t="s">
        <v>643</v>
      </c>
      <c r="D1030" s="1" t="s">
        <v>291</v>
      </c>
      <c r="E1030" s="62" t="n">
        <v>43</v>
      </c>
      <c r="F1030" s="26" t="n">
        <v>60.0816569724771</v>
      </c>
      <c r="G1030" s="26" t="n">
        <v>2583.51124981652</v>
      </c>
      <c r="H1030" s="1" t="s">
        <v>644</v>
      </c>
    </row>
    <row r="1031" customFormat="false" ht="15" hidden="false" customHeight="true" outlineLevel="0" collapsed="false">
      <c r="A1031" s="1" t="s">
        <v>626</v>
      </c>
      <c r="B1031" s="1" t="s">
        <v>44</v>
      </c>
      <c r="C1031" s="1" t="s">
        <v>643</v>
      </c>
      <c r="D1031" s="1" t="s">
        <v>285</v>
      </c>
      <c r="E1031" s="62" t="n">
        <v>45</v>
      </c>
      <c r="F1031" s="26" t="n">
        <v>60.0816569724771</v>
      </c>
      <c r="G1031" s="26" t="n">
        <v>2703.67456376147</v>
      </c>
      <c r="H1031" s="1" t="s">
        <v>644</v>
      </c>
    </row>
    <row r="1032" customFormat="false" ht="15" hidden="false" customHeight="true" outlineLevel="0" collapsed="false">
      <c r="A1032" s="1" t="s">
        <v>626</v>
      </c>
      <c r="B1032" s="1" t="s">
        <v>44</v>
      </c>
      <c r="C1032" s="1" t="s">
        <v>643</v>
      </c>
      <c r="D1032" s="1" t="s">
        <v>286</v>
      </c>
      <c r="E1032" s="62" t="n">
        <v>18</v>
      </c>
      <c r="F1032" s="26" t="n">
        <v>60.0816569724771</v>
      </c>
      <c r="G1032" s="26" t="n">
        <v>1081.46982550459</v>
      </c>
      <c r="H1032" s="1" t="s">
        <v>644</v>
      </c>
    </row>
    <row r="1033" customFormat="false" ht="15" hidden="false" customHeight="true" outlineLevel="0" collapsed="false">
      <c r="A1033" s="1" t="s">
        <v>626</v>
      </c>
      <c r="B1033" s="1" t="s">
        <v>44</v>
      </c>
      <c r="C1033" s="1" t="s">
        <v>643</v>
      </c>
      <c r="D1033" s="1" t="s">
        <v>283</v>
      </c>
      <c r="E1033" s="62" t="n">
        <v>19</v>
      </c>
      <c r="F1033" s="26" t="n">
        <v>60.0816569724771</v>
      </c>
      <c r="G1033" s="26" t="n">
        <v>1141.55148247707</v>
      </c>
      <c r="H1033" s="1" t="s">
        <v>644</v>
      </c>
    </row>
    <row r="1034" customFormat="false" ht="15" hidden="false" customHeight="true" outlineLevel="0" collapsed="false">
      <c r="A1034" s="1" t="s">
        <v>589</v>
      </c>
      <c r="B1034" s="1" t="s">
        <v>80</v>
      </c>
      <c r="C1034" s="1" t="s">
        <v>80</v>
      </c>
      <c r="D1034" s="1" t="s">
        <v>288</v>
      </c>
      <c r="E1034" s="62" t="n">
        <v>6280</v>
      </c>
      <c r="F1034" s="26" t="n">
        <v>0.154543612417484</v>
      </c>
      <c r="G1034" s="26" t="n">
        <v>970.5338859818</v>
      </c>
      <c r="H1034" s="1" t="s">
        <v>395</v>
      </c>
    </row>
    <row r="1035" customFormat="false" ht="15" hidden="false" customHeight="true" outlineLevel="0" collapsed="false">
      <c r="A1035" s="1" t="s">
        <v>589</v>
      </c>
      <c r="B1035" s="1" t="s">
        <v>80</v>
      </c>
      <c r="C1035" s="1" t="s">
        <v>80</v>
      </c>
      <c r="D1035" s="1" t="s">
        <v>285</v>
      </c>
      <c r="E1035" s="62" t="n">
        <v>14331</v>
      </c>
      <c r="F1035" s="26" t="n">
        <v>0.154543612417484</v>
      </c>
      <c r="G1035" s="26" t="n">
        <v>2214.76450955496</v>
      </c>
      <c r="H1035" s="1" t="s">
        <v>395</v>
      </c>
    </row>
    <row r="1036" customFormat="false" ht="15" hidden="false" customHeight="true" outlineLevel="0" collapsed="false">
      <c r="A1036" s="1" t="s">
        <v>589</v>
      </c>
      <c r="B1036" s="1" t="s">
        <v>80</v>
      </c>
      <c r="C1036" s="1" t="s">
        <v>80</v>
      </c>
      <c r="D1036" s="1" t="s">
        <v>294</v>
      </c>
      <c r="E1036" s="62" t="n">
        <v>3650</v>
      </c>
      <c r="F1036" s="26" t="n">
        <v>0.154543612417484</v>
      </c>
      <c r="G1036" s="26" t="n">
        <v>564.084185323817</v>
      </c>
      <c r="H1036" s="1" t="s">
        <v>395</v>
      </c>
    </row>
    <row r="1037" customFormat="false" ht="15" hidden="false" customHeight="true" outlineLevel="0" collapsed="false">
      <c r="A1037" s="1" t="s">
        <v>589</v>
      </c>
      <c r="B1037" s="1" t="s">
        <v>80</v>
      </c>
      <c r="C1037" s="1" t="s">
        <v>80</v>
      </c>
      <c r="D1037" s="1" t="s">
        <v>291</v>
      </c>
      <c r="E1037" s="62" t="n">
        <v>6396</v>
      </c>
      <c r="F1037" s="26" t="n">
        <v>0.154543612417484</v>
      </c>
      <c r="G1037" s="26" t="n">
        <v>988.460945022228</v>
      </c>
      <c r="H1037" s="1" t="s">
        <v>395</v>
      </c>
    </row>
    <row r="1038" customFormat="false" ht="15" hidden="false" customHeight="true" outlineLevel="0" collapsed="false">
      <c r="A1038" s="1" t="s">
        <v>589</v>
      </c>
      <c r="B1038" s="1" t="s">
        <v>80</v>
      </c>
      <c r="C1038" s="1" t="s">
        <v>80</v>
      </c>
      <c r="D1038" s="1" t="s">
        <v>286</v>
      </c>
      <c r="E1038" s="62" t="n">
        <v>4730</v>
      </c>
      <c r="F1038" s="26" t="n">
        <v>0.154543612417484</v>
      </c>
      <c r="G1038" s="26" t="n">
        <v>730.991286734699</v>
      </c>
      <c r="H1038" s="1" t="s">
        <v>395</v>
      </c>
    </row>
    <row r="1039" customFormat="false" ht="15" hidden="false" customHeight="true" outlineLevel="0" collapsed="false">
      <c r="A1039" s="1" t="s">
        <v>589</v>
      </c>
      <c r="B1039" s="1" t="s">
        <v>80</v>
      </c>
      <c r="C1039" s="1" t="s">
        <v>80</v>
      </c>
      <c r="D1039" s="1" t="s">
        <v>283</v>
      </c>
      <c r="E1039" s="62" t="n">
        <v>4782</v>
      </c>
      <c r="F1039" s="26" t="n">
        <v>0.154543612417484</v>
      </c>
      <c r="G1039" s="26" t="n">
        <v>739.027554580408</v>
      </c>
      <c r="H1039" s="1" t="s">
        <v>395</v>
      </c>
    </row>
    <row r="1040" customFormat="false" ht="15" hidden="false" customHeight="true" outlineLevel="0" collapsed="false">
      <c r="A1040" s="1" t="s">
        <v>599</v>
      </c>
      <c r="B1040" s="1" t="s">
        <v>80</v>
      </c>
      <c r="C1040" s="1" t="s">
        <v>80</v>
      </c>
      <c r="D1040" s="1" t="s">
        <v>288</v>
      </c>
      <c r="E1040" s="62" t="n">
        <v>6445</v>
      </c>
      <c r="F1040" s="26" t="n">
        <v>0.150676625241861</v>
      </c>
      <c r="G1040" s="26" t="n">
        <v>971.110849683794</v>
      </c>
      <c r="H1040" s="1" t="s">
        <v>395</v>
      </c>
    </row>
    <row r="1041" customFormat="false" ht="15" hidden="false" customHeight="true" outlineLevel="0" collapsed="false">
      <c r="A1041" s="1" t="s">
        <v>599</v>
      </c>
      <c r="B1041" s="1" t="s">
        <v>80</v>
      </c>
      <c r="C1041" s="1" t="s">
        <v>80</v>
      </c>
      <c r="D1041" s="1" t="s">
        <v>285</v>
      </c>
      <c r="E1041" s="62" t="n">
        <v>14441</v>
      </c>
      <c r="F1041" s="26" t="n">
        <v>0.150676625241861</v>
      </c>
      <c r="G1041" s="26" t="n">
        <v>2175.92114511772</v>
      </c>
      <c r="H1041" s="1" t="s">
        <v>395</v>
      </c>
    </row>
    <row r="1042" customFormat="false" ht="15" hidden="false" customHeight="true" outlineLevel="0" collapsed="false">
      <c r="A1042" s="1" t="s">
        <v>599</v>
      </c>
      <c r="B1042" s="1" t="s">
        <v>80</v>
      </c>
      <c r="C1042" s="1" t="s">
        <v>80</v>
      </c>
      <c r="D1042" s="1" t="s">
        <v>294</v>
      </c>
      <c r="E1042" s="62" t="n">
        <v>3704</v>
      </c>
      <c r="F1042" s="26" t="n">
        <v>0.150676625241861</v>
      </c>
      <c r="G1042" s="26" t="n">
        <v>558.106219895853</v>
      </c>
      <c r="H1042" s="1" t="s">
        <v>395</v>
      </c>
    </row>
    <row r="1043" customFormat="false" ht="15" hidden="false" customHeight="true" outlineLevel="0" collapsed="false">
      <c r="A1043" s="1" t="s">
        <v>599</v>
      </c>
      <c r="B1043" s="1" t="s">
        <v>80</v>
      </c>
      <c r="C1043" s="1" t="s">
        <v>80</v>
      </c>
      <c r="D1043" s="1" t="s">
        <v>291</v>
      </c>
      <c r="E1043" s="62" t="n">
        <v>6434</v>
      </c>
      <c r="F1043" s="26" t="n">
        <v>0.150676625241861</v>
      </c>
      <c r="G1043" s="26" t="n">
        <v>969.453406806134</v>
      </c>
      <c r="H1043" s="1" t="s">
        <v>395</v>
      </c>
    </row>
    <row r="1044" customFormat="false" ht="15" hidden="false" customHeight="true" outlineLevel="0" collapsed="false">
      <c r="A1044" s="1" t="s">
        <v>599</v>
      </c>
      <c r="B1044" s="1" t="s">
        <v>80</v>
      </c>
      <c r="C1044" s="1" t="s">
        <v>80</v>
      </c>
      <c r="D1044" s="1" t="s">
        <v>286</v>
      </c>
      <c r="E1044" s="62" t="n">
        <v>4749</v>
      </c>
      <c r="F1044" s="26" t="n">
        <v>0.150676625241861</v>
      </c>
      <c r="G1044" s="26" t="n">
        <v>715.563293273598</v>
      </c>
      <c r="H1044" s="1" t="s">
        <v>395</v>
      </c>
    </row>
    <row r="1045" customFormat="false" ht="15" hidden="false" customHeight="true" outlineLevel="0" collapsed="false">
      <c r="A1045" s="1" t="s">
        <v>599</v>
      </c>
      <c r="B1045" s="1" t="s">
        <v>80</v>
      </c>
      <c r="C1045" s="1" t="s">
        <v>80</v>
      </c>
      <c r="D1045" s="1" t="s">
        <v>283</v>
      </c>
      <c r="E1045" s="62" t="n">
        <v>4795</v>
      </c>
      <c r="F1045" s="26" t="n">
        <v>0.150676625241861</v>
      </c>
      <c r="G1045" s="26" t="n">
        <v>722.494418034724</v>
      </c>
      <c r="H1045" s="1" t="s">
        <v>395</v>
      </c>
    </row>
    <row r="1046" customFormat="false" ht="15" hidden="false" customHeight="true" outlineLevel="0" collapsed="false">
      <c r="A1046" s="1" t="s">
        <v>626</v>
      </c>
      <c r="B1046" s="1" t="s">
        <v>80</v>
      </c>
      <c r="C1046" s="1" t="s">
        <v>80</v>
      </c>
      <c r="D1046" s="1" t="s">
        <v>288</v>
      </c>
      <c r="E1046" s="62" t="n">
        <v>6588</v>
      </c>
      <c r="F1046" s="26" t="n">
        <v>0.145289779573281</v>
      </c>
      <c r="G1046" s="26" t="n">
        <v>957.169067828775</v>
      </c>
      <c r="H1046" s="1" t="s">
        <v>395</v>
      </c>
    </row>
    <row r="1047" customFormat="false" ht="15" hidden="false" customHeight="true" outlineLevel="0" collapsed="false">
      <c r="A1047" s="1" t="s">
        <v>626</v>
      </c>
      <c r="B1047" s="1" t="s">
        <v>80</v>
      </c>
      <c r="C1047" s="1" t="s">
        <v>80</v>
      </c>
      <c r="D1047" s="1" t="s">
        <v>285</v>
      </c>
      <c r="E1047" s="62" t="n">
        <v>14689</v>
      </c>
      <c r="F1047" s="26" t="n">
        <v>0.145289779573281</v>
      </c>
      <c r="G1047" s="26" t="n">
        <v>2134.16157215193</v>
      </c>
      <c r="H1047" s="1" t="s">
        <v>395</v>
      </c>
    </row>
    <row r="1048" customFormat="false" ht="15" hidden="false" customHeight="true" outlineLevel="0" collapsed="false">
      <c r="A1048" s="1" t="s">
        <v>626</v>
      </c>
      <c r="B1048" s="1" t="s">
        <v>80</v>
      </c>
      <c r="C1048" s="1" t="s">
        <v>80</v>
      </c>
      <c r="D1048" s="1" t="s">
        <v>294</v>
      </c>
      <c r="E1048" s="62" t="n">
        <v>3765</v>
      </c>
      <c r="F1048" s="26" t="n">
        <v>0.145289779573281</v>
      </c>
      <c r="G1048" s="26" t="n">
        <v>547.016020093403</v>
      </c>
      <c r="H1048" s="1" t="s">
        <v>395</v>
      </c>
    </row>
    <row r="1049" customFormat="false" ht="15" hidden="false" customHeight="true" outlineLevel="0" collapsed="false">
      <c r="A1049" s="1" t="s">
        <v>626</v>
      </c>
      <c r="B1049" s="1" t="s">
        <v>80</v>
      </c>
      <c r="C1049" s="1" t="s">
        <v>80</v>
      </c>
      <c r="D1049" s="1" t="s">
        <v>291</v>
      </c>
      <c r="E1049" s="62" t="n">
        <v>6568</v>
      </c>
      <c r="F1049" s="26" t="n">
        <v>0.145289779573281</v>
      </c>
      <c r="G1049" s="26" t="n">
        <v>954.26327223731</v>
      </c>
      <c r="H1049" s="1" t="s">
        <v>395</v>
      </c>
    </row>
    <row r="1050" customFormat="false" ht="15" hidden="false" customHeight="true" outlineLevel="0" collapsed="false">
      <c r="A1050" s="1" t="s">
        <v>626</v>
      </c>
      <c r="B1050" s="1" t="s">
        <v>80</v>
      </c>
      <c r="C1050" s="1" t="s">
        <v>80</v>
      </c>
      <c r="D1050" s="1" t="s">
        <v>286</v>
      </c>
      <c r="E1050" s="62" t="n">
        <v>4805</v>
      </c>
      <c r="F1050" s="26" t="n">
        <v>0.145289779573281</v>
      </c>
      <c r="G1050" s="26" t="n">
        <v>698.117390849615</v>
      </c>
      <c r="H1050" s="1" t="s">
        <v>395</v>
      </c>
    </row>
    <row r="1051" customFormat="false" ht="15" hidden="false" customHeight="true" outlineLevel="0" collapsed="false">
      <c r="A1051" s="1" t="s">
        <v>626</v>
      </c>
      <c r="B1051" s="1" t="s">
        <v>80</v>
      </c>
      <c r="C1051" s="1" t="s">
        <v>80</v>
      </c>
      <c r="D1051" s="1" t="s">
        <v>283</v>
      </c>
      <c r="E1051" s="62" t="n">
        <v>4806</v>
      </c>
      <c r="F1051" s="26" t="n">
        <v>0.145289779573281</v>
      </c>
      <c r="G1051" s="26" t="n">
        <v>698.262680629189</v>
      </c>
      <c r="H1051" s="1" t="s">
        <v>395</v>
      </c>
    </row>
    <row r="1052" customFormat="false" ht="15" hidden="false" customHeight="true" outlineLevel="0" collapsed="false">
      <c r="A1052" s="1" t="s">
        <v>589</v>
      </c>
      <c r="B1052" s="1" t="s">
        <v>42</v>
      </c>
      <c r="C1052" s="1" t="s">
        <v>42</v>
      </c>
      <c r="D1052" s="1" t="s">
        <v>288</v>
      </c>
      <c r="E1052" s="62" t="n">
        <v>6280</v>
      </c>
      <c r="F1052" s="26" t="n">
        <v>0.145293801710045</v>
      </c>
      <c r="G1052" s="26" t="n">
        <v>912.445074739083</v>
      </c>
      <c r="H1052" s="1" t="s">
        <v>395</v>
      </c>
    </row>
    <row r="1053" customFormat="false" ht="15" hidden="false" customHeight="true" outlineLevel="0" collapsed="false">
      <c r="A1053" s="1" t="s">
        <v>589</v>
      </c>
      <c r="B1053" s="1" t="s">
        <v>42</v>
      </c>
      <c r="C1053" s="1" t="s">
        <v>42</v>
      </c>
      <c r="D1053" s="1" t="s">
        <v>285</v>
      </c>
      <c r="E1053" s="62" t="n">
        <v>14331</v>
      </c>
      <c r="F1053" s="26" t="n">
        <v>0.145293801710045</v>
      </c>
      <c r="G1053" s="26" t="n">
        <v>2082.20547230666</v>
      </c>
      <c r="H1053" s="1" t="s">
        <v>395</v>
      </c>
    </row>
    <row r="1054" customFormat="false" ht="15" hidden="false" customHeight="true" outlineLevel="0" collapsed="false">
      <c r="A1054" s="1" t="s">
        <v>589</v>
      </c>
      <c r="B1054" s="1" t="s">
        <v>42</v>
      </c>
      <c r="C1054" s="1" t="s">
        <v>42</v>
      </c>
      <c r="D1054" s="1" t="s">
        <v>294</v>
      </c>
      <c r="E1054" s="62" t="n">
        <v>3650</v>
      </c>
      <c r="F1054" s="26" t="n">
        <v>0.145293801710045</v>
      </c>
      <c r="G1054" s="26" t="n">
        <v>530.322376241664</v>
      </c>
      <c r="H1054" s="1" t="s">
        <v>395</v>
      </c>
    </row>
    <row r="1055" customFormat="false" ht="15" hidden="false" customHeight="true" outlineLevel="0" collapsed="false">
      <c r="A1055" s="1" t="s">
        <v>589</v>
      </c>
      <c r="B1055" s="1" t="s">
        <v>42</v>
      </c>
      <c r="C1055" s="1" t="s">
        <v>42</v>
      </c>
      <c r="D1055" s="1" t="s">
        <v>291</v>
      </c>
      <c r="E1055" s="62" t="n">
        <v>6396</v>
      </c>
      <c r="F1055" s="26" t="n">
        <v>0.145293801710045</v>
      </c>
      <c r="G1055" s="26" t="n">
        <v>929.299155737448</v>
      </c>
      <c r="H1055" s="1" t="s">
        <v>395</v>
      </c>
    </row>
    <row r="1056" customFormat="false" ht="15" hidden="false" customHeight="true" outlineLevel="0" collapsed="false">
      <c r="A1056" s="1" t="s">
        <v>589</v>
      </c>
      <c r="B1056" s="1" t="s">
        <v>42</v>
      </c>
      <c r="C1056" s="1" t="s">
        <v>42</v>
      </c>
      <c r="D1056" s="1" t="s">
        <v>286</v>
      </c>
      <c r="E1056" s="62" t="n">
        <v>4730</v>
      </c>
      <c r="F1056" s="26" t="n">
        <v>0.145293801710045</v>
      </c>
      <c r="G1056" s="26" t="n">
        <v>687.239682088513</v>
      </c>
      <c r="H1056" s="1" t="s">
        <v>395</v>
      </c>
    </row>
    <row r="1057" customFormat="false" ht="15" hidden="false" customHeight="true" outlineLevel="0" collapsed="false">
      <c r="A1057" s="1" t="s">
        <v>589</v>
      </c>
      <c r="B1057" s="1" t="s">
        <v>42</v>
      </c>
      <c r="C1057" s="1" t="s">
        <v>42</v>
      </c>
      <c r="D1057" s="1" t="s">
        <v>283</v>
      </c>
      <c r="E1057" s="62" t="n">
        <v>4782</v>
      </c>
      <c r="F1057" s="26" t="n">
        <v>0.145293801710045</v>
      </c>
      <c r="G1057" s="26" t="n">
        <v>694.794959777435</v>
      </c>
      <c r="H1057" s="1" t="s">
        <v>395</v>
      </c>
    </row>
    <row r="1058" customFormat="false" ht="15" hidden="false" customHeight="true" outlineLevel="0" collapsed="false">
      <c r="A1058" s="1" t="s">
        <v>599</v>
      </c>
      <c r="B1058" s="1" t="s">
        <v>42</v>
      </c>
      <c r="C1058" s="1" t="s">
        <v>42</v>
      </c>
      <c r="D1058" s="1" t="s">
        <v>288</v>
      </c>
      <c r="E1058" s="62" t="n">
        <v>6445</v>
      </c>
      <c r="F1058" s="26" t="n">
        <v>0.146782423739836</v>
      </c>
      <c r="G1058" s="26" t="n">
        <v>946.012721003243</v>
      </c>
      <c r="H1058" s="1" t="s">
        <v>395</v>
      </c>
    </row>
    <row r="1059" customFormat="false" ht="15" hidden="false" customHeight="true" outlineLevel="0" collapsed="false">
      <c r="A1059" s="1" t="s">
        <v>599</v>
      </c>
      <c r="B1059" s="1" t="s">
        <v>42</v>
      </c>
      <c r="C1059" s="1" t="s">
        <v>42</v>
      </c>
      <c r="D1059" s="1" t="s">
        <v>285</v>
      </c>
      <c r="E1059" s="62" t="n">
        <v>14441</v>
      </c>
      <c r="F1059" s="26" t="n">
        <v>0.146782423739836</v>
      </c>
      <c r="G1059" s="26" t="n">
        <v>2119.68498122697</v>
      </c>
      <c r="H1059" s="1" t="s">
        <v>395</v>
      </c>
    </row>
    <row r="1060" customFormat="false" ht="15" hidden="false" customHeight="true" outlineLevel="0" collapsed="false">
      <c r="A1060" s="1" t="s">
        <v>599</v>
      </c>
      <c r="B1060" s="1" t="s">
        <v>42</v>
      </c>
      <c r="C1060" s="1" t="s">
        <v>42</v>
      </c>
      <c r="D1060" s="1" t="s">
        <v>294</v>
      </c>
      <c r="E1060" s="62" t="n">
        <v>3704</v>
      </c>
      <c r="F1060" s="26" t="n">
        <v>0.146782423739836</v>
      </c>
      <c r="G1060" s="26" t="n">
        <v>543.682097532353</v>
      </c>
      <c r="H1060" s="1" t="s">
        <v>395</v>
      </c>
    </row>
    <row r="1061" customFormat="false" ht="15" hidden="false" customHeight="true" outlineLevel="0" collapsed="false">
      <c r="A1061" s="1" t="s">
        <v>599</v>
      </c>
      <c r="B1061" s="1" t="s">
        <v>42</v>
      </c>
      <c r="C1061" s="1" t="s">
        <v>42</v>
      </c>
      <c r="D1061" s="1" t="s">
        <v>291</v>
      </c>
      <c r="E1061" s="62" t="n">
        <v>6434</v>
      </c>
      <c r="F1061" s="26" t="n">
        <v>0.146782423739836</v>
      </c>
      <c r="G1061" s="26" t="n">
        <v>944.398114342105</v>
      </c>
      <c r="H1061" s="1" t="s">
        <v>395</v>
      </c>
    </row>
    <row r="1062" customFormat="false" ht="15" hidden="false" customHeight="true" outlineLevel="0" collapsed="false">
      <c r="A1062" s="1" t="s">
        <v>599</v>
      </c>
      <c r="B1062" s="1" t="s">
        <v>42</v>
      </c>
      <c r="C1062" s="1" t="s">
        <v>42</v>
      </c>
      <c r="D1062" s="1" t="s">
        <v>286</v>
      </c>
      <c r="E1062" s="62" t="n">
        <v>4749</v>
      </c>
      <c r="F1062" s="26" t="n">
        <v>0.146782423739836</v>
      </c>
      <c r="G1062" s="26" t="n">
        <v>697.069730340481</v>
      </c>
      <c r="H1062" s="1" t="s">
        <v>395</v>
      </c>
    </row>
    <row r="1063" customFormat="false" ht="15" hidden="false" customHeight="true" outlineLevel="0" collapsed="false">
      <c r="A1063" s="1" t="s">
        <v>599</v>
      </c>
      <c r="B1063" s="1" t="s">
        <v>42</v>
      </c>
      <c r="C1063" s="1" t="s">
        <v>42</v>
      </c>
      <c r="D1063" s="1" t="s">
        <v>283</v>
      </c>
      <c r="E1063" s="62" t="n">
        <v>4795</v>
      </c>
      <c r="F1063" s="26" t="n">
        <v>0.146782423739836</v>
      </c>
      <c r="G1063" s="26" t="n">
        <v>703.821721832514</v>
      </c>
      <c r="H1063" s="1" t="s">
        <v>395</v>
      </c>
    </row>
    <row r="1064" customFormat="false" ht="15" hidden="false" customHeight="true" outlineLevel="0" collapsed="false">
      <c r="A1064" s="1" t="s">
        <v>626</v>
      </c>
      <c r="B1064" s="1" t="s">
        <v>42</v>
      </c>
      <c r="C1064" s="1" t="s">
        <v>42</v>
      </c>
      <c r="D1064" s="1" t="s">
        <v>288</v>
      </c>
      <c r="E1064" s="62" t="n">
        <v>6588</v>
      </c>
      <c r="F1064" s="26" t="n">
        <v>0.136978220673766</v>
      </c>
      <c r="G1064" s="26" t="n">
        <v>902.41251779877</v>
      </c>
      <c r="H1064" s="1" t="s">
        <v>395</v>
      </c>
    </row>
    <row r="1065" customFormat="false" ht="15" hidden="false" customHeight="true" outlineLevel="0" collapsed="false">
      <c r="A1065" s="1" t="s">
        <v>626</v>
      </c>
      <c r="B1065" s="1" t="s">
        <v>42</v>
      </c>
      <c r="C1065" s="1" t="s">
        <v>42</v>
      </c>
      <c r="D1065" s="1" t="s">
        <v>285</v>
      </c>
      <c r="E1065" s="62" t="n">
        <v>14689</v>
      </c>
      <c r="F1065" s="26" t="n">
        <v>0.136978220673766</v>
      </c>
      <c r="G1065" s="26" t="n">
        <v>2012.07308347695</v>
      </c>
      <c r="H1065" s="1" t="s">
        <v>395</v>
      </c>
    </row>
    <row r="1066" customFormat="false" ht="15" hidden="false" customHeight="true" outlineLevel="0" collapsed="false">
      <c r="A1066" s="1" t="s">
        <v>626</v>
      </c>
      <c r="B1066" s="1" t="s">
        <v>42</v>
      </c>
      <c r="C1066" s="1" t="s">
        <v>42</v>
      </c>
      <c r="D1066" s="1" t="s">
        <v>294</v>
      </c>
      <c r="E1066" s="62" t="n">
        <v>3765</v>
      </c>
      <c r="F1066" s="26" t="n">
        <v>0.136978220673766</v>
      </c>
      <c r="G1066" s="26" t="n">
        <v>515.723000836729</v>
      </c>
      <c r="H1066" s="1" t="s">
        <v>395</v>
      </c>
    </row>
    <row r="1067" customFormat="false" ht="15" hidden="false" customHeight="true" outlineLevel="0" collapsed="false">
      <c r="A1067" s="1" t="s">
        <v>626</v>
      </c>
      <c r="B1067" s="1" t="s">
        <v>42</v>
      </c>
      <c r="C1067" s="1" t="s">
        <v>42</v>
      </c>
      <c r="D1067" s="1" t="s">
        <v>291</v>
      </c>
      <c r="E1067" s="62" t="n">
        <v>6568</v>
      </c>
      <c r="F1067" s="26" t="n">
        <v>0.136978220673766</v>
      </c>
      <c r="G1067" s="26" t="n">
        <v>899.672953385295</v>
      </c>
      <c r="H1067" s="1" t="s">
        <v>395</v>
      </c>
    </row>
    <row r="1068" customFormat="false" ht="15" hidden="false" customHeight="true" outlineLevel="0" collapsed="false">
      <c r="A1068" s="1" t="s">
        <v>626</v>
      </c>
      <c r="B1068" s="1" t="s">
        <v>42</v>
      </c>
      <c r="C1068" s="1" t="s">
        <v>42</v>
      </c>
      <c r="D1068" s="1" t="s">
        <v>286</v>
      </c>
      <c r="E1068" s="62" t="n">
        <v>4805</v>
      </c>
      <c r="F1068" s="26" t="n">
        <v>0.136978220673766</v>
      </c>
      <c r="G1068" s="26" t="n">
        <v>658.180350337446</v>
      </c>
      <c r="H1068" s="1" t="s">
        <v>395</v>
      </c>
    </row>
    <row r="1069" customFormat="false" ht="15" hidden="false" customHeight="true" outlineLevel="0" collapsed="false">
      <c r="A1069" s="1" t="s">
        <v>626</v>
      </c>
      <c r="B1069" s="1" t="s">
        <v>42</v>
      </c>
      <c r="C1069" s="1" t="s">
        <v>42</v>
      </c>
      <c r="D1069" s="1" t="s">
        <v>283</v>
      </c>
      <c r="E1069" s="62" t="n">
        <v>4806</v>
      </c>
      <c r="F1069" s="26" t="n">
        <v>0.136978220673766</v>
      </c>
      <c r="G1069" s="26" t="n">
        <v>658.317328558119</v>
      </c>
      <c r="H1069" s="1" t="s">
        <v>395</v>
      </c>
    </row>
    <row r="1070" customFormat="false" ht="15" hidden="false" customHeight="true" outlineLevel="0" collapsed="false">
      <c r="A1070" s="1" t="s">
        <v>589</v>
      </c>
      <c r="B1070" s="1" t="s">
        <v>34</v>
      </c>
      <c r="C1070" s="1" t="s">
        <v>34</v>
      </c>
      <c r="D1070" s="1" t="s">
        <v>288</v>
      </c>
      <c r="E1070" s="62" t="n">
        <v>6280</v>
      </c>
      <c r="F1070" s="26" t="n">
        <v>0.23174321635211</v>
      </c>
      <c r="G1070" s="26" t="n">
        <v>1455.347399</v>
      </c>
      <c r="H1070" s="1" t="s">
        <v>395</v>
      </c>
    </row>
    <row r="1071" customFormat="false" ht="15" hidden="false" customHeight="true" outlineLevel="0" collapsed="false">
      <c r="A1071" s="1" t="s">
        <v>589</v>
      </c>
      <c r="B1071" s="1" t="s">
        <v>34</v>
      </c>
      <c r="C1071" s="1" t="s">
        <v>34</v>
      </c>
      <c r="D1071" s="1" t="s">
        <v>290</v>
      </c>
      <c r="E1071" s="62" t="n">
        <v>13402</v>
      </c>
      <c r="F1071" s="26" t="n">
        <v>0.23174321635211</v>
      </c>
      <c r="G1071" s="26" t="n">
        <v>3105.822586</v>
      </c>
      <c r="H1071" s="1" t="s">
        <v>395</v>
      </c>
    </row>
    <row r="1072" customFormat="false" ht="15" hidden="false" customHeight="true" outlineLevel="0" collapsed="false">
      <c r="A1072" s="1" t="s">
        <v>589</v>
      </c>
      <c r="B1072" s="1" t="s">
        <v>34</v>
      </c>
      <c r="C1072" s="1" t="s">
        <v>34</v>
      </c>
      <c r="D1072" s="1" t="s">
        <v>285</v>
      </c>
      <c r="E1072" s="62" t="n">
        <v>14331</v>
      </c>
      <c r="F1072" s="26" t="n">
        <v>0.23174321635211</v>
      </c>
      <c r="G1072" s="26" t="n">
        <v>3321.112034</v>
      </c>
      <c r="H1072" s="1" t="s">
        <v>395</v>
      </c>
    </row>
    <row r="1073" customFormat="false" ht="15" hidden="false" customHeight="true" outlineLevel="0" collapsed="false">
      <c r="A1073" s="1" t="s">
        <v>589</v>
      </c>
      <c r="B1073" s="1" t="s">
        <v>34</v>
      </c>
      <c r="C1073" s="1" t="s">
        <v>34</v>
      </c>
      <c r="D1073" s="1" t="s">
        <v>294</v>
      </c>
      <c r="E1073" s="62" t="n">
        <v>3650</v>
      </c>
      <c r="F1073" s="26" t="n">
        <v>0.23174321635211</v>
      </c>
      <c r="G1073" s="26" t="n">
        <v>845.86274</v>
      </c>
      <c r="H1073" s="1" t="s">
        <v>395</v>
      </c>
    </row>
    <row r="1074" customFormat="false" ht="15" hidden="false" customHeight="true" outlineLevel="0" collapsed="false">
      <c r="A1074" s="1" t="s">
        <v>589</v>
      </c>
      <c r="B1074" s="1" t="s">
        <v>34</v>
      </c>
      <c r="C1074" s="1" t="s">
        <v>34</v>
      </c>
      <c r="D1074" s="1" t="s">
        <v>291</v>
      </c>
      <c r="E1074" s="62" t="n">
        <v>6396</v>
      </c>
      <c r="F1074" s="26" t="n">
        <v>0.23174321635211</v>
      </c>
      <c r="G1074" s="26" t="n">
        <v>1482.229612</v>
      </c>
      <c r="H1074" s="1" t="s">
        <v>395</v>
      </c>
    </row>
    <row r="1075" customFormat="false" ht="15" hidden="false" customHeight="true" outlineLevel="0" collapsed="false">
      <c r="A1075" s="1" t="s">
        <v>589</v>
      </c>
      <c r="B1075" s="1" t="s">
        <v>34</v>
      </c>
      <c r="C1075" s="1" t="s">
        <v>34</v>
      </c>
      <c r="D1075" s="1" t="s">
        <v>286</v>
      </c>
      <c r="E1075" s="62" t="n">
        <v>4730</v>
      </c>
      <c r="F1075" s="26" t="n">
        <v>0.23174321635211</v>
      </c>
      <c r="G1075" s="26" t="n">
        <v>1096.145413</v>
      </c>
      <c r="H1075" s="1" t="s">
        <v>395</v>
      </c>
    </row>
    <row r="1076" customFormat="false" ht="15" hidden="false" customHeight="true" outlineLevel="0" collapsed="false">
      <c r="A1076" s="1" t="s">
        <v>589</v>
      </c>
      <c r="B1076" s="1" t="s">
        <v>34</v>
      </c>
      <c r="C1076" s="1" t="s">
        <v>34</v>
      </c>
      <c r="D1076" s="1" t="s">
        <v>283</v>
      </c>
      <c r="E1076" s="62" t="n">
        <v>4782</v>
      </c>
      <c r="F1076" s="26" t="n">
        <v>0.23174321635211</v>
      </c>
      <c r="G1076" s="26" t="n">
        <v>1108.196061</v>
      </c>
      <c r="H1076" s="1" t="s">
        <v>395</v>
      </c>
    </row>
    <row r="1077" customFormat="false" ht="15" hidden="false" customHeight="true" outlineLevel="0" collapsed="false">
      <c r="A1077" s="1" t="s">
        <v>599</v>
      </c>
      <c r="B1077" s="1" t="s">
        <v>34</v>
      </c>
      <c r="C1077" s="1" t="s">
        <v>34</v>
      </c>
      <c r="D1077" s="1" t="s">
        <v>288</v>
      </c>
      <c r="E1077" s="62" t="n">
        <v>6445</v>
      </c>
      <c r="F1077" s="26" t="n">
        <v>0.251543736341568</v>
      </c>
      <c r="G1077" s="26" t="n">
        <v>1621.199381</v>
      </c>
      <c r="H1077" s="1" t="s">
        <v>395</v>
      </c>
    </row>
    <row r="1078" customFormat="false" ht="15" hidden="false" customHeight="true" outlineLevel="0" collapsed="false">
      <c r="A1078" s="1" t="s">
        <v>599</v>
      </c>
      <c r="B1078" s="1" t="s">
        <v>34</v>
      </c>
      <c r="C1078" s="1" t="s">
        <v>34</v>
      </c>
      <c r="D1078" s="1" t="s">
        <v>290</v>
      </c>
      <c r="E1078" s="62" t="n">
        <v>13418</v>
      </c>
      <c r="F1078" s="26" t="n">
        <v>0.251543736341568</v>
      </c>
      <c r="G1078" s="26" t="n">
        <v>3375.213854</v>
      </c>
      <c r="H1078" s="1" t="s">
        <v>395</v>
      </c>
    </row>
    <row r="1079" customFormat="false" ht="15" hidden="false" customHeight="true" outlineLevel="0" collapsed="false">
      <c r="A1079" s="1" t="s">
        <v>599</v>
      </c>
      <c r="B1079" s="1" t="s">
        <v>34</v>
      </c>
      <c r="C1079" s="1" t="s">
        <v>34</v>
      </c>
      <c r="D1079" s="1" t="s">
        <v>285</v>
      </c>
      <c r="E1079" s="62" t="n">
        <v>14441</v>
      </c>
      <c r="F1079" s="26" t="n">
        <v>0.251543736341568</v>
      </c>
      <c r="G1079" s="26" t="n">
        <v>3632.543097</v>
      </c>
      <c r="H1079" s="1" t="s">
        <v>395</v>
      </c>
    </row>
    <row r="1080" customFormat="false" ht="15" hidden="false" customHeight="true" outlineLevel="0" collapsed="false">
      <c r="A1080" s="1" t="s">
        <v>599</v>
      </c>
      <c r="B1080" s="1" t="s">
        <v>34</v>
      </c>
      <c r="C1080" s="1" t="s">
        <v>34</v>
      </c>
      <c r="D1080" s="1" t="s">
        <v>294</v>
      </c>
      <c r="E1080" s="62" t="n">
        <v>3704</v>
      </c>
      <c r="F1080" s="26" t="n">
        <v>0.251543736341568</v>
      </c>
      <c r="G1080" s="26" t="n">
        <v>931.717999</v>
      </c>
      <c r="H1080" s="1" t="s">
        <v>395</v>
      </c>
    </row>
    <row r="1081" customFormat="false" ht="15" hidden="false" customHeight="true" outlineLevel="0" collapsed="false">
      <c r="A1081" s="1" t="s">
        <v>599</v>
      </c>
      <c r="B1081" s="1" t="s">
        <v>34</v>
      </c>
      <c r="C1081" s="1" t="s">
        <v>34</v>
      </c>
      <c r="D1081" s="1" t="s">
        <v>291</v>
      </c>
      <c r="E1081" s="62" t="n">
        <v>6434</v>
      </c>
      <c r="F1081" s="26" t="n">
        <v>0.251543736341568</v>
      </c>
      <c r="G1081" s="26" t="n">
        <v>1618.4324</v>
      </c>
      <c r="H1081" s="1" t="s">
        <v>395</v>
      </c>
    </row>
    <row r="1082" customFormat="false" ht="15" hidden="false" customHeight="true" outlineLevel="0" collapsed="false">
      <c r="A1082" s="1" t="s">
        <v>599</v>
      </c>
      <c r="B1082" s="1" t="s">
        <v>34</v>
      </c>
      <c r="C1082" s="1" t="s">
        <v>34</v>
      </c>
      <c r="D1082" s="1" t="s">
        <v>286</v>
      </c>
      <c r="E1082" s="62" t="n">
        <v>4749</v>
      </c>
      <c r="F1082" s="26" t="n">
        <v>0.251543736341568</v>
      </c>
      <c r="G1082" s="26" t="n">
        <v>1194.581204</v>
      </c>
      <c r="H1082" s="1" t="s">
        <v>395</v>
      </c>
    </row>
    <row r="1083" customFormat="false" ht="15" hidden="false" customHeight="true" outlineLevel="0" collapsed="false">
      <c r="A1083" s="1" t="s">
        <v>599</v>
      </c>
      <c r="B1083" s="1" t="s">
        <v>34</v>
      </c>
      <c r="C1083" s="1" t="s">
        <v>34</v>
      </c>
      <c r="D1083" s="1" t="s">
        <v>283</v>
      </c>
      <c r="E1083" s="62" t="n">
        <v>4795</v>
      </c>
      <c r="F1083" s="26" t="n">
        <v>0.251543736341568</v>
      </c>
      <c r="G1083" s="26" t="n">
        <v>1206.152216</v>
      </c>
      <c r="H1083" s="1" t="s">
        <v>395</v>
      </c>
    </row>
    <row r="1084" customFormat="false" ht="15" hidden="false" customHeight="true" outlineLevel="0" collapsed="false">
      <c r="A1084" s="1" t="s">
        <v>626</v>
      </c>
      <c r="B1084" s="1" t="s">
        <v>34</v>
      </c>
      <c r="C1084" s="1" t="s">
        <v>34</v>
      </c>
      <c r="D1084" s="1" t="s">
        <v>288</v>
      </c>
      <c r="E1084" s="62" t="n">
        <v>6588</v>
      </c>
      <c r="F1084" s="26" t="n">
        <v>0.229782928031525</v>
      </c>
      <c r="G1084" s="26" t="n">
        <v>1513.80993</v>
      </c>
      <c r="H1084" s="1" t="s">
        <v>395</v>
      </c>
    </row>
    <row r="1085" customFormat="false" ht="15" hidden="false" customHeight="true" outlineLevel="0" collapsed="false">
      <c r="A1085" s="1" t="s">
        <v>626</v>
      </c>
      <c r="B1085" s="1" t="s">
        <v>34</v>
      </c>
      <c r="C1085" s="1" t="s">
        <v>34</v>
      </c>
      <c r="D1085" s="1" t="s">
        <v>290</v>
      </c>
      <c r="E1085" s="62" t="n">
        <v>13530</v>
      </c>
      <c r="F1085" s="26" t="n">
        <v>0.229782928031525</v>
      </c>
      <c r="G1085" s="26" t="n">
        <v>3108.963016</v>
      </c>
      <c r="H1085" s="1" t="s">
        <v>395</v>
      </c>
    </row>
    <row r="1086" customFormat="false" ht="15" hidden="false" customHeight="true" outlineLevel="0" collapsed="false">
      <c r="A1086" s="1" t="s">
        <v>626</v>
      </c>
      <c r="B1086" s="1" t="s">
        <v>34</v>
      </c>
      <c r="C1086" s="1" t="s">
        <v>34</v>
      </c>
      <c r="D1086" s="1" t="s">
        <v>285</v>
      </c>
      <c r="E1086" s="62" t="n">
        <v>14689</v>
      </c>
      <c r="F1086" s="26" t="n">
        <v>0.229782928031525</v>
      </c>
      <c r="G1086" s="26" t="n">
        <v>3375.28143</v>
      </c>
      <c r="H1086" s="1" t="s">
        <v>395</v>
      </c>
    </row>
    <row r="1087" customFormat="false" ht="15" hidden="false" customHeight="true" outlineLevel="0" collapsed="false">
      <c r="A1087" s="1" t="s">
        <v>626</v>
      </c>
      <c r="B1087" s="1" t="s">
        <v>34</v>
      </c>
      <c r="C1087" s="1" t="s">
        <v>34</v>
      </c>
      <c r="D1087" s="1" t="s">
        <v>294</v>
      </c>
      <c r="E1087" s="62" t="n">
        <v>3765</v>
      </c>
      <c r="F1087" s="26" t="n">
        <v>0.229782928031525</v>
      </c>
      <c r="G1087" s="26" t="n">
        <v>865.132724</v>
      </c>
      <c r="H1087" s="1" t="s">
        <v>395</v>
      </c>
    </row>
    <row r="1088" customFormat="false" ht="15" hidden="false" customHeight="true" outlineLevel="0" collapsed="false">
      <c r="A1088" s="1" t="s">
        <v>626</v>
      </c>
      <c r="B1088" s="1" t="s">
        <v>34</v>
      </c>
      <c r="C1088" s="1" t="s">
        <v>34</v>
      </c>
      <c r="D1088" s="1" t="s">
        <v>291</v>
      </c>
      <c r="E1088" s="62" t="n">
        <v>6568</v>
      </c>
      <c r="F1088" s="26" t="n">
        <v>0.229782928031525</v>
      </c>
      <c r="G1088" s="26" t="n">
        <v>1509.214271</v>
      </c>
      <c r="H1088" s="1" t="s">
        <v>395</v>
      </c>
    </row>
    <row r="1089" customFormat="false" ht="15" hidden="false" customHeight="true" outlineLevel="0" collapsed="false">
      <c r="A1089" s="1" t="s">
        <v>626</v>
      </c>
      <c r="B1089" s="1" t="s">
        <v>34</v>
      </c>
      <c r="C1089" s="1" t="s">
        <v>34</v>
      </c>
      <c r="D1089" s="1" t="s">
        <v>286</v>
      </c>
      <c r="E1089" s="62" t="n">
        <v>4805</v>
      </c>
      <c r="F1089" s="26" t="n">
        <v>0.229782928031525</v>
      </c>
      <c r="G1089" s="26" t="n">
        <v>1104.106969</v>
      </c>
      <c r="H1089" s="1" t="s">
        <v>395</v>
      </c>
    </row>
    <row r="1090" customFormat="false" ht="15" hidden="false" customHeight="true" outlineLevel="0" collapsed="false">
      <c r="A1090" s="1" t="s">
        <v>626</v>
      </c>
      <c r="B1090" s="1" t="s">
        <v>34</v>
      </c>
      <c r="C1090" s="1" t="s">
        <v>34</v>
      </c>
      <c r="D1090" s="1" t="s">
        <v>283</v>
      </c>
      <c r="E1090" s="62" t="n">
        <v>4806</v>
      </c>
      <c r="F1090" s="26" t="n">
        <v>0.229782928031525</v>
      </c>
      <c r="G1090" s="26" t="n">
        <v>1104.336752</v>
      </c>
      <c r="H1090" s="1" t="s">
        <v>395</v>
      </c>
    </row>
    <row r="1091" customFormat="false" ht="15" hidden="false" customHeight="true" outlineLevel="0" collapsed="false">
      <c r="A1091" s="1" t="s">
        <v>589</v>
      </c>
      <c r="B1091" s="1" t="s">
        <v>35</v>
      </c>
      <c r="C1091" s="1" t="s">
        <v>35</v>
      </c>
      <c r="D1091" s="1" t="s">
        <v>288</v>
      </c>
      <c r="E1091" s="62" t="n">
        <v>6280</v>
      </c>
      <c r="F1091" s="26" t="n">
        <v>0.0855440852571775</v>
      </c>
      <c r="G1091" s="26" t="n">
        <v>537.216855415075</v>
      </c>
      <c r="H1091" s="1" t="s">
        <v>395</v>
      </c>
    </row>
    <row r="1092" customFormat="false" ht="15" hidden="false" customHeight="true" outlineLevel="0" collapsed="false">
      <c r="A1092" s="1" t="s">
        <v>589</v>
      </c>
      <c r="B1092" s="1" t="s">
        <v>35</v>
      </c>
      <c r="C1092" s="1" t="s">
        <v>35</v>
      </c>
      <c r="D1092" s="1" t="s">
        <v>285</v>
      </c>
      <c r="E1092" s="62" t="n">
        <v>14331</v>
      </c>
      <c r="F1092" s="26" t="n">
        <v>0.0855440852571775</v>
      </c>
      <c r="G1092" s="26" t="n">
        <v>1225.93228582061</v>
      </c>
      <c r="H1092" s="1" t="s">
        <v>395</v>
      </c>
    </row>
    <row r="1093" customFormat="false" ht="15" hidden="false" customHeight="true" outlineLevel="0" collapsed="false">
      <c r="A1093" s="1" t="s">
        <v>589</v>
      </c>
      <c r="B1093" s="1" t="s">
        <v>35</v>
      </c>
      <c r="C1093" s="1" t="s">
        <v>35</v>
      </c>
      <c r="D1093" s="1" t="s">
        <v>294</v>
      </c>
      <c r="E1093" s="62" t="n">
        <v>3650</v>
      </c>
      <c r="F1093" s="26" t="n">
        <v>0.0855440852571775</v>
      </c>
      <c r="G1093" s="26" t="n">
        <v>312.235911188698</v>
      </c>
      <c r="H1093" s="1" t="s">
        <v>395</v>
      </c>
    </row>
    <row r="1094" customFormat="false" ht="15" hidden="false" customHeight="true" outlineLevel="0" collapsed="false">
      <c r="A1094" s="1" t="s">
        <v>589</v>
      </c>
      <c r="B1094" s="1" t="s">
        <v>35</v>
      </c>
      <c r="C1094" s="1" t="s">
        <v>35</v>
      </c>
      <c r="D1094" s="1" t="s">
        <v>291</v>
      </c>
      <c r="E1094" s="62" t="n">
        <v>6396</v>
      </c>
      <c r="F1094" s="26" t="n">
        <v>0.0855440852571775</v>
      </c>
      <c r="G1094" s="26" t="n">
        <v>547.139969304907</v>
      </c>
      <c r="H1094" s="1" t="s">
        <v>395</v>
      </c>
    </row>
    <row r="1095" customFormat="false" ht="15" hidden="false" customHeight="true" outlineLevel="0" collapsed="false">
      <c r="A1095" s="1" t="s">
        <v>589</v>
      </c>
      <c r="B1095" s="1" t="s">
        <v>35</v>
      </c>
      <c r="C1095" s="1" t="s">
        <v>35</v>
      </c>
      <c r="D1095" s="1" t="s">
        <v>286</v>
      </c>
      <c r="E1095" s="62" t="n">
        <v>4730</v>
      </c>
      <c r="F1095" s="26" t="n">
        <v>0.0855440852571775</v>
      </c>
      <c r="G1095" s="26" t="n">
        <v>404.62352326645</v>
      </c>
      <c r="H1095" s="1" t="s">
        <v>395</v>
      </c>
    </row>
    <row r="1096" customFormat="false" ht="15" hidden="false" customHeight="true" outlineLevel="0" collapsed="false">
      <c r="A1096" s="1" t="s">
        <v>589</v>
      </c>
      <c r="B1096" s="1" t="s">
        <v>35</v>
      </c>
      <c r="C1096" s="1" t="s">
        <v>35</v>
      </c>
      <c r="D1096" s="1" t="s">
        <v>283</v>
      </c>
      <c r="E1096" s="62" t="n">
        <v>4782</v>
      </c>
      <c r="F1096" s="26" t="n">
        <v>0.0855440852571775</v>
      </c>
      <c r="G1096" s="26" t="n">
        <v>409.071815699823</v>
      </c>
      <c r="H1096" s="1" t="s">
        <v>395</v>
      </c>
    </row>
    <row r="1097" customFormat="false" ht="15" hidden="false" customHeight="true" outlineLevel="0" collapsed="false">
      <c r="A1097" s="1" t="s">
        <v>599</v>
      </c>
      <c r="B1097" s="1" t="s">
        <v>35</v>
      </c>
      <c r="C1097" s="1" t="s">
        <v>35</v>
      </c>
      <c r="D1097" s="1" t="s">
        <v>288</v>
      </c>
      <c r="E1097" s="62" t="n">
        <v>6445</v>
      </c>
      <c r="F1097" s="26" t="n">
        <v>0.0861250796795369</v>
      </c>
      <c r="G1097" s="26" t="n">
        <v>555.076138534615</v>
      </c>
      <c r="H1097" s="1" t="s">
        <v>395</v>
      </c>
    </row>
    <row r="1098" customFormat="false" ht="15" hidden="false" customHeight="true" outlineLevel="0" collapsed="false">
      <c r="A1098" s="1" t="s">
        <v>599</v>
      </c>
      <c r="B1098" s="1" t="s">
        <v>35</v>
      </c>
      <c r="C1098" s="1" t="s">
        <v>35</v>
      </c>
      <c r="D1098" s="1" t="s">
        <v>285</v>
      </c>
      <c r="E1098" s="62" t="n">
        <v>14441</v>
      </c>
      <c r="F1098" s="26" t="n">
        <v>0.0861250796795369</v>
      </c>
      <c r="G1098" s="26" t="n">
        <v>1243.73227565219</v>
      </c>
      <c r="H1098" s="1" t="s">
        <v>395</v>
      </c>
    </row>
    <row r="1099" customFormat="false" ht="15" hidden="false" customHeight="true" outlineLevel="0" collapsed="false">
      <c r="A1099" s="1" t="s">
        <v>599</v>
      </c>
      <c r="B1099" s="1" t="s">
        <v>35</v>
      </c>
      <c r="C1099" s="1" t="s">
        <v>35</v>
      </c>
      <c r="D1099" s="1" t="s">
        <v>294</v>
      </c>
      <c r="E1099" s="62" t="n">
        <v>3704</v>
      </c>
      <c r="F1099" s="26" t="n">
        <v>0.0861250796795369</v>
      </c>
      <c r="G1099" s="26" t="n">
        <v>319.007295133005</v>
      </c>
      <c r="H1099" s="1" t="s">
        <v>395</v>
      </c>
    </row>
    <row r="1100" customFormat="false" ht="15" hidden="false" customHeight="true" outlineLevel="0" collapsed="false">
      <c r="A1100" s="1" t="s">
        <v>599</v>
      </c>
      <c r="B1100" s="1" t="s">
        <v>35</v>
      </c>
      <c r="C1100" s="1" t="s">
        <v>35</v>
      </c>
      <c r="D1100" s="1" t="s">
        <v>291</v>
      </c>
      <c r="E1100" s="62" t="n">
        <v>6434</v>
      </c>
      <c r="F1100" s="26" t="n">
        <v>0.0861250796795369</v>
      </c>
      <c r="G1100" s="26" t="n">
        <v>554.12876265814</v>
      </c>
      <c r="H1100" s="1" t="s">
        <v>395</v>
      </c>
    </row>
    <row r="1101" customFormat="false" ht="15" hidden="false" customHeight="true" outlineLevel="0" collapsed="false">
      <c r="A1101" s="1" t="s">
        <v>599</v>
      </c>
      <c r="B1101" s="1" t="s">
        <v>35</v>
      </c>
      <c r="C1101" s="1" t="s">
        <v>35</v>
      </c>
      <c r="D1101" s="1" t="s">
        <v>286</v>
      </c>
      <c r="E1101" s="62" t="n">
        <v>4749</v>
      </c>
      <c r="F1101" s="26" t="n">
        <v>0.0861250796795369</v>
      </c>
      <c r="G1101" s="26" t="n">
        <v>409.008003398121</v>
      </c>
      <c r="H1101" s="1" t="s">
        <v>395</v>
      </c>
    </row>
    <row r="1102" customFormat="false" ht="15" hidden="false" customHeight="true" outlineLevel="0" collapsed="false">
      <c r="A1102" s="1" t="s">
        <v>599</v>
      </c>
      <c r="B1102" s="1" t="s">
        <v>35</v>
      </c>
      <c r="C1102" s="1" t="s">
        <v>35</v>
      </c>
      <c r="D1102" s="1" t="s">
        <v>283</v>
      </c>
      <c r="E1102" s="62" t="n">
        <v>4795</v>
      </c>
      <c r="F1102" s="26" t="n">
        <v>0.0861250796795369</v>
      </c>
      <c r="G1102" s="26" t="n">
        <v>412.96975706338</v>
      </c>
      <c r="H1102" s="1" t="s">
        <v>395</v>
      </c>
    </row>
    <row r="1103" customFormat="false" ht="15" hidden="false" customHeight="true" outlineLevel="0" collapsed="false">
      <c r="A1103" s="1" t="s">
        <v>626</v>
      </c>
      <c r="B1103" s="1" t="s">
        <v>35</v>
      </c>
      <c r="C1103" s="1" t="s">
        <v>35</v>
      </c>
      <c r="D1103" s="1" t="s">
        <v>288</v>
      </c>
      <c r="E1103" s="62" t="n">
        <v>6588</v>
      </c>
      <c r="F1103" s="26" t="n">
        <v>0.055610036180276</v>
      </c>
      <c r="G1103" s="26" t="n">
        <v>366.358918355658</v>
      </c>
      <c r="H1103" s="1" t="s">
        <v>395</v>
      </c>
    </row>
    <row r="1104" customFormat="false" ht="15" hidden="false" customHeight="true" outlineLevel="0" collapsed="false">
      <c r="A1104" s="1" t="s">
        <v>626</v>
      </c>
      <c r="B1104" s="1" t="s">
        <v>35</v>
      </c>
      <c r="C1104" s="1" t="s">
        <v>35</v>
      </c>
      <c r="D1104" s="1" t="s">
        <v>285</v>
      </c>
      <c r="E1104" s="62" t="n">
        <v>14689</v>
      </c>
      <c r="F1104" s="26" t="n">
        <v>0.055610036180276</v>
      </c>
      <c r="G1104" s="26" t="n">
        <v>816.855821452074</v>
      </c>
      <c r="H1104" s="1" t="s">
        <v>395</v>
      </c>
    </row>
    <row r="1105" customFormat="false" ht="15" hidden="false" customHeight="true" outlineLevel="0" collapsed="false">
      <c r="A1105" s="1" t="s">
        <v>626</v>
      </c>
      <c r="B1105" s="1" t="s">
        <v>35</v>
      </c>
      <c r="C1105" s="1" t="s">
        <v>35</v>
      </c>
      <c r="D1105" s="1" t="s">
        <v>294</v>
      </c>
      <c r="E1105" s="62" t="n">
        <v>3765</v>
      </c>
      <c r="F1105" s="26" t="n">
        <v>0.055610036180276</v>
      </c>
      <c r="G1105" s="26" t="n">
        <v>209.371786218739</v>
      </c>
      <c r="H1105" s="1" t="s">
        <v>395</v>
      </c>
    </row>
    <row r="1106" customFormat="false" ht="15" hidden="false" customHeight="true" outlineLevel="0" collapsed="false">
      <c r="A1106" s="1" t="s">
        <v>626</v>
      </c>
      <c r="B1106" s="1" t="s">
        <v>35</v>
      </c>
      <c r="C1106" s="1" t="s">
        <v>35</v>
      </c>
      <c r="D1106" s="1" t="s">
        <v>291</v>
      </c>
      <c r="E1106" s="62" t="n">
        <v>6568</v>
      </c>
      <c r="F1106" s="26" t="n">
        <v>0.055610036180276</v>
      </c>
      <c r="G1106" s="26" t="n">
        <v>365.246717632053</v>
      </c>
      <c r="H1106" s="1" t="s">
        <v>395</v>
      </c>
    </row>
    <row r="1107" customFormat="false" ht="15" hidden="false" customHeight="true" outlineLevel="0" collapsed="false">
      <c r="A1107" s="1" t="s">
        <v>626</v>
      </c>
      <c r="B1107" s="1" t="s">
        <v>35</v>
      </c>
      <c r="C1107" s="1" t="s">
        <v>35</v>
      </c>
      <c r="D1107" s="1" t="s">
        <v>286</v>
      </c>
      <c r="E1107" s="62" t="n">
        <v>4805</v>
      </c>
      <c r="F1107" s="26" t="n">
        <v>0.055610036180276</v>
      </c>
      <c r="G1107" s="26" t="n">
        <v>267.206223846226</v>
      </c>
      <c r="H1107" s="1" t="s">
        <v>395</v>
      </c>
    </row>
    <row r="1108" customFormat="false" ht="15" hidden="false" customHeight="true" outlineLevel="0" collapsed="false">
      <c r="A1108" s="1" t="s">
        <v>626</v>
      </c>
      <c r="B1108" s="1" t="s">
        <v>35</v>
      </c>
      <c r="C1108" s="1" t="s">
        <v>35</v>
      </c>
      <c r="D1108" s="1" t="s">
        <v>283</v>
      </c>
      <c r="E1108" s="62" t="n">
        <v>4806</v>
      </c>
      <c r="F1108" s="26" t="n">
        <v>0.055610036180276</v>
      </c>
      <c r="G1108" s="26" t="n">
        <v>267.261833882406</v>
      </c>
      <c r="H1108" s="1" t="s">
        <v>395</v>
      </c>
    </row>
    <row r="1109" customFormat="false" ht="15" hidden="false" customHeight="true" outlineLevel="0" collapsed="false">
      <c r="A1109" s="1" t="s">
        <v>589</v>
      </c>
      <c r="B1109" s="1" t="s">
        <v>569</v>
      </c>
      <c r="C1109" s="1" t="s">
        <v>570</v>
      </c>
      <c r="D1109" s="1" t="s">
        <v>288</v>
      </c>
      <c r="E1109" s="62" t="n">
        <v>6280</v>
      </c>
      <c r="F1109" s="26" t="n">
        <v>2.35573300476439</v>
      </c>
      <c r="G1109" s="26" t="n">
        <v>14794.00327</v>
      </c>
      <c r="H1109" s="1" t="s">
        <v>395</v>
      </c>
    </row>
    <row r="1110" customFormat="false" ht="15" hidden="false" customHeight="true" outlineLevel="0" collapsed="false">
      <c r="A1110" s="1" t="s">
        <v>589</v>
      </c>
      <c r="B1110" s="1" t="s">
        <v>569</v>
      </c>
      <c r="C1110" s="1" t="s">
        <v>570</v>
      </c>
      <c r="D1110" s="1" t="s">
        <v>285</v>
      </c>
      <c r="E1110" s="62" t="n">
        <v>14331</v>
      </c>
      <c r="F1110" s="26" t="n">
        <v>2.35573300476439</v>
      </c>
      <c r="G1110" s="26" t="n">
        <v>33760.009691</v>
      </c>
      <c r="H1110" s="1" t="s">
        <v>395</v>
      </c>
    </row>
    <row r="1111" customFormat="false" ht="15" hidden="false" customHeight="true" outlineLevel="0" collapsed="false">
      <c r="A1111" s="1" t="s">
        <v>589</v>
      </c>
      <c r="B1111" s="1" t="s">
        <v>569</v>
      </c>
      <c r="C1111" s="1" t="s">
        <v>570</v>
      </c>
      <c r="D1111" s="1" t="s">
        <v>294</v>
      </c>
      <c r="E1111" s="62" t="n">
        <v>3650</v>
      </c>
      <c r="F1111" s="26" t="n">
        <v>2.35573300476439</v>
      </c>
      <c r="G1111" s="26" t="n">
        <v>8598.425467</v>
      </c>
      <c r="H1111" s="1" t="s">
        <v>395</v>
      </c>
    </row>
    <row r="1112" customFormat="false" ht="15" hidden="false" customHeight="true" outlineLevel="0" collapsed="false">
      <c r="A1112" s="1" t="s">
        <v>589</v>
      </c>
      <c r="B1112" s="1" t="s">
        <v>569</v>
      </c>
      <c r="C1112" s="1" t="s">
        <v>570</v>
      </c>
      <c r="D1112" s="1" t="s">
        <v>291</v>
      </c>
      <c r="E1112" s="62" t="n">
        <v>6396</v>
      </c>
      <c r="F1112" s="26" t="n">
        <v>2.35573300476439</v>
      </c>
      <c r="G1112" s="26" t="n">
        <v>15067.268298</v>
      </c>
      <c r="H1112" s="1" t="s">
        <v>395</v>
      </c>
    </row>
    <row r="1113" customFormat="false" ht="15" hidden="false" customHeight="true" outlineLevel="0" collapsed="false">
      <c r="A1113" s="1" t="s">
        <v>589</v>
      </c>
      <c r="B1113" s="1" t="s">
        <v>569</v>
      </c>
      <c r="C1113" s="1" t="s">
        <v>570</v>
      </c>
      <c r="D1113" s="1" t="s">
        <v>286</v>
      </c>
      <c r="E1113" s="62" t="n">
        <v>4730</v>
      </c>
      <c r="F1113" s="26" t="n">
        <v>2.35573300476439</v>
      </c>
      <c r="G1113" s="26" t="n">
        <v>11142.617113</v>
      </c>
      <c r="H1113" s="1" t="s">
        <v>395</v>
      </c>
    </row>
    <row r="1114" customFormat="false" ht="15" hidden="false" customHeight="true" outlineLevel="0" collapsed="false">
      <c r="A1114" s="1" t="s">
        <v>589</v>
      </c>
      <c r="B1114" s="1" t="s">
        <v>569</v>
      </c>
      <c r="C1114" s="1" t="s">
        <v>570</v>
      </c>
      <c r="D1114" s="1" t="s">
        <v>283</v>
      </c>
      <c r="E1114" s="62" t="n">
        <v>4782</v>
      </c>
      <c r="F1114" s="26" t="n">
        <v>2.35573300476439</v>
      </c>
      <c r="G1114" s="26" t="n">
        <v>11265.115229</v>
      </c>
      <c r="H1114" s="1" t="s">
        <v>395</v>
      </c>
    </row>
    <row r="1115" customFormat="false" ht="15" hidden="false" customHeight="true" outlineLevel="0" collapsed="false">
      <c r="A1115" s="1" t="s">
        <v>599</v>
      </c>
      <c r="B1115" s="1" t="s">
        <v>569</v>
      </c>
      <c r="C1115" s="1" t="s">
        <v>570</v>
      </c>
      <c r="D1115" s="1" t="s">
        <v>288</v>
      </c>
      <c r="E1115" s="62" t="n">
        <v>6445</v>
      </c>
      <c r="F1115" s="26" t="n">
        <v>2.99991610765306</v>
      </c>
      <c r="G1115" s="26" t="n">
        <v>19334.459314</v>
      </c>
      <c r="H1115" s="1" t="s">
        <v>395</v>
      </c>
    </row>
    <row r="1116" customFormat="false" ht="15" hidden="false" customHeight="true" outlineLevel="0" collapsed="false">
      <c r="A1116" s="1" t="s">
        <v>599</v>
      </c>
      <c r="B1116" s="1" t="s">
        <v>569</v>
      </c>
      <c r="C1116" s="1" t="s">
        <v>570</v>
      </c>
      <c r="D1116" s="1" t="s">
        <v>285</v>
      </c>
      <c r="E1116" s="62" t="n">
        <v>14441</v>
      </c>
      <c r="F1116" s="26" t="n">
        <v>2.99991610765306</v>
      </c>
      <c r="G1116" s="26" t="n">
        <v>43321.788511</v>
      </c>
      <c r="H1116" s="1" t="s">
        <v>395</v>
      </c>
    </row>
    <row r="1117" customFormat="false" ht="15" hidden="false" customHeight="true" outlineLevel="0" collapsed="false">
      <c r="A1117" s="1" t="s">
        <v>599</v>
      </c>
      <c r="B1117" s="1" t="s">
        <v>569</v>
      </c>
      <c r="C1117" s="1" t="s">
        <v>570</v>
      </c>
      <c r="D1117" s="1" t="s">
        <v>294</v>
      </c>
      <c r="E1117" s="62" t="n">
        <v>3704</v>
      </c>
      <c r="F1117" s="26" t="n">
        <v>2.99991610765306</v>
      </c>
      <c r="G1117" s="26" t="n">
        <v>11111.689263</v>
      </c>
      <c r="H1117" s="1" t="s">
        <v>395</v>
      </c>
    </row>
    <row r="1118" customFormat="false" ht="15" hidden="false" customHeight="true" outlineLevel="0" collapsed="false">
      <c r="A1118" s="1" t="s">
        <v>599</v>
      </c>
      <c r="B1118" s="1" t="s">
        <v>569</v>
      </c>
      <c r="C1118" s="1" t="s">
        <v>570</v>
      </c>
      <c r="D1118" s="1" t="s">
        <v>291</v>
      </c>
      <c r="E1118" s="62" t="n">
        <v>6434</v>
      </c>
      <c r="F1118" s="26" t="n">
        <v>2.99991610765306</v>
      </c>
      <c r="G1118" s="26" t="n">
        <v>19301.460237</v>
      </c>
      <c r="H1118" s="1" t="s">
        <v>395</v>
      </c>
    </row>
    <row r="1119" customFormat="false" ht="15" hidden="false" customHeight="true" outlineLevel="0" collapsed="false">
      <c r="A1119" s="1" t="s">
        <v>599</v>
      </c>
      <c r="B1119" s="1" t="s">
        <v>569</v>
      </c>
      <c r="C1119" s="1" t="s">
        <v>570</v>
      </c>
      <c r="D1119" s="1" t="s">
        <v>286</v>
      </c>
      <c r="E1119" s="62" t="n">
        <v>4749</v>
      </c>
      <c r="F1119" s="26" t="n">
        <v>2.99991610765306</v>
      </c>
      <c r="G1119" s="26" t="n">
        <v>14246.601595</v>
      </c>
      <c r="H1119" s="1" t="s">
        <v>395</v>
      </c>
    </row>
    <row r="1120" customFormat="false" ht="15" hidden="false" customHeight="true" outlineLevel="0" collapsed="false">
      <c r="A1120" s="1" t="s">
        <v>599</v>
      </c>
      <c r="B1120" s="1" t="s">
        <v>569</v>
      </c>
      <c r="C1120" s="1" t="s">
        <v>570</v>
      </c>
      <c r="D1120" s="1" t="s">
        <v>283</v>
      </c>
      <c r="E1120" s="62" t="n">
        <v>4795</v>
      </c>
      <c r="F1120" s="26" t="n">
        <v>2.99991610765306</v>
      </c>
      <c r="G1120" s="26" t="n">
        <v>14384.597736</v>
      </c>
      <c r="H1120" s="1" t="s">
        <v>395</v>
      </c>
    </row>
    <row r="1121" customFormat="false" ht="15" hidden="false" customHeight="true" outlineLevel="0" collapsed="false">
      <c r="A1121" s="1" t="s">
        <v>626</v>
      </c>
      <c r="B1121" s="1" t="s">
        <v>569</v>
      </c>
      <c r="C1121" s="1" t="s">
        <v>570</v>
      </c>
      <c r="D1121" s="1" t="s">
        <v>288</v>
      </c>
      <c r="E1121" s="62" t="n">
        <v>6588</v>
      </c>
      <c r="F1121" s="26" t="n">
        <v>3.18253026831306</v>
      </c>
      <c r="G1121" s="26" t="n">
        <v>20966.509408</v>
      </c>
      <c r="H1121" s="1" t="s">
        <v>395</v>
      </c>
    </row>
    <row r="1122" customFormat="false" ht="15" hidden="false" customHeight="true" outlineLevel="0" collapsed="false">
      <c r="A1122" s="1" t="s">
        <v>626</v>
      </c>
      <c r="B1122" s="1" t="s">
        <v>569</v>
      </c>
      <c r="C1122" s="1" t="s">
        <v>570</v>
      </c>
      <c r="D1122" s="1" t="s">
        <v>285</v>
      </c>
      <c r="E1122" s="62" t="n">
        <v>14689</v>
      </c>
      <c r="F1122" s="26" t="n">
        <v>3.18253026831306</v>
      </c>
      <c r="G1122" s="26" t="n">
        <v>46748.187111</v>
      </c>
      <c r="H1122" s="1" t="s">
        <v>395</v>
      </c>
    </row>
    <row r="1123" customFormat="false" ht="15" hidden="false" customHeight="true" outlineLevel="0" collapsed="false">
      <c r="A1123" s="1" t="s">
        <v>626</v>
      </c>
      <c r="B1123" s="1" t="s">
        <v>569</v>
      </c>
      <c r="C1123" s="1" t="s">
        <v>570</v>
      </c>
      <c r="D1123" s="1" t="s">
        <v>294</v>
      </c>
      <c r="E1123" s="62" t="n">
        <v>3765</v>
      </c>
      <c r="F1123" s="26" t="n">
        <v>3.18253026831306</v>
      </c>
      <c r="G1123" s="26" t="n">
        <v>11982.22646</v>
      </c>
      <c r="H1123" s="1" t="s">
        <v>395</v>
      </c>
    </row>
    <row r="1124" customFormat="false" ht="15" hidden="false" customHeight="true" outlineLevel="0" collapsed="false">
      <c r="A1124" s="1" t="s">
        <v>626</v>
      </c>
      <c r="B1124" s="1" t="s">
        <v>569</v>
      </c>
      <c r="C1124" s="1" t="s">
        <v>570</v>
      </c>
      <c r="D1124" s="1" t="s">
        <v>291</v>
      </c>
      <c r="E1124" s="62" t="n">
        <v>6568</v>
      </c>
      <c r="F1124" s="26" t="n">
        <v>3.18253026831306</v>
      </c>
      <c r="G1124" s="26" t="n">
        <v>20902.858802</v>
      </c>
      <c r="H1124" s="1" t="s">
        <v>395</v>
      </c>
    </row>
    <row r="1125" customFormat="false" ht="15" hidden="false" customHeight="true" outlineLevel="0" collapsed="false">
      <c r="A1125" s="1" t="s">
        <v>626</v>
      </c>
      <c r="B1125" s="1" t="s">
        <v>569</v>
      </c>
      <c r="C1125" s="1" t="s">
        <v>570</v>
      </c>
      <c r="D1125" s="1" t="s">
        <v>286</v>
      </c>
      <c r="E1125" s="62" t="n">
        <v>4805</v>
      </c>
      <c r="F1125" s="26" t="n">
        <v>3.18253026831306</v>
      </c>
      <c r="G1125" s="26" t="n">
        <v>15292.057939</v>
      </c>
      <c r="H1125" s="1" t="s">
        <v>395</v>
      </c>
    </row>
    <row r="1126" customFormat="false" ht="15" hidden="false" customHeight="true" outlineLevel="0" collapsed="false">
      <c r="A1126" s="1" t="s">
        <v>626</v>
      </c>
      <c r="B1126" s="1" t="s">
        <v>569</v>
      </c>
      <c r="C1126" s="1" t="s">
        <v>570</v>
      </c>
      <c r="D1126" s="1" t="s">
        <v>283</v>
      </c>
      <c r="E1126" s="62" t="n">
        <v>4806</v>
      </c>
      <c r="F1126" s="26" t="n">
        <v>3.18253026831306</v>
      </c>
      <c r="G1126" s="26" t="n">
        <v>15295.24047</v>
      </c>
      <c r="H1126" s="1" t="s">
        <v>395</v>
      </c>
    </row>
    <row r="1127" customFormat="false" ht="15" hidden="false" customHeight="true" outlineLevel="0" collapsed="false">
      <c r="A1127" s="1" t="s">
        <v>589</v>
      </c>
      <c r="B1127" s="1" t="s">
        <v>141</v>
      </c>
      <c r="C1127" s="1" t="s">
        <v>473</v>
      </c>
      <c r="D1127" s="1" t="s">
        <v>288</v>
      </c>
      <c r="E1127" s="62" t="n">
        <v>6280</v>
      </c>
      <c r="F1127" s="26" t="n">
        <v>0.0959225828032635</v>
      </c>
      <c r="G1127" s="26" t="n">
        <v>602.39382</v>
      </c>
      <c r="H1127" s="1" t="s">
        <v>395</v>
      </c>
    </row>
    <row r="1128" customFormat="false" ht="15" hidden="false" customHeight="true" outlineLevel="0" collapsed="false">
      <c r="A1128" s="1" t="s">
        <v>589</v>
      </c>
      <c r="B1128" s="1" t="s">
        <v>141</v>
      </c>
      <c r="C1128" s="1" t="s">
        <v>473</v>
      </c>
      <c r="D1128" s="1" t="s">
        <v>285</v>
      </c>
      <c r="E1128" s="62" t="n">
        <v>14331</v>
      </c>
      <c r="F1128" s="26" t="n">
        <v>0.0959225828032635</v>
      </c>
      <c r="G1128" s="26" t="n">
        <v>1374.666534</v>
      </c>
      <c r="H1128" s="1" t="s">
        <v>395</v>
      </c>
    </row>
    <row r="1129" customFormat="false" ht="15" hidden="false" customHeight="true" outlineLevel="0" collapsed="false">
      <c r="A1129" s="1" t="s">
        <v>589</v>
      </c>
      <c r="B1129" s="1" t="s">
        <v>141</v>
      </c>
      <c r="C1129" s="1" t="s">
        <v>473</v>
      </c>
      <c r="D1129" s="1" t="s">
        <v>294</v>
      </c>
      <c r="E1129" s="62" t="n">
        <v>3650</v>
      </c>
      <c r="F1129" s="26" t="n">
        <v>0.0959225828032635</v>
      </c>
      <c r="G1129" s="26" t="n">
        <v>350.117427</v>
      </c>
      <c r="H1129" s="1" t="s">
        <v>395</v>
      </c>
    </row>
    <row r="1130" customFormat="false" ht="15" hidden="false" customHeight="true" outlineLevel="0" collapsed="false">
      <c r="A1130" s="1" t="s">
        <v>589</v>
      </c>
      <c r="B1130" s="1" t="s">
        <v>141</v>
      </c>
      <c r="C1130" s="1" t="s">
        <v>473</v>
      </c>
      <c r="D1130" s="1" t="s">
        <v>291</v>
      </c>
      <c r="E1130" s="62" t="n">
        <v>6396</v>
      </c>
      <c r="F1130" s="26" t="n">
        <v>0.0959225828032635</v>
      </c>
      <c r="G1130" s="26" t="n">
        <v>613.52084</v>
      </c>
      <c r="H1130" s="1" t="s">
        <v>395</v>
      </c>
    </row>
    <row r="1131" customFormat="false" ht="15" hidden="false" customHeight="true" outlineLevel="0" collapsed="false">
      <c r="A1131" s="1" t="s">
        <v>589</v>
      </c>
      <c r="B1131" s="1" t="s">
        <v>141</v>
      </c>
      <c r="C1131" s="1" t="s">
        <v>473</v>
      </c>
      <c r="D1131" s="1" t="s">
        <v>286</v>
      </c>
      <c r="E1131" s="62" t="n">
        <v>4730</v>
      </c>
      <c r="F1131" s="26" t="n">
        <v>0.0959225828032635</v>
      </c>
      <c r="G1131" s="26" t="n">
        <v>453.713817</v>
      </c>
      <c r="H1131" s="1" t="s">
        <v>395</v>
      </c>
    </row>
    <row r="1132" customFormat="false" ht="15" hidden="false" customHeight="true" outlineLevel="0" collapsed="false">
      <c r="A1132" s="1" t="s">
        <v>589</v>
      </c>
      <c r="B1132" s="1" t="s">
        <v>141</v>
      </c>
      <c r="C1132" s="1" t="s">
        <v>473</v>
      </c>
      <c r="D1132" s="1" t="s">
        <v>283</v>
      </c>
      <c r="E1132" s="62" t="n">
        <v>4782</v>
      </c>
      <c r="F1132" s="26" t="n">
        <v>0.0959225828032635</v>
      </c>
      <c r="G1132" s="26" t="n">
        <v>458.701791</v>
      </c>
      <c r="H1132" s="1" t="s">
        <v>395</v>
      </c>
    </row>
    <row r="1133" customFormat="false" ht="15" hidden="false" customHeight="true" outlineLevel="0" collapsed="false">
      <c r="A1133" s="1" t="s">
        <v>599</v>
      </c>
      <c r="B1133" s="1" t="s">
        <v>141</v>
      </c>
      <c r="C1133" s="1" t="s">
        <v>473</v>
      </c>
      <c r="D1133" s="1" t="s">
        <v>288</v>
      </c>
      <c r="E1133" s="62" t="n">
        <v>6445</v>
      </c>
      <c r="F1133" s="26" t="n">
        <v>0.105895207936646</v>
      </c>
      <c r="G1133" s="26" t="n">
        <v>682.494615</v>
      </c>
      <c r="H1133" s="1" t="s">
        <v>395</v>
      </c>
    </row>
    <row r="1134" customFormat="false" ht="15" hidden="false" customHeight="true" outlineLevel="0" collapsed="false">
      <c r="A1134" s="1" t="s">
        <v>599</v>
      </c>
      <c r="B1134" s="1" t="s">
        <v>141</v>
      </c>
      <c r="C1134" s="1" t="s">
        <v>473</v>
      </c>
      <c r="D1134" s="1" t="s">
        <v>285</v>
      </c>
      <c r="E1134" s="62" t="n">
        <v>14441</v>
      </c>
      <c r="F1134" s="26" t="n">
        <v>0.105895207936646</v>
      </c>
      <c r="G1134" s="26" t="n">
        <v>1529.232698</v>
      </c>
      <c r="H1134" s="1" t="s">
        <v>395</v>
      </c>
    </row>
    <row r="1135" customFormat="false" ht="15" hidden="false" customHeight="true" outlineLevel="0" collapsed="false">
      <c r="A1135" s="1" t="s">
        <v>599</v>
      </c>
      <c r="B1135" s="1" t="s">
        <v>141</v>
      </c>
      <c r="C1135" s="1" t="s">
        <v>473</v>
      </c>
      <c r="D1135" s="1" t="s">
        <v>294</v>
      </c>
      <c r="E1135" s="62" t="n">
        <v>3704</v>
      </c>
      <c r="F1135" s="26" t="n">
        <v>0.105895207936646</v>
      </c>
      <c r="G1135" s="26" t="n">
        <v>392.23585</v>
      </c>
      <c r="H1135" s="1" t="s">
        <v>395</v>
      </c>
    </row>
    <row r="1136" customFormat="false" ht="15" hidden="false" customHeight="true" outlineLevel="0" collapsed="false">
      <c r="A1136" s="1" t="s">
        <v>599</v>
      </c>
      <c r="B1136" s="1" t="s">
        <v>141</v>
      </c>
      <c r="C1136" s="1" t="s">
        <v>473</v>
      </c>
      <c r="D1136" s="1" t="s">
        <v>291</v>
      </c>
      <c r="E1136" s="62" t="n">
        <v>6434</v>
      </c>
      <c r="F1136" s="26" t="n">
        <v>0.105895207936646</v>
      </c>
      <c r="G1136" s="26" t="n">
        <v>681.329768</v>
      </c>
      <c r="H1136" s="1" t="s">
        <v>395</v>
      </c>
    </row>
    <row r="1137" customFormat="false" ht="15" hidden="false" customHeight="true" outlineLevel="0" collapsed="false">
      <c r="A1137" s="1" t="s">
        <v>599</v>
      </c>
      <c r="B1137" s="1" t="s">
        <v>141</v>
      </c>
      <c r="C1137" s="1" t="s">
        <v>473</v>
      </c>
      <c r="D1137" s="1" t="s">
        <v>286</v>
      </c>
      <c r="E1137" s="62" t="n">
        <v>4749</v>
      </c>
      <c r="F1137" s="26" t="n">
        <v>0.105895207936646</v>
      </c>
      <c r="G1137" s="26" t="n">
        <v>502.896342</v>
      </c>
      <c r="H1137" s="1" t="s">
        <v>395</v>
      </c>
    </row>
    <row r="1138" customFormat="false" ht="15" hidden="false" customHeight="true" outlineLevel="0" collapsed="false">
      <c r="A1138" s="1" t="s">
        <v>599</v>
      </c>
      <c r="B1138" s="1" t="s">
        <v>141</v>
      </c>
      <c r="C1138" s="1" t="s">
        <v>473</v>
      </c>
      <c r="D1138" s="1" t="s">
        <v>283</v>
      </c>
      <c r="E1138" s="62" t="n">
        <v>4795</v>
      </c>
      <c r="F1138" s="26" t="n">
        <v>0.105895207936646</v>
      </c>
      <c r="G1138" s="26" t="n">
        <v>507.767522</v>
      </c>
      <c r="H1138" s="1" t="s">
        <v>395</v>
      </c>
    </row>
    <row r="1139" customFormat="false" ht="15" hidden="false" customHeight="true" outlineLevel="0" collapsed="false">
      <c r="A1139" s="1" t="s">
        <v>626</v>
      </c>
      <c r="B1139" s="1" t="s">
        <v>141</v>
      </c>
      <c r="C1139" s="1" t="s">
        <v>473</v>
      </c>
      <c r="D1139" s="1" t="s">
        <v>288</v>
      </c>
      <c r="E1139" s="62" t="n">
        <v>6588</v>
      </c>
      <c r="F1139" s="26" t="n">
        <v>0.101057218436555</v>
      </c>
      <c r="G1139" s="26" t="n">
        <v>665.764955</v>
      </c>
      <c r="H1139" s="1" t="s">
        <v>395</v>
      </c>
    </row>
    <row r="1140" customFormat="false" ht="15" hidden="false" customHeight="true" outlineLevel="0" collapsed="false">
      <c r="A1140" s="1" t="s">
        <v>626</v>
      </c>
      <c r="B1140" s="1" t="s">
        <v>141</v>
      </c>
      <c r="C1140" s="1" t="s">
        <v>473</v>
      </c>
      <c r="D1140" s="1" t="s">
        <v>285</v>
      </c>
      <c r="E1140" s="62" t="n">
        <v>14689</v>
      </c>
      <c r="F1140" s="26" t="n">
        <v>0.101057218436555</v>
      </c>
      <c r="G1140" s="26" t="n">
        <v>1484.429482</v>
      </c>
      <c r="H1140" s="1" t="s">
        <v>395</v>
      </c>
    </row>
    <row r="1141" customFormat="false" ht="15" hidden="false" customHeight="true" outlineLevel="0" collapsed="false">
      <c r="A1141" s="1" t="s">
        <v>626</v>
      </c>
      <c r="B1141" s="1" t="s">
        <v>141</v>
      </c>
      <c r="C1141" s="1" t="s">
        <v>473</v>
      </c>
      <c r="D1141" s="1" t="s">
        <v>294</v>
      </c>
      <c r="E1141" s="62" t="n">
        <v>3765</v>
      </c>
      <c r="F1141" s="26" t="n">
        <v>0.101057218436555</v>
      </c>
      <c r="G1141" s="26" t="n">
        <v>380.480427</v>
      </c>
      <c r="H1141" s="1" t="s">
        <v>395</v>
      </c>
    </row>
    <row r="1142" customFormat="false" ht="15" hidden="false" customHeight="true" outlineLevel="0" collapsed="false">
      <c r="A1142" s="1" t="s">
        <v>626</v>
      </c>
      <c r="B1142" s="1" t="s">
        <v>141</v>
      </c>
      <c r="C1142" s="1" t="s">
        <v>473</v>
      </c>
      <c r="D1142" s="1" t="s">
        <v>291</v>
      </c>
      <c r="E1142" s="62" t="n">
        <v>6568</v>
      </c>
      <c r="F1142" s="26" t="n">
        <v>0.101057218436555</v>
      </c>
      <c r="G1142" s="26" t="n">
        <v>663.743811</v>
      </c>
      <c r="H1142" s="1" t="s">
        <v>395</v>
      </c>
    </row>
    <row r="1143" customFormat="false" ht="15" hidden="false" customHeight="true" outlineLevel="0" collapsed="false">
      <c r="A1143" s="1" t="s">
        <v>626</v>
      </c>
      <c r="B1143" s="1" t="s">
        <v>141</v>
      </c>
      <c r="C1143" s="1" t="s">
        <v>473</v>
      </c>
      <c r="D1143" s="1" t="s">
        <v>286</v>
      </c>
      <c r="E1143" s="62" t="n">
        <v>4805</v>
      </c>
      <c r="F1143" s="26" t="n">
        <v>0.101057218436555</v>
      </c>
      <c r="G1143" s="26" t="n">
        <v>485.579935</v>
      </c>
      <c r="H1143" s="1" t="s">
        <v>395</v>
      </c>
    </row>
    <row r="1144" customFormat="false" ht="15" hidden="false" customHeight="true" outlineLevel="0" collapsed="false">
      <c r="A1144" s="1" t="s">
        <v>626</v>
      </c>
      <c r="B1144" s="1" t="s">
        <v>141</v>
      </c>
      <c r="C1144" s="1" t="s">
        <v>473</v>
      </c>
      <c r="D1144" s="1" t="s">
        <v>283</v>
      </c>
      <c r="E1144" s="62" t="n">
        <v>4806</v>
      </c>
      <c r="F1144" s="26" t="n">
        <v>0.101057218436555</v>
      </c>
      <c r="G1144" s="26" t="n">
        <v>485.680992</v>
      </c>
      <c r="H1144" s="1" t="s">
        <v>395</v>
      </c>
    </row>
    <row r="1145" customFormat="false" ht="15" hidden="false" customHeight="true" outlineLevel="0" collapsed="false">
      <c r="A1145" s="1" t="s">
        <v>589</v>
      </c>
      <c r="B1145" s="1" t="s">
        <v>40</v>
      </c>
      <c r="C1145" s="1" t="s">
        <v>40</v>
      </c>
      <c r="D1145" s="1" t="s">
        <v>288</v>
      </c>
      <c r="E1145" s="62" t="n">
        <v>6280</v>
      </c>
      <c r="F1145" s="26" t="n">
        <v>0.142966123730576</v>
      </c>
      <c r="G1145" s="26" t="n">
        <v>897.827257</v>
      </c>
      <c r="H1145" s="1" t="s">
        <v>395</v>
      </c>
    </row>
    <row r="1146" customFormat="false" ht="15" hidden="false" customHeight="true" outlineLevel="0" collapsed="false">
      <c r="A1146" s="1" t="s">
        <v>589</v>
      </c>
      <c r="B1146" s="1" t="s">
        <v>40</v>
      </c>
      <c r="C1146" s="1" t="s">
        <v>40</v>
      </c>
      <c r="D1146" s="1" t="s">
        <v>285</v>
      </c>
      <c r="E1146" s="62" t="n">
        <v>14331</v>
      </c>
      <c r="F1146" s="26" t="n">
        <v>0.142966123730576</v>
      </c>
      <c r="G1146" s="26" t="n">
        <v>2048.847519</v>
      </c>
      <c r="H1146" s="1" t="s">
        <v>395</v>
      </c>
    </row>
    <row r="1147" customFormat="false" ht="15" hidden="false" customHeight="true" outlineLevel="0" collapsed="false">
      <c r="A1147" s="1" t="s">
        <v>589</v>
      </c>
      <c r="B1147" s="1" t="s">
        <v>40</v>
      </c>
      <c r="C1147" s="1" t="s">
        <v>40</v>
      </c>
      <c r="D1147" s="1" t="s">
        <v>294</v>
      </c>
      <c r="E1147" s="62" t="n">
        <v>3650</v>
      </c>
      <c r="F1147" s="26" t="n">
        <v>0.142966123730576</v>
      </c>
      <c r="G1147" s="26" t="n">
        <v>521.826352</v>
      </c>
      <c r="H1147" s="1" t="s">
        <v>395</v>
      </c>
    </row>
    <row r="1148" customFormat="false" ht="15" hidden="false" customHeight="true" outlineLevel="0" collapsed="false">
      <c r="A1148" s="1" t="s">
        <v>589</v>
      </c>
      <c r="B1148" s="1" t="s">
        <v>40</v>
      </c>
      <c r="C1148" s="1" t="s">
        <v>40</v>
      </c>
      <c r="D1148" s="1" t="s">
        <v>291</v>
      </c>
      <c r="E1148" s="62" t="n">
        <v>6396</v>
      </c>
      <c r="F1148" s="26" t="n">
        <v>0.142966123730576</v>
      </c>
      <c r="G1148" s="26" t="n">
        <v>914.411327</v>
      </c>
      <c r="H1148" s="1" t="s">
        <v>395</v>
      </c>
    </row>
    <row r="1149" customFormat="false" ht="15" hidden="false" customHeight="true" outlineLevel="0" collapsed="false">
      <c r="A1149" s="1" t="s">
        <v>589</v>
      </c>
      <c r="B1149" s="1" t="s">
        <v>40</v>
      </c>
      <c r="C1149" s="1" t="s">
        <v>40</v>
      </c>
      <c r="D1149" s="1" t="s">
        <v>286</v>
      </c>
      <c r="E1149" s="62" t="n">
        <v>4730</v>
      </c>
      <c r="F1149" s="26" t="n">
        <v>0.142966123730576</v>
      </c>
      <c r="G1149" s="26" t="n">
        <v>676.229765</v>
      </c>
      <c r="H1149" s="1" t="s">
        <v>395</v>
      </c>
    </row>
    <row r="1150" customFormat="false" ht="15" hidden="false" customHeight="true" outlineLevel="0" collapsed="false">
      <c r="A1150" s="1" t="s">
        <v>589</v>
      </c>
      <c r="B1150" s="1" t="s">
        <v>40</v>
      </c>
      <c r="C1150" s="1" t="s">
        <v>40</v>
      </c>
      <c r="D1150" s="1" t="s">
        <v>283</v>
      </c>
      <c r="E1150" s="62" t="n">
        <v>4782</v>
      </c>
      <c r="F1150" s="26" t="n">
        <v>0.142966123730576</v>
      </c>
      <c r="G1150" s="26" t="n">
        <v>683.664004</v>
      </c>
      <c r="H1150" s="1" t="s">
        <v>395</v>
      </c>
    </row>
    <row r="1151" customFormat="false" ht="15" hidden="false" customHeight="true" outlineLevel="0" collapsed="false">
      <c r="A1151" s="1" t="s">
        <v>599</v>
      </c>
      <c r="B1151" s="1" t="s">
        <v>40</v>
      </c>
      <c r="C1151" s="1" t="s">
        <v>40</v>
      </c>
      <c r="D1151" s="1" t="s">
        <v>288</v>
      </c>
      <c r="E1151" s="62" t="n">
        <v>6445</v>
      </c>
      <c r="F1151" s="26" t="n">
        <v>0.193641774947009</v>
      </c>
      <c r="G1151" s="26" t="n">
        <v>1248.02124</v>
      </c>
      <c r="H1151" s="1" t="s">
        <v>395</v>
      </c>
    </row>
    <row r="1152" customFormat="false" ht="15" hidden="false" customHeight="true" outlineLevel="0" collapsed="false">
      <c r="A1152" s="1" t="s">
        <v>599</v>
      </c>
      <c r="B1152" s="1" t="s">
        <v>40</v>
      </c>
      <c r="C1152" s="1" t="s">
        <v>40</v>
      </c>
      <c r="D1152" s="1" t="s">
        <v>285</v>
      </c>
      <c r="E1152" s="62" t="n">
        <v>14441</v>
      </c>
      <c r="F1152" s="26" t="n">
        <v>0.193641774947009</v>
      </c>
      <c r="G1152" s="26" t="n">
        <v>2796.380872</v>
      </c>
      <c r="H1152" s="1" t="s">
        <v>395</v>
      </c>
    </row>
    <row r="1153" customFormat="false" ht="15" hidden="false" customHeight="true" outlineLevel="0" collapsed="false">
      <c r="A1153" s="1" t="s">
        <v>599</v>
      </c>
      <c r="B1153" s="1" t="s">
        <v>40</v>
      </c>
      <c r="C1153" s="1" t="s">
        <v>40</v>
      </c>
      <c r="D1153" s="1" t="s">
        <v>294</v>
      </c>
      <c r="E1153" s="62" t="n">
        <v>3704</v>
      </c>
      <c r="F1153" s="26" t="n">
        <v>0.193641774947009</v>
      </c>
      <c r="G1153" s="26" t="n">
        <v>717.249134</v>
      </c>
      <c r="H1153" s="1" t="s">
        <v>395</v>
      </c>
    </row>
    <row r="1154" customFormat="false" ht="15" hidden="false" customHeight="true" outlineLevel="0" collapsed="false">
      <c r="A1154" s="1" t="s">
        <v>599</v>
      </c>
      <c r="B1154" s="1" t="s">
        <v>40</v>
      </c>
      <c r="C1154" s="1" t="s">
        <v>40</v>
      </c>
      <c r="D1154" s="1" t="s">
        <v>291</v>
      </c>
      <c r="E1154" s="62" t="n">
        <v>6434</v>
      </c>
      <c r="F1154" s="26" t="n">
        <v>0.193641774947009</v>
      </c>
      <c r="G1154" s="26" t="n">
        <v>1245.89118</v>
      </c>
      <c r="H1154" s="1" t="s">
        <v>395</v>
      </c>
    </row>
    <row r="1155" customFormat="false" ht="15" hidden="false" customHeight="true" outlineLevel="0" collapsed="false">
      <c r="A1155" s="1" t="s">
        <v>599</v>
      </c>
      <c r="B1155" s="1" t="s">
        <v>40</v>
      </c>
      <c r="C1155" s="1" t="s">
        <v>40</v>
      </c>
      <c r="D1155" s="1" t="s">
        <v>286</v>
      </c>
      <c r="E1155" s="62" t="n">
        <v>4749</v>
      </c>
      <c r="F1155" s="26" t="n">
        <v>0.193641774947009</v>
      </c>
      <c r="G1155" s="26" t="n">
        <v>919.604789</v>
      </c>
      <c r="H1155" s="1" t="s">
        <v>395</v>
      </c>
    </row>
    <row r="1156" customFormat="false" ht="15" hidden="false" customHeight="true" outlineLevel="0" collapsed="false">
      <c r="A1156" s="1" t="s">
        <v>599</v>
      </c>
      <c r="B1156" s="1" t="s">
        <v>40</v>
      </c>
      <c r="C1156" s="1" t="s">
        <v>40</v>
      </c>
      <c r="D1156" s="1" t="s">
        <v>283</v>
      </c>
      <c r="E1156" s="62" t="n">
        <v>4795</v>
      </c>
      <c r="F1156" s="26" t="n">
        <v>0.193641774947009</v>
      </c>
      <c r="G1156" s="26" t="n">
        <v>928.512311</v>
      </c>
      <c r="H1156" s="1" t="s">
        <v>395</v>
      </c>
    </row>
    <row r="1157" customFormat="false" ht="15" hidden="false" customHeight="true" outlineLevel="0" collapsed="false">
      <c r="A1157" s="1" t="s">
        <v>626</v>
      </c>
      <c r="B1157" s="1" t="s">
        <v>40</v>
      </c>
      <c r="C1157" s="1" t="s">
        <v>40</v>
      </c>
      <c r="D1157" s="1" t="s">
        <v>288</v>
      </c>
      <c r="E1157" s="62" t="n">
        <v>6588</v>
      </c>
      <c r="F1157" s="26" t="n">
        <v>0.182358458491943</v>
      </c>
      <c r="G1157" s="26" t="n">
        <v>1201.377525</v>
      </c>
      <c r="H1157" s="1" t="s">
        <v>395</v>
      </c>
    </row>
    <row r="1158" customFormat="false" ht="15" hidden="false" customHeight="true" outlineLevel="0" collapsed="false">
      <c r="A1158" s="1" t="s">
        <v>626</v>
      </c>
      <c r="B1158" s="1" t="s">
        <v>40</v>
      </c>
      <c r="C1158" s="1" t="s">
        <v>40</v>
      </c>
      <c r="D1158" s="1" t="s">
        <v>285</v>
      </c>
      <c r="E1158" s="62" t="n">
        <v>14689</v>
      </c>
      <c r="F1158" s="26" t="n">
        <v>0.182358458491943</v>
      </c>
      <c r="G1158" s="26" t="n">
        <v>2678.663397</v>
      </c>
      <c r="H1158" s="1" t="s">
        <v>395</v>
      </c>
    </row>
    <row r="1159" customFormat="false" ht="15" hidden="false" customHeight="true" outlineLevel="0" collapsed="false">
      <c r="A1159" s="1" t="s">
        <v>626</v>
      </c>
      <c r="B1159" s="1" t="s">
        <v>40</v>
      </c>
      <c r="C1159" s="1" t="s">
        <v>40</v>
      </c>
      <c r="D1159" s="1" t="s">
        <v>294</v>
      </c>
      <c r="E1159" s="62" t="n">
        <v>3765</v>
      </c>
      <c r="F1159" s="26" t="n">
        <v>0.182358458491943</v>
      </c>
      <c r="G1159" s="26" t="n">
        <v>686.579596</v>
      </c>
      <c r="H1159" s="1" t="s">
        <v>395</v>
      </c>
    </row>
    <row r="1160" customFormat="false" ht="15" hidden="false" customHeight="true" outlineLevel="0" collapsed="false">
      <c r="A1160" s="1" t="s">
        <v>626</v>
      </c>
      <c r="B1160" s="1" t="s">
        <v>40</v>
      </c>
      <c r="C1160" s="1" t="s">
        <v>40</v>
      </c>
      <c r="D1160" s="1" t="s">
        <v>291</v>
      </c>
      <c r="E1160" s="62" t="n">
        <v>6568</v>
      </c>
      <c r="F1160" s="26" t="n">
        <v>0.182358458491943</v>
      </c>
      <c r="G1160" s="26" t="n">
        <v>1197.730355</v>
      </c>
      <c r="H1160" s="1" t="s">
        <v>395</v>
      </c>
    </row>
    <row r="1161" customFormat="false" ht="15" hidden="false" customHeight="true" outlineLevel="0" collapsed="false">
      <c r="A1161" s="1" t="s">
        <v>626</v>
      </c>
      <c r="B1161" s="1" t="s">
        <v>40</v>
      </c>
      <c r="C1161" s="1" t="s">
        <v>40</v>
      </c>
      <c r="D1161" s="1" t="s">
        <v>286</v>
      </c>
      <c r="E1161" s="62" t="n">
        <v>4805</v>
      </c>
      <c r="F1161" s="26" t="n">
        <v>0.182358458491943</v>
      </c>
      <c r="G1161" s="26" t="n">
        <v>876.232393</v>
      </c>
      <c r="H1161" s="1" t="s">
        <v>395</v>
      </c>
    </row>
    <row r="1162" customFormat="false" ht="15" hidden="false" customHeight="true" outlineLevel="0" collapsed="false">
      <c r="A1162" s="1" t="s">
        <v>626</v>
      </c>
      <c r="B1162" s="1" t="s">
        <v>40</v>
      </c>
      <c r="C1162" s="1" t="s">
        <v>40</v>
      </c>
      <c r="D1162" s="1" t="s">
        <v>283</v>
      </c>
      <c r="E1162" s="62" t="n">
        <v>4806</v>
      </c>
      <c r="F1162" s="26" t="n">
        <v>0.182358458491943</v>
      </c>
      <c r="G1162" s="26" t="n">
        <v>876.414752</v>
      </c>
      <c r="H1162" s="1" t="s">
        <v>395</v>
      </c>
    </row>
    <row r="1163" customFormat="false" ht="15" hidden="false" customHeight="true" outlineLevel="0" collapsed="false">
      <c r="A1163" s="1" t="s">
        <v>589</v>
      </c>
      <c r="B1163" s="1" t="s">
        <v>87</v>
      </c>
      <c r="C1163" s="1" t="s">
        <v>645</v>
      </c>
      <c r="D1163" s="1" t="s">
        <v>288</v>
      </c>
      <c r="E1163" s="62" t="n">
        <v>6280</v>
      </c>
      <c r="F1163" s="26" t="n">
        <v>0.148830177998923</v>
      </c>
      <c r="G1163" s="26" t="n">
        <v>934.653518</v>
      </c>
      <c r="H1163" s="1" t="s">
        <v>395</v>
      </c>
    </row>
    <row r="1164" customFormat="false" ht="15" hidden="false" customHeight="true" outlineLevel="0" collapsed="false">
      <c r="A1164" s="1" t="s">
        <v>589</v>
      </c>
      <c r="B1164" s="1" t="s">
        <v>87</v>
      </c>
      <c r="C1164" s="1" t="s">
        <v>645</v>
      </c>
      <c r="D1164" s="1" t="s">
        <v>285</v>
      </c>
      <c r="E1164" s="62" t="n">
        <v>14331</v>
      </c>
      <c r="F1164" s="26" t="n">
        <v>0.148830177998923</v>
      </c>
      <c r="G1164" s="26" t="n">
        <v>2132.885281</v>
      </c>
      <c r="H1164" s="1" t="s">
        <v>395</v>
      </c>
    </row>
    <row r="1165" customFormat="false" ht="15" hidden="false" customHeight="true" outlineLevel="0" collapsed="false">
      <c r="A1165" s="1" t="s">
        <v>589</v>
      </c>
      <c r="B1165" s="1" t="s">
        <v>87</v>
      </c>
      <c r="C1165" s="1" t="s">
        <v>645</v>
      </c>
      <c r="D1165" s="1" t="s">
        <v>294</v>
      </c>
      <c r="E1165" s="62" t="n">
        <v>3650</v>
      </c>
      <c r="F1165" s="26" t="n">
        <v>0.148830177998923</v>
      </c>
      <c r="G1165" s="26" t="n">
        <v>543.23015</v>
      </c>
      <c r="H1165" s="1" t="s">
        <v>395</v>
      </c>
    </row>
    <row r="1166" customFormat="false" ht="15" hidden="false" customHeight="true" outlineLevel="0" collapsed="false">
      <c r="A1166" s="1" t="s">
        <v>589</v>
      </c>
      <c r="B1166" s="1" t="s">
        <v>87</v>
      </c>
      <c r="C1166" s="1" t="s">
        <v>645</v>
      </c>
      <c r="D1166" s="1" t="s">
        <v>291</v>
      </c>
      <c r="E1166" s="62" t="n">
        <v>6396</v>
      </c>
      <c r="F1166" s="26" t="n">
        <v>0.148830177998923</v>
      </c>
      <c r="G1166" s="26" t="n">
        <v>951.917818</v>
      </c>
      <c r="H1166" s="1" t="s">
        <v>395</v>
      </c>
    </row>
    <row r="1167" customFormat="false" ht="15" hidden="false" customHeight="true" outlineLevel="0" collapsed="false">
      <c r="A1167" s="1" t="s">
        <v>589</v>
      </c>
      <c r="B1167" s="1" t="s">
        <v>87</v>
      </c>
      <c r="C1167" s="1" t="s">
        <v>645</v>
      </c>
      <c r="D1167" s="1" t="s">
        <v>286</v>
      </c>
      <c r="E1167" s="62" t="n">
        <v>4730</v>
      </c>
      <c r="F1167" s="26" t="n">
        <v>0.148830177998923</v>
      </c>
      <c r="G1167" s="26" t="n">
        <v>703.966742</v>
      </c>
      <c r="H1167" s="1" t="s">
        <v>395</v>
      </c>
    </row>
    <row r="1168" customFormat="false" ht="15" hidden="false" customHeight="true" outlineLevel="0" collapsed="false">
      <c r="A1168" s="1" t="s">
        <v>589</v>
      </c>
      <c r="B1168" s="1" t="s">
        <v>87</v>
      </c>
      <c r="C1168" s="1" t="s">
        <v>645</v>
      </c>
      <c r="D1168" s="1" t="s">
        <v>283</v>
      </c>
      <c r="E1168" s="62" t="n">
        <v>4782</v>
      </c>
      <c r="F1168" s="26" t="n">
        <v>0.148830177998923</v>
      </c>
      <c r="G1168" s="26" t="n">
        <v>711.705911</v>
      </c>
      <c r="H1168" s="1" t="s">
        <v>395</v>
      </c>
    </row>
    <row r="1169" customFormat="false" ht="15" hidden="false" customHeight="true" outlineLevel="0" collapsed="false">
      <c r="A1169" s="1" t="s">
        <v>599</v>
      </c>
      <c r="B1169" s="1" t="s">
        <v>87</v>
      </c>
      <c r="C1169" s="1" t="s">
        <v>645</v>
      </c>
      <c r="D1169" s="1" t="s">
        <v>288</v>
      </c>
      <c r="E1169" s="62" t="n">
        <v>6445</v>
      </c>
      <c r="F1169" s="26" t="n">
        <v>0.165505113968682</v>
      </c>
      <c r="G1169" s="26" t="n">
        <v>1066.68046</v>
      </c>
      <c r="H1169" s="1" t="s">
        <v>395</v>
      </c>
    </row>
    <row r="1170" customFormat="false" ht="15" hidden="false" customHeight="true" outlineLevel="0" collapsed="false">
      <c r="A1170" s="1" t="s">
        <v>599</v>
      </c>
      <c r="B1170" s="1" t="s">
        <v>87</v>
      </c>
      <c r="C1170" s="1" t="s">
        <v>645</v>
      </c>
      <c r="D1170" s="1" t="s">
        <v>285</v>
      </c>
      <c r="E1170" s="62" t="n">
        <v>14441</v>
      </c>
      <c r="F1170" s="26" t="n">
        <v>0.165505113968682</v>
      </c>
      <c r="G1170" s="26" t="n">
        <v>2390.059351</v>
      </c>
      <c r="H1170" s="1" t="s">
        <v>395</v>
      </c>
    </row>
    <row r="1171" customFormat="false" ht="15" hidden="false" customHeight="true" outlineLevel="0" collapsed="false">
      <c r="A1171" s="1" t="s">
        <v>599</v>
      </c>
      <c r="B1171" s="1" t="s">
        <v>87</v>
      </c>
      <c r="C1171" s="1" t="s">
        <v>645</v>
      </c>
      <c r="D1171" s="1" t="s">
        <v>294</v>
      </c>
      <c r="E1171" s="62" t="n">
        <v>3704</v>
      </c>
      <c r="F1171" s="26" t="n">
        <v>0.165505113968682</v>
      </c>
      <c r="G1171" s="26" t="n">
        <v>613.030942</v>
      </c>
      <c r="H1171" s="1" t="s">
        <v>395</v>
      </c>
    </row>
    <row r="1172" customFormat="false" ht="15" hidden="false" customHeight="true" outlineLevel="0" collapsed="false">
      <c r="A1172" s="1" t="s">
        <v>599</v>
      </c>
      <c r="B1172" s="1" t="s">
        <v>87</v>
      </c>
      <c r="C1172" s="1" t="s">
        <v>645</v>
      </c>
      <c r="D1172" s="1" t="s">
        <v>291</v>
      </c>
      <c r="E1172" s="62" t="n">
        <v>6434</v>
      </c>
      <c r="F1172" s="26" t="n">
        <v>0.165505113968682</v>
      </c>
      <c r="G1172" s="26" t="n">
        <v>1064.859903</v>
      </c>
      <c r="H1172" s="1" t="s">
        <v>395</v>
      </c>
    </row>
    <row r="1173" customFormat="false" ht="15" hidden="false" customHeight="true" outlineLevel="0" collapsed="false">
      <c r="A1173" s="1" t="s">
        <v>599</v>
      </c>
      <c r="B1173" s="1" t="s">
        <v>87</v>
      </c>
      <c r="C1173" s="1" t="s">
        <v>645</v>
      </c>
      <c r="D1173" s="1" t="s">
        <v>286</v>
      </c>
      <c r="E1173" s="62" t="n">
        <v>4749</v>
      </c>
      <c r="F1173" s="26" t="n">
        <v>0.165505113968682</v>
      </c>
      <c r="G1173" s="26" t="n">
        <v>785.983786</v>
      </c>
      <c r="H1173" s="1" t="s">
        <v>395</v>
      </c>
    </row>
    <row r="1174" customFormat="false" ht="15" hidden="false" customHeight="true" outlineLevel="0" collapsed="false">
      <c r="A1174" s="1" t="s">
        <v>599</v>
      </c>
      <c r="B1174" s="1" t="s">
        <v>87</v>
      </c>
      <c r="C1174" s="1" t="s">
        <v>645</v>
      </c>
      <c r="D1174" s="1" t="s">
        <v>283</v>
      </c>
      <c r="E1174" s="62" t="n">
        <v>4795</v>
      </c>
      <c r="F1174" s="26" t="n">
        <v>0.165505113968682</v>
      </c>
      <c r="G1174" s="26" t="n">
        <v>793.597021</v>
      </c>
      <c r="H1174" s="1" t="s">
        <v>395</v>
      </c>
    </row>
    <row r="1175" customFormat="false" ht="15" hidden="false" customHeight="true" outlineLevel="0" collapsed="false">
      <c r="A1175" s="1" t="s">
        <v>626</v>
      </c>
      <c r="B1175" s="1" t="s">
        <v>87</v>
      </c>
      <c r="C1175" s="1" t="s">
        <v>645</v>
      </c>
      <c r="D1175" s="1" t="s">
        <v>288</v>
      </c>
      <c r="E1175" s="62" t="n">
        <v>6588</v>
      </c>
      <c r="F1175" s="26" t="n">
        <v>0.170974700825347</v>
      </c>
      <c r="G1175" s="26" t="n">
        <v>1126.381329</v>
      </c>
      <c r="H1175" s="1" t="s">
        <v>395</v>
      </c>
    </row>
    <row r="1176" customFormat="false" ht="15" hidden="false" customHeight="true" outlineLevel="0" collapsed="false">
      <c r="A1176" s="1" t="s">
        <v>626</v>
      </c>
      <c r="B1176" s="1" t="s">
        <v>87</v>
      </c>
      <c r="C1176" s="1" t="s">
        <v>645</v>
      </c>
      <c r="D1176" s="1" t="s">
        <v>285</v>
      </c>
      <c r="E1176" s="62" t="n">
        <v>14689</v>
      </c>
      <c r="F1176" s="26" t="n">
        <v>0.170974700825347</v>
      </c>
      <c r="G1176" s="26" t="n">
        <v>2511.44738</v>
      </c>
      <c r="H1176" s="1" t="s">
        <v>395</v>
      </c>
    </row>
    <row r="1177" customFormat="false" ht="15" hidden="false" customHeight="true" outlineLevel="0" collapsed="false">
      <c r="A1177" s="1" t="s">
        <v>626</v>
      </c>
      <c r="B1177" s="1" t="s">
        <v>87</v>
      </c>
      <c r="C1177" s="1" t="s">
        <v>645</v>
      </c>
      <c r="D1177" s="1" t="s">
        <v>294</v>
      </c>
      <c r="E1177" s="62" t="n">
        <v>3765</v>
      </c>
      <c r="F1177" s="26" t="n">
        <v>0.170974700825347</v>
      </c>
      <c r="G1177" s="26" t="n">
        <v>643.719749</v>
      </c>
      <c r="H1177" s="1" t="s">
        <v>395</v>
      </c>
    </row>
    <row r="1178" customFormat="false" ht="15" hidden="false" customHeight="true" outlineLevel="0" collapsed="false">
      <c r="A1178" s="1" t="s">
        <v>626</v>
      </c>
      <c r="B1178" s="1" t="s">
        <v>87</v>
      </c>
      <c r="C1178" s="1" t="s">
        <v>645</v>
      </c>
      <c r="D1178" s="1" t="s">
        <v>291</v>
      </c>
      <c r="E1178" s="62" t="n">
        <v>6568</v>
      </c>
      <c r="F1178" s="26" t="n">
        <v>0.170974700825347</v>
      </c>
      <c r="G1178" s="26" t="n">
        <v>1122.961835</v>
      </c>
      <c r="H1178" s="1" t="s">
        <v>395</v>
      </c>
    </row>
    <row r="1179" customFormat="false" ht="15" hidden="false" customHeight="true" outlineLevel="0" collapsed="false">
      <c r="A1179" s="1" t="s">
        <v>626</v>
      </c>
      <c r="B1179" s="1" t="s">
        <v>87</v>
      </c>
      <c r="C1179" s="1" t="s">
        <v>645</v>
      </c>
      <c r="D1179" s="1" t="s">
        <v>286</v>
      </c>
      <c r="E1179" s="62" t="n">
        <v>4805</v>
      </c>
      <c r="F1179" s="26" t="n">
        <v>0.170974700825347</v>
      </c>
      <c r="G1179" s="26" t="n">
        <v>821.533437</v>
      </c>
      <c r="H1179" s="1" t="s">
        <v>395</v>
      </c>
    </row>
    <row r="1180" customFormat="false" ht="15" hidden="false" customHeight="true" outlineLevel="0" collapsed="false">
      <c r="A1180" s="1" t="s">
        <v>626</v>
      </c>
      <c r="B1180" s="1" t="s">
        <v>87</v>
      </c>
      <c r="C1180" s="1" t="s">
        <v>645</v>
      </c>
      <c r="D1180" s="1" t="s">
        <v>283</v>
      </c>
      <c r="E1180" s="62" t="n">
        <v>4806</v>
      </c>
      <c r="F1180" s="26" t="n">
        <v>0.170974700825347</v>
      </c>
      <c r="G1180" s="26" t="n">
        <v>821.704412</v>
      </c>
      <c r="H1180" s="1" t="s">
        <v>395</v>
      </c>
    </row>
    <row r="1181" customFormat="false" ht="15" hidden="false" customHeight="true" outlineLevel="0" collapsed="false">
      <c r="A1181" s="1" t="s">
        <v>589</v>
      </c>
      <c r="B1181" s="1" t="s">
        <v>85</v>
      </c>
      <c r="C1181" s="1" t="s">
        <v>646</v>
      </c>
      <c r="D1181" s="1" t="s">
        <v>288</v>
      </c>
      <c r="E1181" s="62" t="n">
        <v>6280</v>
      </c>
      <c r="F1181" s="26" t="n">
        <v>0.319464004034977</v>
      </c>
      <c r="G1181" s="26" t="n">
        <v>2006.233945</v>
      </c>
      <c r="H1181" s="1" t="s">
        <v>395</v>
      </c>
    </row>
    <row r="1182" customFormat="false" ht="15" hidden="false" customHeight="true" outlineLevel="0" collapsed="false">
      <c r="A1182" s="1" t="s">
        <v>589</v>
      </c>
      <c r="B1182" s="1" t="s">
        <v>85</v>
      </c>
      <c r="C1182" s="1" t="s">
        <v>646</v>
      </c>
      <c r="D1182" s="1" t="s">
        <v>290</v>
      </c>
      <c r="E1182" s="62" t="n">
        <v>13402</v>
      </c>
      <c r="F1182" s="26" t="n">
        <v>0.319464004034977</v>
      </c>
      <c r="G1182" s="26" t="n">
        <v>4281.456582</v>
      </c>
      <c r="H1182" s="1" t="s">
        <v>395</v>
      </c>
    </row>
    <row r="1183" customFormat="false" ht="15" hidden="false" customHeight="true" outlineLevel="0" collapsed="false">
      <c r="A1183" s="1" t="s">
        <v>589</v>
      </c>
      <c r="B1183" s="1" t="s">
        <v>85</v>
      </c>
      <c r="C1183" s="1" t="s">
        <v>646</v>
      </c>
      <c r="D1183" s="1" t="s">
        <v>285</v>
      </c>
      <c r="E1183" s="62" t="n">
        <v>14331</v>
      </c>
      <c r="F1183" s="26" t="n">
        <v>0.319464004034977</v>
      </c>
      <c r="G1183" s="26" t="n">
        <v>4578.238642</v>
      </c>
      <c r="H1183" s="1" t="s">
        <v>395</v>
      </c>
    </row>
    <row r="1184" customFormat="false" ht="15" hidden="false" customHeight="true" outlineLevel="0" collapsed="false">
      <c r="A1184" s="1" t="s">
        <v>589</v>
      </c>
      <c r="B1184" s="1" t="s">
        <v>85</v>
      </c>
      <c r="C1184" s="1" t="s">
        <v>646</v>
      </c>
      <c r="D1184" s="1" t="s">
        <v>294</v>
      </c>
      <c r="E1184" s="62" t="n">
        <v>3650</v>
      </c>
      <c r="F1184" s="26" t="n">
        <v>0.319464004034977</v>
      </c>
      <c r="G1184" s="26" t="n">
        <v>1166.043615</v>
      </c>
      <c r="H1184" s="1" t="s">
        <v>395</v>
      </c>
    </row>
    <row r="1185" customFormat="false" ht="15" hidden="false" customHeight="true" outlineLevel="0" collapsed="false">
      <c r="A1185" s="1" t="s">
        <v>589</v>
      </c>
      <c r="B1185" s="1" t="s">
        <v>85</v>
      </c>
      <c r="C1185" s="1" t="s">
        <v>646</v>
      </c>
      <c r="D1185" s="1" t="s">
        <v>291</v>
      </c>
      <c r="E1185" s="62" t="n">
        <v>6396</v>
      </c>
      <c r="F1185" s="26" t="n">
        <v>0.319464004034977</v>
      </c>
      <c r="G1185" s="26" t="n">
        <v>2043.29177</v>
      </c>
      <c r="H1185" s="1" t="s">
        <v>395</v>
      </c>
    </row>
    <row r="1186" customFormat="false" ht="15" hidden="false" customHeight="true" outlineLevel="0" collapsed="false">
      <c r="A1186" s="1" t="s">
        <v>589</v>
      </c>
      <c r="B1186" s="1" t="s">
        <v>85</v>
      </c>
      <c r="C1186" s="1" t="s">
        <v>646</v>
      </c>
      <c r="D1186" s="1" t="s">
        <v>286</v>
      </c>
      <c r="E1186" s="62" t="n">
        <v>4730</v>
      </c>
      <c r="F1186" s="26" t="n">
        <v>0.319464004034977</v>
      </c>
      <c r="G1186" s="26" t="n">
        <v>1511.064739</v>
      </c>
      <c r="H1186" s="1" t="s">
        <v>395</v>
      </c>
    </row>
    <row r="1187" customFormat="false" ht="15" hidden="false" customHeight="true" outlineLevel="0" collapsed="false">
      <c r="A1187" s="1" t="s">
        <v>589</v>
      </c>
      <c r="B1187" s="1" t="s">
        <v>85</v>
      </c>
      <c r="C1187" s="1" t="s">
        <v>646</v>
      </c>
      <c r="D1187" s="1" t="s">
        <v>283</v>
      </c>
      <c r="E1187" s="62" t="n">
        <v>4782</v>
      </c>
      <c r="F1187" s="26" t="n">
        <v>0.319464004034977</v>
      </c>
      <c r="G1187" s="26" t="n">
        <v>1527.676867</v>
      </c>
      <c r="H1187" s="1" t="s">
        <v>395</v>
      </c>
    </row>
    <row r="1188" customFormat="false" ht="15" hidden="false" customHeight="true" outlineLevel="0" collapsed="false">
      <c r="A1188" s="1" t="s">
        <v>599</v>
      </c>
      <c r="B1188" s="1" t="s">
        <v>85</v>
      </c>
      <c r="C1188" s="1" t="s">
        <v>646</v>
      </c>
      <c r="D1188" s="1" t="s">
        <v>288</v>
      </c>
      <c r="E1188" s="62" t="n">
        <v>6445</v>
      </c>
      <c r="F1188" s="26" t="n">
        <v>0.293099708996474</v>
      </c>
      <c r="G1188" s="26" t="n">
        <v>1889.027624</v>
      </c>
      <c r="H1188" s="1" t="s">
        <v>395</v>
      </c>
    </row>
    <row r="1189" customFormat="false" ht="15" hidden="false" customHeight="true" outlineLevel="0" collapsed="false">
      <c r="A1189" s="1" t="s">
        <v>599</v>
      </c>
      <c r="B1189" s="1" t="s">
        <v>85</v>
      </c>
      <c r="C1189" s="1" t="s">
        <v>646</v>
      </c>
      <c r="D1189" s="1" t="s">
        <v>290</v>
      </c>
      <c r="E1189" s="62" t="n">
        <v>13418</v>
      </c>
      <c r="F1189" s="26" t="n">
        <v>0.293099708996474</v>
      </c>
      <c r="G1189" s="26" t="n">
        <v>3932.811895</v>
      </c>
      <c r="H1189" s="1" t="s">
        <v>395</v>
      </c>
    </row>
    <row r="1190" customFormat="false" ht="15" hidden="false" customHeight="true" outlineLevel="0" collapsed="false">
      <c r="A1190" s="1" t="s">
        <v>599</v>
      </c>
      <c r="B1190" s="1" t="s">
        <v>85</v>
      </c>
      <c r="C1190" s="1" t="s">
        <v>646</v>
      </c>
      <c r="D1190" s="1" t="s">
        <v>285</v>
      </c>
      <c r="E1190" s="62" t="n">
        <v>14441</v>
      </c>
      <c r="F1190" s="26" t="n">
        <v>0.293099708996474</v>
      </c>
      <c r="G1190" s="26" t="n">
        <v>4232.652898</v>
      </c>
      <c r="H1190" s="1" t="s">
        <v>395</v>
      </c>
    </row>
    <row r="1191" customFormat="false" ht="15" hidden="false" customHeight="true" outlineLevel="0" collapsed="false">
      <c r="A1191" s="1" t="s">
        <v>599</v>
      </c>
      <c r="B1191" s="1" t="s">
        <v>85</v>
      </c>
      <c r="C1191" s="1" t="s">
        <v>646</v>
      </c>
      <c r="D1191" s="1" t="s">
        <v>294</v>
      </c>
      <c r="E1191" s="62" t="n">
        <v>3704</v>
      </c>
      <c r="F1191" s="26" t="n">
        <v>0.293099708996474</v>
      </c>
      <c r="G1191" s="26" t="n">
        <v>1085.641322</v>
      </c>
      <c r="H1191" s="1" t="s">
        <v>395</v>
      </c>
    </row>
    <row r="1192" customFormat="false" ht="15" hidden="false" customHeight="true" outlineLevel="0" collapsed="false">
      <c r="A1192" s="1" t="s">
        <v>599</v>
      </c>
      <c r="B1192" s="1" t="s">
        <v>85</v>
      </c>
      <c r="C1192" s="1" t="s">
        <v>646</v>
      </c>
      <c r="D1192" s="1" t="s">
        <v>291</v>
      </c>
      <c r="E1192" s="62" t="n">
        <v>6434</v>
      </c>
      <c r="F1192" s="26" t="n">
        <v>0.293099708996474</v>
      </c>
      <c r="G1192" s="26" t="n">
        <v>1885.803528</v>
      </c>
      <c r="H1192" s="1" t="s">
        <v>395</v>
      </c>
    </row>
    <row r="1193" customFormat="false" ht="15" hidden="false" customHeight="true" outlineLevel="0" collapsed="false">
      <c r="A1193" s="1" t="s">
        <v>599</v>
      </c>
      <c r="B1193" s="1" t="s">
        <v>85</v>
      </c>
      <c r="C1193" s="1" t="s">
        <v>646</v>
      </c>
      <c r="D1193" s="1" t="s">
        <v>286</v>
      </c>
      <c r="E1193" s="62" t="n">
        <v>4749</v>
      </c>
      <c r="F1193" s="26" t="n">
        <v>0.293099708996474</v>
      </c>
      <c r="G1193" s="26" t="n">
        <v>1391.930518</v>
      </c>
      <c r="H1193" s="1" t="s">
        <v>395</v>
      </c>
    </row>
    <row r="1194" customFormat="false" ht="15" hidden="false" customHeight="true" outlineLevel="0" collapsed="false">
      <c r="A1194" s="1" t="s">
        <v>599</v>
      </c>
      <c r="B1194" s="1" t="s">
        <v>85</v>
      </c>
      <c r="C1194" s="1" t="s">
        <v>646</v>
      </c>
      <c r="D1194" s="1" t="s">
        <v>283</v>
      </c>
      <c r="E1194" s="62" t="n">
        <v>4795</v>
      </c>
      <c r="F1194" s="26" t="n">
        <v>0.293099708996474</v>
      </c>
      <c r="G1194" s="26" t="n">
        <v>1405.413105</v>
      </c>
      <c r="H1194" s="1" t="s">
        <v>395</v>
      </c>
    </row>
    <row r="1195" customFormat="false" ht="15" hidden="false" customHeight="true" outlineLevel="0" collapsed="false">
      <c r="A1195" s="1" t="s">
        <v>626</v>
      </c>
      <c r="B1195" s="1" t="s">
        <v>85</v>
      </c>
      <c r="C1195" s="1" t="s">
        <v>646</v>
      </c>
      <c r="D1195" s="1" t="s">
        <v>288</v>
      </c>
      <c r="E1195" s="62" t="n">
        <v>6588</v>
      </c>
      <c r="F1195" s="26" t="n">
        <v>0.299382438917867</v>
      </c>
      <c r="G1195" s="26" t="n">
        <v>1972.331508</v>
      </c>
      <c r="H1195" s="1" t="s">
        <v>395</v>
      </c>
    </row>
    <row r="1196" customFormat="false" ht="15" hidden="false" customHeight="true" outlineLevel="0" collapsed="false">
      <c r="A1196" s="1" t="s">
        <v>626</v>
      </c>
      <c r="B1196" s="1" t="s">
        <v>85</v>
      </c>
      <c r="C1196" s="1" t="s">
        <v>646</v>
      </c>
      <c r="D1196" s="1" t="s">
        <v>290</v>
      </c>
      <c r="E1196" s="62" t="n">
        <v>13530</v>
      </c>
      <c r="F1196" s="26" t="n">
        <v>0.299382438917867</v>
      </c>
      <c r="G1196" s="26" t="n">
        <v>4050.644399</v>
      </c>
      <c r="H1196" s="1" t="s">
        <v>395</v>
      </c>
    </row>
    <row r="1197" customFormat="false" ht="15" hidden="false" customHeight="true" outlineLevel="0" collapsed="false">
      <c r="A1197" s="1" t="s">
        <v>626</v>
      </c>
      <c r="B1197" s="1" t="s">
        <v>85</v>
      </c>
      <c r="C1197" s="1" t="s">
        <v>646</v>
      </c>
      <c r="D1197" s="1" t="s">
        <v>285</v>
      </c>
      <c r="E1197" s="62" t="n">
        <v>14689</v>
      </c>
      <c r="F1197" s="26" t="n">
        <v>0.299382438917867</v>
      </c>
      <c r="G1197" s="26" t="n">
        <v>4397.628645</v>
      </c>
      <c r="H1197" s="1" t="s">
        <v>395</v>
      </c>
    </row>
    <row r="1198" customFormat="false" ht="15" hidden="false" customHeight="true" outlineLevel="0" collapsed="false">
      <c r="A1198" s="1" t="s">
        <v>626</v>
      </c>
      <c r="B1198" s="1" t="s">
        <v>85</v>
      </c>
      <c r="C1198" s="1" t="s">
        <v>646</v>
      </c>
      <c r="D1198" s="1" t="s">
        <v>294</v>
      </c>
      <c r="E1198" s="62" t="n">
        <v>3765</v>
      </c>
      <c r="F1198" s="26" t="n">
        <v>0.299382438917867</v>
      </c>
      <c r="G1198" s="26" t="n">
        <v>1127.174883</v>
      </c>
      <c r="H1198" s="1" t="s">
        <v>395</v>
      </c>
    </row>
    <row r="1199" customFormat="false" ht="15" hidden="false" customHeight="true" outlineLevel="0" collapsed="false">
      <c r="A1199" s="1" t="s">
        <v>626</v>
      </c>
      <c r="B1199" s="1" t="s">
        <v>85</v>
      </c>
      <c r="C1199" s="1" t="s">
        <v>646</v>
      </c>
      <c r="D1199" s="1" t="s">
        <v>291</v>
      </c>
      <c r="E1199" s="62" t="n">
        <v>6568</v>
      </c>
      <c r="F1199" s="26" t="n">
        <v>0.299382438917867</v>
      </c>
      <c r="G1199" s="26" t="n">
        <v>1966.343859</v>
      </c>
      <c r="H1199" s="1" t="s">
        <v>395</v>
      </c>
    </row>
    <row r="1200" customFormat="false" ht="15" hidden="false" customHeight="true" outlineLevel="0" collapsed="false">
      <c r="A1200" s="1" t="s">
        <v>626</v>
      </c>
      <c r="B1200" s="1" t="s">
        <v>85</v>
      </c>
      <c r="C1200" s="1" t="s">
        <v>646</v>
      </c>
      <c r="D1200" s="1" t="s">
        <v>286</v>
      </c>
      <c r="E1200" s="62" t="n">
        <v>4805</v>
      </c>
      <c r="F1200" s="26" t="n">
        <v>0.299382438917867</v>
      </c>
      <c r="G1200" s="26" t="n">
        <v>1438.532619</v>
      </c>
      <c r="H1200" s="1" t="s">
        <v>395</v>
      </c>
    </row>
    <row r="1201" customFormat="false" ht="15" hidden="false" customHeight="true" outlineLevel="0" collapsed="false">
      <c r="A1201" s="1" t="s">
        <v>626</v>
      </c>
      <c r="B1201" s="1" t="s">
        <v>85</v>
      </c>
      <c r="C1201" s="1" t="s">
        <v>646</v>
      </c>
      <c r="D1201" s="1" t="s">
        <v>283</v>
      </c>
      <c r="E1201" s="62" t="n">
        <v>4806</v>
      </c>
      <c r="F1201" s="26" t="n">
        <v>0.299382438917867</v>
      </c>
      <c r="G1201" s="26" t="n">
        <v>1438.832001</v>
      </c>
      <c r="H1201" s="1" t="s">
        <v>395</v>
      </c>
    </row>
    <row r="1202" customFormat="false" ht="15" hidden="false" customHeight="true" outlineLevel="0" collapsed="false">
      <c r="A1202" s="1" t="s">
        <v>589</v>
      </c>
      <c r="B1202" s="1" t="s">
        <v>55</v>
      </c>
      <c r="C1202" s="1" t="s">
        <v>647</v>
      </c>
      <c r="D1202" s="1" t="s">
        <v>288</v>
      </c>
      <c r="E1202" s="1" t="n">
        <v>35</v>
      </c>
      <c r="F1202" s="1" t="n">
        <v>22.5794396961064</v>
      </c>
      <c r="G1202" s="1" t="n">
        <v>790.280389</v>
      </c>
      <c r="H1202" s="1" t="s">
        <v>641</v>
      </c>
    </row>
    <row r="1203" customFormat="false" ht="15" hidden="false" customHeight="true" outlineLevel="0" collapsed="false">
      <c r="A1203" s="1" t="s">
        <v>589</v>
      </c>
      <c r="B1203" s="1" t="s">
        <v>55</v>
      </c>
      <c r="C1203" s="1" t="s">
        <v>647</v>
      </c>
      <c r="D1203" s="1" t="s">
        <v>290</v>
      </c>
      <c r="E1203" s="1" t="n">
        <v>35</v>
      </c>
      <c r="F1203" s="1" t="n">
        <v>22.5794396961064</v>
      </c>
      <c r="G1203" s="1" t="n">
        <v>790.280389</v>
      </c>
      <c r="H1203" s="1" t="s">
        <v>641</v>
      </c>
    </row>
    <row r="1204" customFormat="false" ht="15" hidden="false" customHeight="true" outlineLevel="0" collapsed="false">
      <c r="A1204" s="1" t="s">
        <v>589</v>
      </c>
      <c r="B1204" s="1" t="s">
        <v>55</v>
      </c>
      <c r="C1204" s="1" t="s">
        <v>647</v>
      </c>
      <c r="D1204" s="1" t="s">
        <v>285</v>
      </c>
      <c r="E1204" s="1" t="n">
        <v>42</v>
      </c>
      <c r="F1204" s="1" t="n">
        <v>22.5794396961064</v>
      </c>
      <c r="G1204" s="1" t="n">
        <v>948.336467</v>
      </c>
      <c r="H1204" s="1" t="s">
        <v>641</v>
      </c>
    </row>
    <row r="1205" customFormat="false" ht="15" hidden="false" customHeight="true" outlineLevel="0" collapsed="false">
      <c r="A1205" s="1" t="s">
        <v>589</v>
      </c>
      <c r="B1205" s="1" t="s">
        <v>55</v>
      </c>
      <c r="C1205" s="1" t="s">
        <v>647</v>
      </c>
      <c r="D1205" s="1" t="s">
        <v>294</v>
      </c>
      <c r="E1205" s="1" t="n">
        <v>11</v>
      </c>
      <c r="F1205" s="1" t="n">
        <v>22.5794396961064</v>
      </c>
      <c r="G1205" s="1" t="n">
        <v>248.373837</v>
      </c>
      <c r="H1205" s="1" t="s">
        <v>641</v>
      </c>
    </row>
    <row r="1206" customFormat="false" ht="15" hidden="false" customHeight="true" outlineLevel="0" collapsed="false">
      <c r="A1206" s="1" t="s">
        <v>589</v>
      </c>
      <c r="B1206" s="1" t="s">
        <v>55</v>
      </c>
      <c r="C1206" s="1" t="s">
        <v>647</v>
      </c>
      <c r="D1206" s="1" t="s">
        <v>291</v>
      </c>
      <c r="E1206" s="1" t="n">
        <v>42</v>
      </c>
      <c r="F1206" s="1" t="n">
        <v>22.5794396961064</v>
      </c>
      <c r="G1206" s="1" t="n">
        <v>948.336467</v>
      </c>
      <c r="H1206" s="1" t="s">
        <v>641</v>
      </c>
    </row>
    <row r="1207" customFormat="false" ht="15" hidden="false" customHeight="true" outlineLevel="0" collapsed="false">
      <c r="A1207" s="1" t="s">
        <v>589</v>
      </c>
      <c r="B1207" s="1" t="s">
        <v>55</v>
      </c>
      <c r="C1207" s="1" t="s">
        <v>647</v>
      </c>
      <c r="D1207" s="1" t="s">
        <v>286</v>
      </c>
      <c r="E1207" s="1" t="n">
        <v>18</v>
      </c>
      <c r="F1207" s="1" t="n">
        <v>22.5794396961064</v>
      </c>
      <c r="G1207" s="1" t="n">
        <v>406.429915</v>
      </c>
      <c r="H1207" s="1" t="s">
        <v>641</v>
      </c>
    </row>
    <row r="1208" customFormat="false" ht="15" hidden="false" customHeight="true" outlineLevel="0" collapsed="false">
      <c r="A1208" s="1" t="s">
        <v>589</v>
      </c>
      <c r="B1208" s="1" t="s">
        <v>55</v>
      </c>
      <c r="C1208" s="1" t="s">
        <v>647</v>
      </c>
      <c r="D1208" s="1" t="s">
        <v>283</v>
      </c>
      <c r="E1208" s="1" t="n">
        <v>20</v>
      </c>
      <c r="F1208" s="1" t="n">
        <v>22.5794396961064</v>
      </c>
      <c r="G1208" s="1" t="n">
        <v>451.588794</v>
      </c>
      <c r="H1208" s="1" t="s">
        <v>641</v>
      </c>
    </row>
    <row r="1209" customFormat="false" ht="15" hidden="false" customHeight="true" outlineLevel="0" collapsed="false">
      <c r="A1209" s="1" t="s">
        <v>599</v>
      </c>
      <c r="B1209" s="1" t="s">
        <v>55</v>
      </c>
      <c r="C1209" s="1" t="s">
        <v>647</v>
      </c>
      <c r="D1209" s="1" t="s">
        <v>288</v>
      </c>
      <c r="E1209" s="1" t="n">
        <v>34</v>
      </c>
      <c r="F1209" s="1" t="n">
        <v>22.6655386081983</v>
      </c>
      <c r="G1209" s="1" t="n">
        <v>770.628313</v>
      </c>
      <c r="H1209" s="1" t="s">
        <v>641</v>
      </c>
    </row>
    <row r="1210" customFormat="false" ht="15" hidden="false" customHeight="true" outlineLevel="0" collapsed="false">
      <c r="A1210" s="1" t="s">
        <v>599</v>
      </c>
      <c r="B1210" s="1" t="s">
        <v>55</v>
      </c>
      <c r="C1210" s="1" t="s">
        <v>647</v>
      </c>
      <c r="D1210" s="1" t="s">
        <v>290</v>
      </c>
      <c r="E1210" s="1" t="n">
        <v>32</v>
      </c>
      <c r="F1210" s="1" t="n">
        <v>22.6655386081983</v>
      </c>
      <c r="G1210" s="1" t="n">
        <v>725.297235</v>
      </c>
      <c r="H1210" s="1" t="s">
        <v>641</v>
      </c>
    </row>
    <row r="1211" customFormat="false" ht="15" hidden="false" customHeight="true" outlineLevel="0" collapsed="false">
      <c r="A1211" s="1" t="s">
        <v>599</v>
      </c>
      <c r="B1211" s="1" t="s">
        <v>55</v>
      </c>
      <c r="C1211" s="1" t="s">
        <v>647</v>
      </c>
      <c r="D1211" s="1" t="s">
        <v>285</v>
      </c>
      <c r="E1211" s="1" t="n">
        <v>42</v>
      </c>
      <c r="F1211" s="1" t="n">
        <v>22.6655386081983</v>
      </c>
      <c r="G1211" s="1" t="n">
        <v>951.952622</v>
      </c>
      <c r="H1211" s="1" t="s">
        <v>641</v>
      </c>
    </row>
    <row r="1212" customFormat="false" ht="15" hidden="false" customHeight="true" outlineLevel="0" collapsed="false">
      <c r="A1212" s="1" t="s">
        <v>599</v>
      </c>
      <c r="B1212" s="1" t="s">
        <v>55</v>
      </c>
      <c r="C1212" s="1" t="s">
        <v>647</v>
      </c>
      <c r="D1212" s="1" t="s">
        <v>294</v>
      </c>
      <c r="E1212" s="1" t="n">
        <v>11</v>
      </c>
      <c r="F1212" s="1" t="n">
        <v>22.6655386081983</v>
      </c>
      <c r="G1212" s="1" t="n">
        <v>249.320925</v>
      </c>
      <c r="H1212" s="1" t="s">
        <v>641</v>
      </c>
    </row>
    <row r="1213" customFormat="false" ht="15" hidden="false" customHeight="true" outlineLevel="0" collapsed="false">
      <c r="A1213" s="1" t="s">
        <v>599</v>
      </c>
      <c r="B1213" s="1" t="s">
        <v>55</v>
      </c>
      <c r="C1213" s="1" t="s">
        <v>647</v>
      </c>
      <c r="D1213" s="1" t="s">
        <v>291</v>
      </c>
      <c r="E1213" s="1" t="n">
        <v>42</v>
      </c>
      <c r="F1213" s="1" t="n">
        <v>22.6655386081983</v>
      </c>
      <c r="G1213" s="1" t="n">
        <v>951.952622</v>
      </c>
      <c r="H1213" s="1" t="s">
        <v>641</v>
      </c>
    </row>
    <row r="1214" customFormat="false" ht="15" hidden="false" customHeight="true" outlineLevel="0" collapsed="false">
      <c r="A1214" s="1" t="s">
        <v>599</v>
      </c>
      <c r="B1214" s="1" t="s">
        <v>55</v>
      </c>
      <c r="C1214" s="1" t="s">
        <v>647</v>
      </c>
      <c r="D1214" s="1" t="s">
        <v>286</v>
      </c>
      <c r="E1214" s="1" t="n">
        <v>18</v>
      </c>
      <c r="F1214" s="1" t="n">
        <v>22.6655386081983</v>
      </c>
      <c r="G1214" s="1" t="n">
        <v>407.979695</v>
      </c>
      <c r="H1214" s="1" t="s">
        <v>641</v>
      </c>
    </row>
    <row r="1215" customFormat="false" ht="15" hidden="false" customHeight="true" outlineLevel="0" collapsed="false">
      <c r="A1215" s="1" t="s">
        <v>599</v>
      </c>
      <c r="B1215" s="1" t="s">
        <v>55</v>
      </c>
      <c r="C1215" s="1" t="s">
        <v>647</v>
      </c>
      <c r="D1215" s="1" t="s">
        <v>283</v>
      </c>
      <c r="E1215" s="1" t="n">
        <v>17</v>
      </c>
      <c r="F1215" s="1" t="n">
        <v>22.6655386081983</v>
      </c>
      <c r="G1215" s="1" t="n">
        <v>385.314156</v>
      </c>
      <c r="H1215" s="1" t="s">
        <v>641</v>
      </c>
    </row>
    <row r="1216" customFormat="false" ht="15" hidden="false" customHeight="true" outlineLevel="0" collapsed="false">
      <c r="A1216" s="1" t="s">
        <v>626</v>
      </c>
      <c r="B1216" s="1" t="s">
        <v>55</v>
      </c>
      <c r="C1216" s="1" t="s">
        <v>647</v>
      </c>
      <c r="D1216" s="1" t="s">
        <v>288</v>
      </c>
      <c r="E1216" s="1" t="n">
        <v>34</v>
      </c>
      <c r="F1216" s="1" t="n">
        <v>21.8129266055046</v>
      </c>
      <c r="G1216" s="1" t="n">
        <v>741.639505</v>
      </c>
      <c r="H1216" s="1" t="s">
        <v>641</v>
      </c>
    </row>
    <row r="1217" customFormat="false" ht="15" hidden="false" customHeight="true" outlineLevel="0" collapsed="false">
      <c r="A1217" s="1" t="s">
        <v>626</v>
      </c>
      <c r="B1217" s="1" t="s">
        <v>55</v>
      </c>
      <c r="C1217" s="1" t="s">
        <v>647</v>
      </c>
      <c r="D1217" s="1" t="s">
        <v>290</v>
      </c>
      <c r="H1217" s="1" t="s">
        <v>648</v>
      </c>
    </row>
    <row r="1218" customFormat="false" ht="15" hidden="false" customHeight="true" outlineLevel="0" collapsed="false">
      <c r="A1218" s="1" t="s">
        <v>626</v>
      </c>
      <c r="B1218" s="1" t="s">
        <v>55</v>
      </c>
      <c r="C1218" s="1" t="s">
        <v>647</v>
      </c>
      <c r="D1218" s="1" t="s">
        <v>285</v>
      </c>
      <c r="E1218" s="1" t="n">
        <v>47</v>
      </c>
      <c r="F1218" s="1" t="n">
        <v>21.8129266055046</v>
      </c>
      <c r="G1218" s="1" t="n">
        <v>1025.20755</v>
      </c>
      <c r="H1218" s="1" t="s">
        <v>641</v>
      </c>
    </row>
    <row r="1219" customFormat="false" ht="15" hidden="false" customHeight="true" outlineLevel="0" collapsed="false">
      <c r="A1219" s="1" t="s">
        <v>626</v>
      </c>
      <c r="B1219" s="1" t="s">
        <v>55</v>
      </c>
      <c r="C1219" s="1" t="s">
        <v>647</v>
      </c>
      <c r="D1219" s="1" t="s">
        <v>294</v>
      </c>
      <c r="E1219" s="1" t="n">
        <v>11</v>
      </c>
      <c r="F1219" s="1" t="n">
        <v>21.8129266055046</v>
      </c>
      <c r="G1219" s="1" t="n">
        <v>239.942193</v>
      </c>
      <c r="H1219" s="1" t="s">
        <v>641</v>
      </c>
    </row>
    <row r="1220" customFormat="false" ht="15" hidden="false" customHeight="true" outlineLevel="0" collapsed="false">
      <c r="A1220" s="1" t="s">
        <v>626</v>
      </c>
      <c r="B1220" s="1" t="s">
        <v>55</v>
      </c>
      <c r="C1220" s="1" t="s">
        <v>647</v>
      </c>
      <c r="D1220" s="1" t="s">
        <v>291</v>
      </c>
      <c r="E1220" s="1" t="n">
        <v>50</v>
      </c>
      <c r="F1220" s="1" t="n">
        <v>21.8129266055046</v>
      </c>
      <c r="G1220" s="1" t="n">
        <v>1090.64633</v>
      </c>
      <c r="H1220" s="1" t="s">
        <v>641</v>
      </c>
    </row>
    <row r="1221" customFormat="false" ht="15" hidden="false" customHeight="true" outlineLevel="0" collapsed="false">
      <c r="A1221" s="1" t="s">
        <v>626</v>
      </c>
      <c r="B1221" s="1" t="s">
        <v>55</v>
      </c>
      <c r="C1221" s="1" t="s">
        <v>647</v>
      </c>
      <c r="D1221" s="1" t="s">
        <v>286</v>
      </c>
      <c r="E1221" s="1" t="n">
        <v>18</v>
      </c>
      <c r="F1221" s="1" t="n">
        <v>21.8129266055046</v>
      </c>
      <c r="G1221" s="1" t="n">
        <v>392.632679</v>
      </c>
      <c r="H1221" s="1" t="s">
        <v>641</v>
      </c>
    </row>
    <row r="1222" customFormat="false" ht="15" hidden="false" customHeight="true" outlineLevel="0" collapsed="false">
      <c r="A1222" s="1" t="s">
        <v>626</v>
      </c>
      <c r="B1222" s="1" t="s">
        <v>55</v>
      </c>
      <c r="C1222" s="1" t="s">
        <v>647</v>
      </c>
      <c r="D1222" s="1" t="s">
        <v>283</v>
      </c>
      <c r="E1222" s="1" t="n">
        <v>24</v>
      </c>
      <c r="F1222" s="1" t="n">
        <v>21.8129266055046</v>
      </c>
      <c r="G1222" s="1" t="n">
        <v>523.510239</v>
      </c>
      <c r="H1222" s="1" t="s">
        <v>641</v>
      </c>
    </row>
    <row r="1223" customFormat="false" ht="15" hidden="false" customHeight="true" outlineLevel="0" collapsed="false">
      <c r="A1223" s="1" t="s">
        <v>589</v>
      </c>
      <c r="B1223" s="1" t="s">
        <v>55</v>
      </c>
      <c r="C1223" s="1" t="s">
        <v>649</v>
      </c>
      <c r="D1223" s="1" t="s">
        <v>288</v>
      </c>
      <c r="E1223" s="1" t="n">
        <v>1</v>
      </c>
      <c r="F1223" s="1" t="n">
        <v>32179.26</v>
      </c>
      <c r="G1223" s="1" t="n">
        <v>32179.26</v>
      </c>
      <c r="H1223" s="1" t="s">
        <v>650</v>
      </c>
    </row>
    <row r="1224" customFormat="false" ht="15" hidden="false" customHeight="true" outlineLevel="0" collapsed="false">
      <c r="A1224" s="1" t="s">
        <v>589</v>
      </c>
      <c r="B1224" s="1" t="s">
        <v>55</v>
      </c>
      <c r="C1224" s="1" t="s">
        <v>649</v>
      </c>
      <c r="D1224" s="1" t="s">
        <v>294</v>
      </c>
      <c r="E1224" s="1" t="n">
        <v>1</v>
      </c>
      <c r="F1224" s="1" t="n">
        <v>18442.4</v>
      </c>
      <c r="G1224" s="1" t="n">
        <v>18442.4</v>
      </c>
      <c r="H1224" s="1" t="s">
        <v>650</v>
      </c>
    </row>
    <row r="1225" customFormat="false" ht="15" hidden="false" customHeight="true" outlineLevel="0" collapsed="false">
      <c r="A1225" s="1" t="s">
        <v>589</v>
      </c>
      <c r="B1225" s="1" t="s">
        <v>55</v>
      </c>
      <c r="C1225" s="1" t="s">
        <v>649</v>
      </c>
      <c r="D1225" s="1" t="s">
        <v>291</v>
      </c>
      <c r="E1225" s="1" t="n">
        <v>1</v>
      </c>
      <c r="F1225" s="1" t="n">
        <v>38121.52</v>
      </c>
      <c r="G1225" s="1" t="n">
        <v>38121.52</v>
      </c>
      <c r="H1225" s="1" t="s">
        <v>650</v>
      </c>
    </row>
    <row r="1226" customFormat="false" ht="15" hidden="false" customHeight="true" outlineLevel="0" collapsed="false">
      <c r="A1226" s="1" t="s">
        <v>589</v>
      </c>
      <c r="B1226" s="1" t="s">
        <v>55</v>
      </c>
      <c r="C1226" s="1" t="s">
        <v>649</v>
      </c>
      <c r="D1226" s="1" t="s">
        <v>285</v>
      </c>
      <c r="E1226" s="1" t="n">
        <v>1</v>
      </c>
      <c r="F1226" s="1" t="n">
        <v>81174.19</v>
      </c>
      <c r="G1226" s="1" t="n">
        <v>81174.19</v>
      </c>
      <c r="H1226" s="1" t="s">
        <v>650</v>
      </c>
    </row>
    <row r="1227" customFormat="false" ht="15" hidden="false" customHeight="true" outlineLevel="0" collapsed="false">
      <c r="A1227" s="1" t="s">
        <v>589</v>
      </c>
      <c r="B1227" s="1" t="s">
        <v>55</v>
      </c>
      <c r="C1227" s="1" t="s">
        <v>649</v>
      </c>
      <c r="D1227" s="1" t="s">
        <v>286</v>
      </c>
      <c r="E1227" s="1" t="n">
        <v>1</v>
      </c>
      <c r="F1227" s="1" t="n">
        <v>24421.33</v>
      </c>
      <c r="G1227" s="1" t="n">
        <v>24421.33</v>
      </c>
      <c r="H1227" s="1" t="s">
        <v>650</v>
      </c>
    </row>
    <row r="1228" customFormat="false" ht="15" hidden="false" customHeight="true" outlineLevel="0" collapsed="false">
      <c r="A1228" s="1" t="s">
        <v>589</v>
      </c>
      <c r="B1228" s="1" t="s">
        <v>55</v>
      </c>
      <c r="C1228" s="1" t="s">
        <v>649</v>
      </c>
      <c r="D1228" s="1" t="s">
        <v>283</v>
      </c>
      <c r="E1228" s="1" t="n">
        <v>1</v>
      </c>
      <c r="F1228" s="1" t="n">
        <v>29324.31</v>
      </c>
      <c r="G1228" s="1" t="n">
        <v>29324.31</v>
      </c>
      <c r="H1228" s="1" t="s">
        <v>650</v>
      </c>
    </row>
    <row r="1229" customFormat="false" ht="15" hidden="false" customHeight="true" outlineLevel="0" collapsed="false">
      <c r="A1229" s="1" t="s">
        <v>599</v>
      </c>
      <c r="B1229" s="1" t="s">
        <v>55</v>
      </c>
      <c r="C1229" s="1" t="s">
        <v>649</v>
      </c>
      <c r="D1229" s="1" t="s">
        <v>288</v>
      </c>
      <c r="E1229" s="1" t="n">
        <v>1</v>
      </c>
      <c r="F1229" s="1" t="n">
        <v>33737.43</v>
      </c>
      <c r="G1229" s="1" t="n">
        <v>33737.43</v>
      </c>
      <c r="H1229" s="1" t="s">
        <v>650</v>
      </c>
    </row>
    <row r="1230" customFormat="false" ht="15" hidden="false" customHeight="true" outlineLevel="0" collapsed="false">
      <c r="A1230" s="1" t="s">
        <v>599</v>
      </c>
      <c r="B1230" s="1" t="s">
        <v>55</v>
      </c>
      <c r="C1230" s="1" t="s">
        <v>649</v>
      </c>
      <c r="D1230" s="1" t="s">
        <v>294</v>
      </c>
      <c r="E1230" s="1" t="n">
        <v>1</v>
      </c>
      <c r="F1230" s="1" t="n">
        <v>20747.18</v>
      </c>
      <c r="G1230" s="1" t="n">
        <v>20747.18</v>
      </c>
      <c r="H1230" s="1" t="s">
        <v>650</v>
      </c>
    </row>
    <row r="1231" customFormat="false" ht="15" hidden="false" customHeight="true" outlineLevel="0" collapsed="false">
      <c r="A1231" s="1" t="s">
        <v>599</v>
      </c>
      <c r="B1231" s="1" t="s">
        <v>55</v>
      </c>
      <c r="C1231" s="1" t="s">
        <v>649</v>
      </c>
      <c r="D1231" s="1" t="s">
        <v>291</v>
      </c>
      <c r="E1231" s="1" t="n">
        <v>1</v>
      </c>
      <c r="F1231" s="1" t="n">
        <v>40834.77</v>
      </c>
      <c r="G1231" s="1" t="n">
        <v>40834.77</v>
      </c>
      <c r="H1231" s="1" t="s">
        <v>650</v>
      </c>
    </row>
    <row r="1232" customFormat="false" ht="15" hidden="false" customHeight="true" outlineLevel="0" collapsed="false">
      <c r="A1232" s="1" t="s">
        <v>599</v>
      </c>
      <c r="B1232" s="1" t="s">
        <v>55</v>
      </c>
      <c r="C1232" s="1" t="s">
        <v>649</v>
      </c>
      <c r="D1232" s="1" t="s">
        <v>285</v>
      </c>
      <c r="E1232" s="1" t="n">
        <v>1</v>
      </c>
      <c r="F1232" s="1" t="n">
        <v>88540.29</v>
      </c>
      <c r="G1232" s="1" t="n">
        <v>88540.29</v>
      </c>
      <c r="H1232" s="1" t="s">
        <v>650</v>
      </c>
    </row>
    <row r="1233" customFormat="false" ht="15" hidden="false" customHeight="true" outlineLevel="0" collapsed="false">
      <c r="A1233" s="1" t="s">
        <v>599</v>
      </c>
      <c r="B1233" s="1" t="s">
        <v>55</v>
      </c>
      <c r="C1233" s="1" t="s">
        <v>649</v>
      </c>
      <c r="D1233" s="1" t="s">
        <v>286</v>
      </c>
      <c r="E1233" s="1" t="n">
        <v>1</v>
      </c>
      <c r="F1233" s="1" t="n">
        <v>26681.82</v>
      </c>
      <c r="G1233" s="1" t="n">
        <v>26681.82</v>
      </c>
      <c r="H1233" s="1" t="s">
        <v>650</v>
      </c>
    </row>
    <row r="1234" customFormat="false" ht="15" hidden="false" customHeight="true" outlineLevel="0" collapsed="false">
      <c r="A1234" s="1" t="s">
        <v>599</v>
      </c>
      <c r="B1234" s="1" t="s">
        <v>55</v>
      </c>
      <c r="C1234" s="1" t="s">
        <v>649</v>
      </c>
      <c r="D1234" s="1" t="s">
        <v>283</v>
      </c>
      <c r="E1234" s="1" t="n">
        <v>1</v>
      </c>
      <c r="F1234" s="1" t="n">
        <v>31624.98</v>
      </c>
      <c r="G1234" s="1" t="n">
        <v>31624.98</v>
      </c>
      <c r="H1234" s="1" t="s">
        <v>650</v>
      </c>
    </row>
    <row r="1235" customFormat="false" ht="15" hidden="false" customHeight="true" outlineLevel="0" collapsed="false">
      <c r="A1235" s="1" t="s">
        <v>626</v>
      </c>
      <c r="B1235" s="1" t="s">
        <v>55</v>
      </c>
      <c r="C1235" s="1" t="s">
        <v>649</v>
      </c>
      <c r="D1235" s="1" t="s">
        <v>288</v>
      </c>
      <c r="E1235" s="1" t="n">
        <v>1</v>
      </c>
      <c r="F1235" s="1" t="n">
        <v>37628.98</v>
      </c>
      <c r="G1235" s="1" t="n">
        <v>37628.98</v>
      </c>
      <c r="H1235" s="1" t="s">
        <v>650</v>
      </c>
    </row>
    <row r="1236" customFormat="false" ht="15" hidden="false" customHeight="true" outlineLevel="0" collapsed="false">
      <c r="A1236" s="1" t="s">
        <v>626</v>
      </c>
      <c r="B1236" s="1" t="s">
        <v>55</v>
      </c>
      <c r="C1236" s="1" t="s">
        <v>649</v>
      </c>
      <c r="D1236" s="1" t="s">
        <v>294</v>
      </c>
      <c r="E1236" s="1" t="n">
        <v>1</v>
      </c>
      <c r="F1236" s="1" t="n">
        <v>21544.9</v>
      </c>
      <c r="G1236" s="1" t="n">
        <v>21544.9</v>
      </c>
      <c r="H1236" s="1" t="s">
        <v>650</v>
      </c>
    </row>
    <row r="1237" customFormat="false" ht="15" hidden="false" customHeight="true" outlineLevel="0" collapsed="false">
      <c r="A1237" s="1" t="s">
        <v>626</v>
      </c>
      <c r="B1237" s="1" t="s">
        <v>55</v>
      </c>
      <c r="C1237" s="1" t="s">
        <v>649</v>
      </c>
      <c r="D1237" s="1" t="s">
        <v>291</v>
      </c>
      <c r="E1237" s="1" t="n">
        <v>1</v>
      </c>
      <c r="F1237" s="1" t="n">
        <v>41387.02</v>
      </c>
      <c r="G1237" s="1" t="n">
        <v>41387.02</v>
      </c>
      <c r="H1237" s="1" t="s">
        <v>650</v>
      </c>
    </row>
    <row r="1238" customFormat="false" ht="15" hidden="false" customHeight="true" outlineLevel="0" collapsed="false">
      <c r="A1238" s="1" t="s">
        <v>626</v>
      </c>
      <c r="B1238" s="1" t="s">
        <v>55</v>
      </c>
      <c r="C1238" s="1" t="s">
        <v>649</v>
      </c>
      <c r="D1238" s="1" t="s">
        <v>285</v>
      </c>
      <c r="E1238" s="1" t="n">
        <v>1</v>
      </c>
      <c r="F1238" s="1" t="n">
        <v>90134.89</v>
      </c>
      <c r="G1238" s="1" t="n">
        <v>90134.89</v>
      </c>
      <c r="H1238" s="1" t="s">
        <v>650</v>
      </c>
    </row>
    <row r="1239" customFormat="false" ht="15" hidden="false" customHeight="true" outlineLevel="0" collapsed="false">
      <c r="A1239" s="1" t="s">
        <v>626</v>
      </c>
      <c r="B1239" s="1" t="s">
        <v>55</v>
      </c>
      <c r="C1239" s="1" t="s">
        <v>649</v>
      </c>
      <c r="D1239" s="1" t="s">
        <v>286</v>
      </c>
      <c r="E1239" s="1" t="n">
        <v>1</v>
      </c>
      <c r="F1239" s="1" t="n">
        <v>26769.64</v>
      </c>
      <c r="G1239" s="1" t="n">
        <v>26769.64</v>
      </c>
      <c r="H1239" s="1" t="s">
        <v>650</v>
      </c>
    </row>
    <row r="1240" customFormat="false" ht="15" hidden="false" customHeight="true" outlineLevel="0" collapsed="false">
      <c r="A1240" s="1" t="s">
        <v>626</v>
      </c>
      <c r="B1240" s="1" t="s">
        <v>55</v>
      </c>
      <c r="C1240" s="1" t="s">
        <v>649</v>
      </c>
      <c r="D1240" s="1" t="s">
        <v>283</v>
      </c>
      <c r="E1240" s="1" t="n">
        <v>1</v>
      </c>
      <c r="F1240" s="1" t="n">
        <v>31924.42</v>
      </c>
      <c r="G1240" s="1" t="n">
        <v>31924.42</v>
      </c>
      <c r="H1240" s="1" t="s">
        <v>650</v>
      </c>
    </row>
    <row r="1241" customFormat="false" ht="15" hidden="false" customHeight="true" outlineLevel="0" collapsed="false">
      <c r="A1241" s="1" t="s">
        <v>589</v>
      </c>
      <c r="B1241" s="1" t="s">
        <v>41</v>
      </c>
      <c r="C1241" s="1" t="s">
        <v>41</v>
      </c>
      <c r="D1241" s="1" t="s">
        <v>288</v>
      </c>
      <c r="E1241" s="1" t="n">
        <v>6280</v>
      </c>
      <c r="F1241" s="1" t="n">
        <v>0.0950854396452147</v>
      </c>
      <c r="G1241" s="1" t="n">
        <v>597.136560971948</v>
      </c>
      <c r="H1241" s="1" t="s">
        <v>395</v>
      </c>
    </row>
    <row r="1242" customFormat="false" ht="15" hidden="false" customHeight="true" outlineLevel="0" collapsed="false">
      <c r="A1242" s="1" t="s">
        <v>589</v>
      </c>
      <c r="B1242" s="1" t="s">
        <v>41</v>
      </c>
      <c r="C1242" s="1" t="s">
        <v>41</v>
      </c>
      <c r="D1242" s="1" t="s">
        <v>285</v>
      </c>
      <c r="E1242" s="1" t="n">
        <v>14331</v>
      </c>
      <c r="F1242" s="1" t="n">
        <v>0.0950854396452147</v>
      </c>
      <c r="G1242" s="1" t="n">
        <v>1362.66943555557</v>
      </c>
      <c r="H1242" s="1" t="s">
        <v>395</v>
      </c>
    </row>
    <row r="1243" customFormat="false" ht="15" hidden="false" customHeight="true" outlineLevel="0" collapsed="false">
      <c r="A1243" s="1" t="s">
        <v>589</v>
      </c>
      <c r="B1243" s="1" t="s">
        <v>41</v>
      </c>
      <c r="C1243" s="1" t="s">
        <v>41</v>
      </c>
      <c r="D1243" s="1" t="s">
        <v>294</v>
      </c>
      <c r="E1243" s="1" t="n">
        <v>3650</v>
      </c>
      <c r="F1243" s="1" t="n">
        <v>0.0950854396452147</v>
      </c>
      <c r="G1243" s="1" t="n">
        <v>347.061854705034</v>
      </c>
      <c r="H1243" s="1" t="s">
        <v>395</v>
      </c>
    </row>
    <row r="1244" customFormat="false" ht="15" hidden="false" customHeight="true" outlineLevel="0" collapsed="false">
      <c r="A1244" s="1" t="s">
        <v>589</v>
      </c>
      <c r="B1244" s="1" t="s">
        <v>41</v>
      </c>
      <c r="C1244" s="1" t="s">
        <v>41</v>
      </c>
      <c r="D1244" s="1" t="s">
        <v>291</v>
      </c>
      <c r="E1244" s="1" t="n">
        <v>6396</v>
      </c>
      <c r="F1244" s="1" t="n">
        <v>0.0950854396452147</v>
      </c>
      <c r="G1244" s="1" t="n">
        <v>608.166471970793</v>
      </c>
      <c r="H1244" s="1" t="s">
        <v>395</v>
      </c>
    </row>
    <row r="1245" customFormat="false" ht="15" hidden="false" customHeight="true" outlineLevel="0" collapsed="false">
      <c r="A1245" s="1" t="s">
        <v>589</v>
      </c>
      <c r="B1245" s="1" t="s">
        <v>41</v>
      </c>
      <c r="C1245" s="1" t="s">
        <v>41</v>
      </c>
      <c r="D1245" s="1" t="s">
        <v>286</v>
      </c>
      <c r="E1245" s="1" t="n">
        <v>4730</v>
      </c>
      <c r="F1245" s="1" t="n">
        <v>0.0950854396452147</v>
      </c>
      <c r="G1245" s="1" t="n">
        <v>449.754129521866</v>
      </c>
      <c r="H1245" s="1" t="s">
        <v>395</v>
      </c>
    </row>
    <row r="1246" customFormat="false" ht="15" hidden="false" customHeight="true" outlineLevel="0" collapsed="false">
      <c r="A1246" s="1" t="s">
        <v>589</v>
      </c>
      <c r="B1246" s="1" t="s">
        <v>41</v>
      </c>
      <c r="C1246" s="1" t="s">
        <v>41</v>
      </c>
      <c r="D1246" s="1" t="s">
        <v>283</v>
      </c>
      <c r="E1246" s="1" t="n">
        <v>4782</v>
      </c>
      <c r="F1246" s="1" t="n">
        <v>0.0950854396452147</v>
      </c>
      <c r="G1246" s="1" t="n">
        <v>454.698572383417</v>
      </c>
      <c r="H1246" s="1" t="s">
        <v>395</v>
      </c>
    </row>
    <row r="1247" customFormat="false" ht="15" hidden="false" customHeight="true" outlineLevel="0" collapsed="false">
      <c r="A1247" s="1" t="s">
        <v>599</v>
      </c>
      <c r="B1247" s="1" t="s">
        <v>41</v>
      </c>
      <c r="C1247" s="1" t="s">
        <v>41</v>
      </c>
      <c r="D1247" s="1" t="s">
        <v>288</v>
      </c>
      <c r="E1247" s="1" t="n">
        <v>6445</v>
      </c>
      <c r="F1247" s="1" t="n">
        <v>0.0926479707456773</v>
      </c>
      <c r="G1247" s="1" t="n">
        <v>597.11617145589</v>
      </c>
      <c r="H1247" s="1" t="s">
        <v>395</v>
      </c>
    </row>
    <row r="1248" customFormat="false" ht="15" hidden="false" customHeight="true" outlineLevel="0" collapsed="false">
      <c r="A1248" s="1" t="s">
        <v>599</v>
      </c>
      <c r="B1248" s="1" t="s">
        <v>41</v>
      </c>
      <c r="C1248" s="1" t="s">
        <v>41</v>
      </c>
      <c r="D1248" s="1" t="s">
        <v>285</v>
      </c>
      <c r="E1248" s="1" t="n">
        <v>14441</v>
      </c>
      <c r="F1248" s="1" t="n">
        <v>0.0926479707456773</v>
      </c>
      <c r="G1248" s="1" t="n">
        <v>1337.92934553833</v>
      </c>
      <c r="H1248" s="1" t="s">
        <v>395</v>
      </c>
    </row>
    <row r="1249" customFormat="false" ht="15" hidden="false" customHeight="true" outlineLevel="0" collapsed="false">
      <c r="A1249" s="1" t="s">
        <v>599</v>
      </c>
      <c r="B1249" s="1" t="s">
        <v>41</v>
      </c>
      <c r="C1249" s="1" t="s">
        <v>41</v>
      </c>
      <c r="D1249" s="1" t="s">
        <v>294</v>
      </c>
      <c r="E1249" s="1" t="n">
        <v>3704</v>
      </c>
      <c r="F1249" s="1" t="n">
        <v>0.0926479707456773</v>
      </c>
      <c r="G1249" s="1" t="n">
        <v>343.168083641989</v>
      </c>
      <c r="H1249" s="1" t="s">
        <v>395</v>
      </c>
    </row>
    <row r="1250" customFormat="false" ht="15" hidden="false" customHeight="true" outlineLevel="0" collapsed="false">
      <c r="A1250" s="1" t="s">
        <v>599</v>
      </c>
      <c r="B1250" s="1" t="s">
        <v>41</v>
      </c>
      <c r="C1250" s="1" t="s">
        <v>41</v>
      </c>
      <c r="D1250" s="1" t="s">
        <v>291</v>
      </c>
      <c r="E1250" s="1" t="n">
        <v>6434</v>
      </c>
      <c r="F1250" s="1" t="n">
        <v>0.0926479707456773</v>
      </c>
      <c r="G1250" s="1" t="n">
        <v>596.097043777688</v>
      </c>
      <c r="H1250" s="1" t="s">
        <v>395</v>
      </c>
    </row>
    <row r="1251" customFormat="false" ht="15" hidden="false" customHeight="true" outlineLevel="0" collapsed="false">
      <c r="A1251" s="1" t="s">
        <v>599</v>
      </c>
      <c r="B1251" s="1" t="s">
        <v>41</v>
      </c>
      <c r="C1251" s="1" t="s">
        <v>41</v>
      </c>
      <c r="D1251" s="1" t="s">
        <v>286</v>
      </c>
      <c r="E1251" s="1" t="n">
        <v>4749</v>
      </c>
      <c r="F1251" s="1" t="n">
        <v>0.0926479707456773</v>
      </c>
      <c r="G1251" s="1" t="n">
        <v>439.985213071222</v>
      </c>
      <c r="H1251" s="1" t="s">
        <v>395</v>
      </c>
    </row>
    <row r="1252" customFormat="false" ht="15" hidden="false" customHeight="true" outlineLevel="0" collapsed="false">
      <c r="A1252" s="1" t="s">
        <v>599</v>
      </c>
      <c r="B1252" s="1" t="s">
        <v>41</v>
      </c>
      <c r="C1252" s="1" t="s">
        <v>41</v>
      </c>
      <c r="D1252" s="1" t="s">
        <v>283</v>
      </c>
      <c r="E1252" s="1" t="n">
        <v>4795</v>
      </c>
      <c r="F1252" s="1" t="n">
        <v>0.0926479707456773</v>
      </c>
      <c r="G1252" s="1" t="n">
        <v>444.247019725523</v>
      </c>
      <c r="H1252" s="1" t="s">
        <v>395</v>
      </c>
    </row>
    <row r="1253" customFormat="false" ht="15" hidden="false" customHeight="true" outlineLevel="0" collapsed="false">
      <c r="A1253" s="1" t="s">
        <v>626</v>
      </c>
      <c r="B1253" s="1" t="s">
        <v>41</v>
      </c>
      <c r="C1253" s="1" t="s">
        <v>41</v>
      </c>
      <c r="D1253" s="1" t="s">
        <v>288</v>
      </c>
      <c r="E1253" s="1" t="n">
        <v>6588</v>
      </c>
      <c r="F1253" s="1" t="n">
        <v>0.0997407208857964</v>
      </c>
      <c r="G1253" s="1" t="n">
        <v>657.091869195627</v>
      </c>
      <c r="H1253" s="1" t="s">
        <v>395</v>
      </c>
    </row>
    <row r="1254" customFormat="false" ht="15" hidden="false" customHeight="true" outlineLevel="0" collapsed="false">
      <c r="A1254" s="1" t="s">
        <v>626</v>
      </c>
      <c r="B1254" s="1" t="s">
        <v>41</v>
      </c>
      <c r="C1254" s="1" t="s">
        <v>41</v>
      </c>
      <c r="D1254" s="1" t="s">
        <v>285</v>
      </c>
      <c r="E1254" s="1" t="n">
        <v>14689</v>
      </c>
      <c r="F1254" s="1" t="n">
        <v>0.0997407208857964</v>
      </c>
      <c r="G1254" s="1" t="n">
        <v>1465.09144909146</v>
      </c>
      <c r="H1254" s="1" t="s">
        <v>395</v>
      </c>
    </row>
    <row r="1255" customFormat="false" ht="14.25" hidden="false" customHeight="true" outlineLevel="0" collapsed="false">
      <c r="A1255" s="1" t="s">
        <v>626</v>
      </c>
      <c r="B1255" s="1" t="s">
        <v>41</v>
      </c>
      <c r="C1255" s="1" t="s">
        <v>41</v>
      </c>
      <c r="D1255" s="1" t="s">
        <v>294</v>
      </c>
      <c r="E1255" s="1" t="n">
        <v>3765</v>
      </c>
      <c r="F1255" s="1" t="n">
        <v>0.0997407208857964</v>
      </c>
      <c r="G1255" s="1" t="n">
        <v>375.523814135023</v>
      </c>
      <c r="H1255" s="1" t="s">
        <v>395</v>
      </c>
    </row>
    <row r="1256" customFormat="false" ht="14.25" hidden="false" customHeight="true" outlineLevel="0" collapsed="false">
      <c r="A1256" s="1" t="s">
        <v>626</v>
      </c>
      <c r="B1256" s="1" t="s">
        <v>41</v>
      </c>
      <c r="C1256" s="1" t="s">
        <v>41</v>
      </c>
      <c r="D1256" s="1" t="s">
        <v>291</v>
      </c>
      <c r="E1256" s="1" t="n">
        <v>6568</v>
      </c>
      <c r="F1256" s="1" t="n">
        <v>0.0997407208857964</v>
      </c>
      <c r="G1256" s="1" t="n">
        <v>655.097054777911</v>
      </c>
      <c r="H1256" s="1" t="s">
        <v>395</v>
      </c>
    </row>
    <row r="1257" customFormat="false" ht="14.25" hidden="false" customHeight="true" outlineLevel="0" collapsed="false">
      <c r="A1257" s="1" t="s">
        <v>626</v>
      </c>
      <c r="B1257" s="1" t="s">
        <v>41</v>
      </c>
      <c r="C1257" s="1" t="s">
        <v>41</v>
      </c>
      <c r="D1257" s="1" t="s">
        <v>286</v>
      </c>
      <c r="E1257" s="1" t="n">
        <v>4805</v>
      </c>
      <c r="F1257" s="1" t="n">
        <v>0.0997407208857964</v>
      </c>
      <c r="G1257" s="1" t="n">
        <v>479.254163856252</v>
      </c>
      <c r="H1257" s="1" t="s">
        <v>395</v>
      </c>
    </row>
    <row r="1258" customFormat="false" ht="14.25" hidden="false" customHeight="true" outlineLevel="0" collapsed="false">
      <c r="A1258" s="1" t="s">
        <v>626</v>
      </c>
      <c r="B1258" s="1" t="s">
        <v>41</v>
      </c>
      <c r="C1258" s="1" t="s">
        <v>41</v>
      </c>
      <c r="D1258" s="1" t="s">
        <v>283</v>
      </c>
      <c r="E1258" s="1" t="n">
        <v>4806</v>
      </c>
      <c r="F1258" s="1" t="n">
        <v>0.0997407208857964</v>
      </c>
      <c r="G1258" s="1" t="n">
        <v>479.353904577138</v>
      </c>
      <c r="H1258" s="1" t="s">
        <v>395</v>
      </c>
    </row>
    <row r="1259" customFormat="false" ht="14.25" hidden="false" customHeight="true" outlineLevel="0" collapsed="false">
      <c r="A1259" s="1" t="s">
        <v>651</v>
      </c>
      <c r="B1259" s="1" t="s">
        <v>43</v>
      </c>
      <c r="C1259" s="1" t="s">
        <v>43</v>
      </c>
      <c r="D1259" s="1" t="s">
        <v>288</v>
      </c>
      <c r="E1259" s="1" t="n">
        <v>6647</v>
      </c>
      <c r="F1259" s="1" t="n">
        <v>0.128580108535781</v>
      </c>
      <c r="G1259" s="1" t="n">
        <v>854.671981437336</v>
      </c>
      <c r="H1259" s="1" t="s">
        <v>395</v>
      </c>
    </row>
    <row r="1260" customFormat="false" ht="14.25" hidden="false" customHeight="true" outlineLevel="0" collapsed="false">
      <c r="A1260" s="1" t="s">
        <v>651</v>
      </c>
      <c r="B1260" s="1" t="s">
        <v>43</v>
      </c>
      <c r="C1260" s="1" t="s">
        <v>43</v>
      </c>
      <c r="D1260" s="1" t="s">
        <v>294</v>
      </c>
      <c r="E1260" s="1" t="n">
        <v>3735</v>
      </c>
      <c r="F1260" s="1" t="n">
        <v>0.128580108535781</v>
      </c>
      <c r="G1260" s="1" t="n">
        <v>480.246705381142</v>
      </c>
      <c r="H1260" s="1" t="s">
        <v>395</v>
      </c>
    </row>
    <row r="1261" customFormat="false" ht="14.25" hidden="false" customHeight="true" outlineLevel="0" collapsed="false">
      <c r="A1261" s="1" t="s">
        <v>651</v>
      </c>
      <c r="B1261" s="1" t="s">
        <v>43</v>
      </c>
      <c r="C1261" s="1" t="s">
        <v>43</v>
      </c>
      <c r="D1261" s="1" t="s">
        <v>291</v>
      </c>
      <c r="E1261" s="1" t="n">
        <v>6601</v>
      </c>
      <c r="F1261" s="1" t="n">
        <v>0.128580108535781</v>
      </c>
      <c r="G1261" s="1" t="n">
        <v>848.75729644469</v>
      </c>
      <c r="H1261" s="1" t="s">
        <v>395</v>
      </c>
    </row>
    <row r="1262" customFormat="false" ht="14.25" hidden="false" customHeight="true" outlineLevel="0" collapsed="false">
      <c r="A1262" s="1" t="s">
        <v>651</v>
      </c>
      <c r="B1262" s="1" t="s">
        <v>43</v>
      </c>
      <c r="C1262" s="1" t="s">
        <v>43</v>
      </c>
      <c r="D1262" s="1" t="s">
        <v>285</v>
      </c>
      <c r="E1262" s="1" t="n">
        <v>14697</v>
      </c>
      <c r="F1262" s="1" t="n">
        <v>0.128580108535781</v>
      </c>
      <c r="G1262" s="1" t="n">
        <v>1889.74185515037</v>
      </c>
      <c r="H1262" s="1" t="s">
        <v>395</v>
      </c>
    </row>
    <row r="1263" customFormat="false" ht="14.25" hidden="false" customHeight="true" outlineLevel="0" collapsed="false">
      <c r="A1263" s="1" t="s">
        <v>651</v>
      </c>
      <c r="B1263" s="1" t="s">
        <v>43</v>
      </c>
      <c r="C1263" s="1" t="s">
        <v>43</v>
      </c>
      <c r="D1263" s="1" t="s">
        <v>286</v>
      </c>
      <c r="E1263" s="1" t="n">
        <v>4789</v>
      </c>
      <c r="F1263" s="1" t="n">
        <v>0.128580108535781</v>
      </c>
      <c r="G1263" s="1" t="n">
        <v>615.770139777855</v>
      </c>
      <c r="H1263" s="1" t="s">
        <v>395</v>
      </c>
    </row>
    <row r="1264" customFormat="false" ht="14.25" hidden="false" customHeight="true" outlineLevel="0" collapsed="false">
      <c r="A1264" s="1" t="s">
        <v>651</v>
      </c>
      <c r="B1264" s="1" t="s">
        <v>43</v>
      </c>
      <c r="C1264" s="1" t="s">
        <v>43</v>
      </c>
      <c r="D1264" s="1" t="s">
        <v>283</v>
      </c>
      <c r="E1264" s="1" t="n">
        <v>4796</v>
      </c>
      <c r="F1264" s="1" t="n">
        <v>0.128580108535781</v>
      </c>
      <c r="G1264" s="1" t="n">
        <v>616.670200537606</v>
      </c>
      <c r="H1264" s="1" t="s">
        <v>395</v>
      </c>
    </row>
    <row r="1265" customFormat="false" ht="14.25" hidden="false" customHeight="true" outlineLevel="0" collapsed="false">
      <c r="A1265" s="1" t="s">
        <v>651</v>
      </c>
      <c r="B1265" s="1" t="s">
        <v>31</v>
      </c>
      <c r="C1265" s="1" t="s">
        <v>31</v>
      </c>
      <c r="D1265" s="1" t="s">
        <v>288</v>
      </c>
      <c r="E1265" s="1" t="n">
        <v>6647</v>
      </c>
      <c r="F1265" s="1" t="n">
        <v>0.217040117664959</v>
      </c>
      <c r="G1265" s="1" t="n">
        <v>1442.66566211898</v>
      </c>
      <c r="H1265" s="1" t="s">
        <v>395</v>
      </c>
    </row>
    <row r="1266" customFormat="false" ht="14.25" hidden="false" customHeight="true" outlineLevel="0" collapsed="false">
      <c r="A1266" s="1" t="s">
        <v>651</v>
      </c>
      <c r="B1266" s="1" t="s">
        <v>31</v>
      </c>
      <c r="C1266" s="1" t="s">
        <v>31</v>
      </c>
      <c r="D1266" s="1" t="s">
        <v>290</v>
      </c>
      <c r="E1266" s="1" t="n">
        <v>13510</v>
      </c>
      <c r="F1266" s="1" t="n">
        <v>0.217040117664959</v>
      </c>
      <c r="G1266" s="1" t="n">
        <v>2932.2119896536</v>
      </c>
      <c r="H1266" s="1" t="s">
        <v>395</v>
      </c>
    </row>
    <row r="1267" customFormat="false" ht="14.25" hidden="false" customHeight="true" outlineLevel="0" collapsed="false">
      <c r="A1267" s="1" t="s">
        <v>651</v>
      </c>
      <c r="B1267" s="1" t="s">
        <v>31</v>
      </c>
      <c r="C1267" s="1" t="s">
        <v>31</v>
      </c>
      <c r="D1267" s="1" t="s">
        <v>294</v>
      </c>
      <c r="E1267" s="1" t="n">
        <v>3735</v>
      </c>
      <c r="F1267" s="1" t="n">
        <v>0.217040117664959</v>
      </c>
      <c r="G1267" s="1" t="n">
        <v>810.644839478622</v>
      </c>
      <c r="H1267" s="1" t="s">
        <v>395</v>
      </c>
    </row>
    <row r="1268" customFormat="false" ht="14.25" hidden="false" customHeight="true" outlineLevel="0" collapsed="false">
      <c r="A1268" s="1" t="s">
        <v>651</v>
      </c>
      <c r="B1268" s="1" t="s">
        <v>31</v>
      </c>
      <c r="C1268" s="1" t="s">
        <v>31</v>
      </c>
      <c r="D1268" s="1" t="s">
        <v>291</v>
      </c>
      <c r="E1268" s="1" t="n">
        <v>6601</v>
      </c>
      <c r="F1268" s="1" t="n">
        <v>0.217040117664959</v>
      </c>
      <c r="G1268" s="1" t="n">
        <v>1432.68181670639</v>
      </c>
      <c r="H1268" s="1" t="s">
        <v>395</v>
      </c>
    </row>
    <row r="1269" customFormat="false" ht="14.25" hidden="false" customHeight="true" outlineLevel="0" collapsed="false">
      <c r="A1269" s="1" t="s">
        <v>651</v>
      </c>
      <c r="B1269" s="1" t="s">
        <v>31</v>
      </c>
      <c r="C1269" s="1" t="s">
        <v>31</v>
      </c>
      <c r="D1269" s="1" t="s">
        <v>285</v>
      </c>
      <c r="E1269" s="1" t="n">
        <v>14697</v>
      </c>
      <c r="F1269" s="1" t="n">
        <v>0.217040117664959</v>
      </c>
      <c r="G1269" s="1" t="n">
        <v>3189.8386093219</v>
      </c>
      <c r="H1269" s="1" t="s">
        <v>395</v>
      </c>
    </row>
    <row r="1270" customFormat="false" ht="14.25" hidden="false" customHeight="true" outlineLevel="0" collapsed="false">
      <c r="A1270" s="1" t="s">
        <v>651</v>
      </c>
      <c r="B1270" s="1" t="s">
        <v>31</v>
      </c>
      <c r="C1270" s="1" t="s">
        <v>31</v>
      </c>
      <c r="D1270" s="1" t="s">
        <v>286</v>
      </c>
      <c r="E1270" s="1" t="n">
        <v>4789</v>
      </c>
      <c r="F1270" s="1" t="n">
        <v>0.217040117664959</v>
      </c>
      <c r="G1270" s="1" t="n">
        <v>1039.40512349749</v>
      </c>
      <c r="H1270" s="1" t="s">
        <v>395</v>
      </c>
    </row>
    <row r="1271" customFormat="false" ht="14.25" hidden="false" customHeight="true" outlineLevel="0" collapsed="false">
      <c r="A1271" s="1" t="s">
        <v>651</v>
      </c>
      <c r="B1271" s="1" t="s">
        <v>31</v>
      </c>
      <c r="C1271" s="1" t="s">
        <v>31</v>
      </c>
      <c r="D1271" s="1" t="s">
        <v>283</v>
      </c>
      <c r="E1271" s="1" t="n">
        <v>4796</v>
      </c>
      <c r="F1271" s="1" t="n">
        <v>0.217040117664959</v>
      </c>
      <c r="G1271" s="1" t="n">
        <v>1040.92440432114</v>
      </c>
      <c r="H1271" s="1" t="s">
        <v>395</v>
      </c>
    </row>
    <row r="1272" customFormat="false" ht="14.25" hidden="false" customHeight="true" outlineLevel="0" collapsed="false">
      <c r="A1272" s="1" t="s">
        <v>651</v>
      </c>
      <c r="B1272" s="1" t="s">
        <v>396</v>
      </c>
      <c r="C1272" s="1" t="s">
        <v>86</v>
      </c>
      <c r="D1272" s="1" t="s">
        <v>288</v>
      </c>
      <c r="E1272" s="1" t="n">
        <v>6647</v>
      </c>
      <c r="F1272" s="1" t="n">
        <v>0.221064512856926</v>
      </c>
      <c r="G1272" s="1" t="n">
        <v>1469.41581695999</v>
      </c>
      <c r="H1272" s="1" t="s">
        <v>395</v>
      </c>
    </row>
    <row r="1273" customFormat="false" ht="14.25" hidden="false" customHeight="true" outlineLevel="0" collapsed="false">
      <c r="A1273" s="1" t="s">
        <v>651</v>
      </c>
      <c r="B1273" s="1" t="s">
        <v>396</v>
      </c>
      <c r="C1273" s="1" t="s">
        <v>86</v>
      </c>
      <c r="D1273" s="1" t="s">
        <v>290</v>
      </c>
      <c r="E1273" s="1" t="n">
        <v>13510</v>
      </c>
      <c r="F1273" s="1" t="n">
        <v>0.221064512856926</v>
      </c>
      <c r="G1273" s="1" t="n">
        <v>2986.58156869707</v>
      </c>
      <c r="H1273" s="1" t="s">
        <v>395</v>
      </c>
    </row>
    <row r="1274" customFormat="false" ht="14.25" hidden="false" customHeight="true" outlineLevel="0" collapsed="false">
      <c r="A1274" s="1" t="s">
        <v>651</v>
      </c>
      <c r="B1274" s="1" t="s">
        <v>396</v>
      </c>
      <c r="C1274" s="1" t="s">
        <v>86</v>
      </c>
      <c r="D1274" s="1" t="s">
        <v>294</v>
      </c>
      <c r="E1274" s="1" t="n">
        <v>3735</v>
      </c>
      <c r="F1274" s="1" t="n">
        <v>0.221064512856926</v>
      </c>
      <c r="G1274" s="1" t="n">
        <v>825.675955520619</v>
      </c>
      <c r="H1274" s="1" t="s">
        <v>395</v>
      </c>
    </row>
    <row r="1275" customFormat="false" ht="14.25" hidden="false" customHeight="true" outlineLevel="0" collapsed="false">
      <c r="A1275" s="1" t="s">
        <v>651</v>
      </c>
      <c r="B1275" s="1" t="s">
        <v>396</v>
      </c>
      <c r="C1275" s="1" t="s">
        <v>86</v>
      </c>
      <c r="D1275" s="1" t="s">
        <v>291</v>
      </c>
      <c r="E1275" s="1" t="n">
        <v>6601</v>
      </c>
      <c r="F1275" s="1" t="n">
        <v>0.221064512856926</v>
      </c>
      <c r="G1275" s="1" t="n">
        <v>1459.24684936857</v>
      </c>
      <c r="H1275" s="1" t="s">
        <v>395</v>
      </c>
    </row>
    <row r="1276" customFormat="false" ht="14.25" hidden="false" customHeight="true" outlineLevel="0" collapsed="false">
      <c r="A1276" s="1" t="s">
        <v>651</v>
      </c>
      <c r="B1276" s="1" t="s">
        <v>396</v>
      </c>
      <c r="C1276" s="1" t="s">
        <v>86</v>
      </c>
      <c r="D1276" s="1" t="s">
        <v>285</v>
      </c>
      <c r="E1276" s="1" t="n">
        <v>14697</v>
      </c>
      <c r="F1276" s="1" t="n">
        <v>0.221064512856926</v>
      </c>
      <c r="G1276" s="1" t="n">
        <v>3248.98514545824</v>
      </c>
      <c r="H1276" s="1" t="s">
        <v>395</v>
      </c>
    </row>
    <row r="1277" customFormat="false" ht="14.25" hidden="false" customHeight="true" outlineLevel="0" collapsed="false">
      <c r="A1277" s="1" t="s">
        <v>651</v>
      </c>
      <c r="B1277" s="1" t="s">
        <v>396</v>
      </c>
      <c r="C1277" s="1" t="s">
        <v>86</v>
      </c>
      <c r="D1277" s="1" t="s">
        <v>286</v>
      </c>
      <c r="E1277" s="1" t="n">
        <v>4789</v>
      </c>
      <c r="F1277" s="1" t="n">
        <v>0.221064512856926</v>
      </c>
      <c r="G1277" s="1" t="n">
        <v>1058.67795207182</v>
      </c>
      <c r="H1277" s="1" t="s">
        <v>395</v>
      </c>
    </row>
    <row r="1278" customFormat="false" ht="14.25" hidden="false" customHeight="true" outlineLevel="0" collapsed="false">
      <c r="A1278" s="1" t="s">
        <v>651</v>
      </c>
      <c r="B1278" s="1" t="s">
        <v>396</v>
      </c>
      <c r="C1278" s="1" t="s">
        <v>86</v>
      </c>
      <c r="D1278" s="1" t="s">
        <v>283</v>
      </c>
      <c r="E1278" s="1" t="n">
        <v>4796</v>
      </c>
      <c r="F1278" s="1" t="n">
        <v>0.221064512856926</v>
      </c>
      <c r="G1278" s="1" t="n">
        <v>1060.22540366182</v>
      </c>
      <c r="H1278" s="1" t="s">
        <v>395</v>
      </c>
    </row>
    <row r="1279" customFormat="false" ht="14.25" hidden="false" customHeight="true" outlineLevel="0" collapsed="false">
      <c r="A1279" s="1" t="s">
        <v>651</v>
      </c>
      <c r="B1279" s="1" t="s">
        <v>81</v>
      </c>
      <c r="C1279" s="1" t="s">
        <v>81</v>
      </c>
      <c r="D1279" s="1" t="s">
        <v>288</v>
      </c>
      <c r="E1279" s="1" t="n">
        <v>6647</v>
      </c>
      <c r="F1279" s="1" t="n">
        <v>0.0738670690267282</v>
      </c>
      <c r="G1279" s="1" t="n">
        <v>490.994407820662</v>
      </c>
      <c r="H1279" s="1" t="s">
        <v>395</v>
      </c>
    </row>
    <row r="1280" customFormat="false" ht="14.25" hidden="false" customHeight="true" outlineLevel="0" collapsed="false">
      <c r="A1280" s="1" t="s">
        <v>651</v>
      </c>
      <c r="B1280" s="1" t="s">
        <v>81</v>
      </c>
      <c r="C1280" s="1" t="s">
        <v>81</v>
      </c>
      <c r="D1280" s="1" t="s">
        <v>290</v>
      </c>
      <c r="E1280" s="1" t="n">
        <v>13510</v>
      </c>
      <c r="F1280" s="1" t="n">
        <v>0.0738670690267282</v>
      </c>
      <c r="G1280" s="1" t="n">
        <v>997.944102551098</v>
      </c>
      <c r="H1280" s="1" t="s">
        <v>395</v>
      </c>
    </row>
    <row r="1281" customFormat="false" ht="14.25" hidden="false" customHeight="true" outlineLevel="0" collapsed="false">
      <c r="A1281" s="1" t="s">
        <v>651</v>
      </c>
      <c r="B1281" s="1" t="s">
        <v>81</v>
      </c>
      <c r="C1281" s="1" t="s">
        <v>81</v>
      </c>
      <c r="D1281" s="1" t="s">
        <v>294</v>
      </c>
      <c r="E1281" s="1" t="n">
        <v>3735</v>
      </c>
      <c r="F1281" s="1" t="n">
        <v>0.0738670690267282</v>
      </c>
      <c r="G1281" s="1" t="n">
        <v>275.89350281483</v>
      </c>
      <c r="H1281" s="1" t="s">
        <v>395</v>
      </c>
    </row>
    <row r="1282" customFormat="false" ht="14.25" hidden="false" customHeight="true" outlineLevel="0" collapsed="false">
      <c r="A1282" s="1" t="s">
        <v>651</v>
      </c>
      <c r="B1282" s="1" t="s">
        <v>81</v>
      </c>
      <c r="C1282" s="1" t="s">
        <v>81</v>
      </c>
      <c r="D1282" s="1" t="s">
        <v>291</v>
      </c>
      <c r="E1282" s="1" t="n">
        <v>6601</v>
      </c>
      <c r="F1282" s="1" t="n">
        <v>0.0738670690267282</v>
      </c>
      <c r="G1282" s="1" t="n">
        <v>487.596522645433</v>
      </c>
      <c r="H1282" s="1" t="s">
        <v>395</v>
      </c>
    </row>
    <row r="1283" customFormat="false" ht="14.25" hidden="false" customHeight="true" outlineLevel="0" collapsed="false">
      <c r="A1283" s="1" t="s">
        <v>651</v>
      </c>
      <c r="B1283" s="1" t="s">
        <v>81</v>
      </c>
      <c r="C1283" s="1" t="s">
        <v>81</v>
      </c>
      <c r="D1283" s="1" t="s">
        <v>285</v>
      </c>
      <c r="E1283" s="1" t="n">
        <v>14697</v>
      </c>
      <c r="F1283" s="1" t="n">
        <v>0.0738670690267282</v>
      </c>
      <c r="G1283" s="1" t="n">
        <v>1085.62431348582</v>
      </c>
      <c r="H1283" s="1" t="s">
        <v>395</v>
      </c>
    </row>
    <row r="1284" customFormat="false" ht="14.25" hidden="false" customHeight="true" outlineLevel="0" collapsed="false">
      <c r="A1284" s="1" t="s">
        <v>651</v>
      </c>
      <c r="B1284" s="1" t="s">
        <v>81</v>
      </c>
      <c r="C1284" s="1" t="s">
        <v>81</v>
      </c>
      <c r="D1284" s="1" t="s">
        <v>286</v>
      </c>
      <c r="E1284" s="1" t="n">
        <v>4789</v>
      </c>
      <c r="F1284" s="1" t="n">
        <v>0.0738670690267282</v>
      </c>
      <c r="G1284" s="1" t="n">
        <v>353.749393569001</v>
      </c>
      <c r="H1284" s="1" t="s">
        <v>395</v>
      </c>
    </row>
    <row r="1285" customFormat="false" ht="14.25" hidden="false" customHeight="true" outlineLevel="0" collapsed="false">
      <c r="A1285" s="1" t="s">
        <v>651</v>
      </c>
      <c r="B1285" s="1" t="s">
        <v>81</v>
      </c>
      <c r="C1285" s="1" t="s">
        <v>81</v>
      </c>
      <c r="D1285" s="1" t="s">
        <v>283</v>
      </c>
      <c r="E1285" s="1" t="n">
        <v>4796</v>
      </c>
      <c r="F1285" s="1" t="n">
        <v>0.0738670690267282</v>
      </c>
      <c r="G1285" s="1" t="n">
        <v>354.266463052188</v>
      </c>
      <c r="H1285" s="1" t="s">
        <v>395</v>
      </c>
    </row>
    <row r="1286" customFormat="false" ht="14.25" hidden="false" customHeight="true" outlineLevel="0" collapsed="false">
      <c r="A1286" s="1" t="s">
        <v>651</v>
      </c>
      <c r="B1286" s="1" t="s">
        <v>85</v>
      </c>
      <c r="C1286" s="1" t="s">
        <v>646</v>
      </c>
      <c r="D1286" s="1" t="s">
        <v>288</v>
      </c>
      <c r="E1286" s="1" t="n">
        <v>6647</v>
      </c>
      <c r="F1286" s="1" t="n">
        <v>0.327862047978901</v>
      </c>
      <c r="G1286" s="1" t="n">
        <v>2179.29903291576</v>
      </c>
      <c r="H1286" s="1" t="s">
        <v>395</v>
      </c>
    </row>
    <row r="1287" customFormat="false" ht="14.25" hidden="false" customHeight="true" outlineLevel="0" collapsed="false">
      <c r="A1287" s="1" t="s">
        <v>651</v>
      </c>
      <c r="B1287" s="1" t="s">
        <v>85</v>
      </c>
      <c r="C1287" s="1" t="s">
        <v>646</v>
      </c>
      <c r="D1287" s="1" t="s">
        <v>290</v>
      </c>
      <c r="E1287" s="1" t="n">
        <v>13510</v>
      </c>
      <c r="F1287" s="1" t="n">
        <v>0.327862047978901</v>
      </c>
      <c r="G1287" s="1" t="n">
        <v>4429.41626819495</v>
      </c>
      <c r="H1287" s="1" t="s">
        <v>395</v>
      </c>
    </row>
    <row r="1288" customFormat="false" ht="14.25" hidden="false" customHeight="true" outlineLevel="0" collapsed="false">
      <c r="A1288" s="1" t="s">
        <v>651</v>
      </c>
      <c r="B1288" s="1" t="s">
        <v>85</v>
      </c>
      <c r="C1288" s="1" t="s">
        <v>646</v>
      </c>
      <c r="D1288" s="1" t="s">
        <v>294</v>
      </c>
      <c r="E1288" s="1" t="n">
        <v>3735</v>
      </c>
      <c r="F1288" s="1" t="n">
        <v>0.327862047978901</v>
      </c>
      <c r="G1288" s="1" t="n">
        <v>1224.5647492012</v>
      </c>
      <c r="H1288" s="1" t="s">
        <v>395</v>
      </c>
    </row>
    <row r="1289" customFormat="false" ht="14.25" hidden="false" customHeight="true" outlineLevel="0" collapsed="false">
      <c r="A1289" s="1" t="s">
        <v>651</v>
      </c>
      <c r="B1289" s="1" t="s">
        <v>85</v>
      </c>
      <c r="C1289" s="1" t="s">
        <v>646</v>
      </c>
      <c r="D1289" s="1" t="s">
        <v>291</v>
      </c>
      <c r="E1289" s="1" t="n">
        <v>6601</v>
      </c>
      <c r="F1289" s="1" t="n">
        <v>0.327862047978901</v>
      </c>
      <c r="G1289" s="1" t="n">
        <v>2164.21737870873</v>
      </c>
      <c r="H1289" s="1" t="s">
        <v>395</v>
      </c>
    </row>
    <row r="1290" customFormat="false" ht="14.25" hidden="false" customHeight="true" outlineLevel="0" collapsed="false">
      <c r="A1290" s="1" t="s">
        <v>651</v>
      </c>
      <c r="B1290" s="1" t="s">
        <v>85</v>
      </c>
      <c r="C1290" s="1" t="s">
        <v>646</v>
      </c>
      <c r="D1290" s="1" t="s">
        <v>285</v>
      </c>
      <c r="E1290" s="1" t="n">
        <v>14697</v>
      </c>
      <c r="F1290" s="1" t="n">
        <v>0.327862047978901</v>
      </c>
      <c r="G1290" s="1" t="n">
        <v>4818.58851914591</v>
      </c>
      <c r="H1290" s="1" t="s">
        <v>395</v>
      </c>
    </row>
    <row r="1291" customFormat="false" ht="14.25" hidden="false" customHeight="true" outlineLevel="0" collapsed="false">
      <c r="A1291" s="1" t="s">
        <v>651</v>
      </c>
      <c r="B1291" s="1" t="s">
        <v>85</v>
      </c>
      <c r="C1291" s="1" t="s">
        <v>646</v>
      </c>
      <c r="D1291" s="1" t="s">
        <v>286</v>
      </c>
      <c r="E1291" s="1" t="n">
        <v>4789</v>
      </c>
      <c r="F1291" s="1" t="n">
        <v>0.327862047978901</v>
      </c>
      <c r="G1291" s="1" t="n">
        <v>1570.13134777096</v>
      </c>
      <c r="H1291" s="1" t="s">
        <v>395</v>
      </c>
    </row>
    <row r="1292" customFormat="false" ht="14.25" hidden="false" customHeight="true" outlineLevel="0" collapsed="false">
      <c r="A1292" s="1" t="s">
        <v>651</v>
      </c>
      <c r="B1292" s="1" t="s">
        <v>85</v>
      </c>
      <c r="C1292" s="1" t="s">
        <v>646</v>
      </c>
      <c r="D1292" s="1" t="s">
        <v>283</v>
      </c>
      <c r="E1292" s="1" t="n">
        <v>4796</v>
      </c>
      <c r="F1292" s="1" t="n">
        <v>0.327862047978901</v>
      </c>
      <c r="G1292" s="1" t="n">
        <v>1572.42638210681</v>
      </c>
      <c r="H1292" s="1" t="s">
        <v>395</v>
      </c>
    </row>
    <row r="1293" customFormat="false" ht="14.25" hidden="false" customHeight="true" outlineLevel="0" collapsed="false">
      <c r="A1293" s="1" t="s">
        <v>651</v>
      </c>
      <c r="B1293" s="1" t="s">
        <v>87</v>
      </c>
      <c r="C1293" s="1" t="s">
        <v>645</v>
      </c>
      <c r="D1293" s="1" t="s">
        <v>288</v>
      </c>
      <c r="E1293" s="1" t="n">
        <v>6647</v>
      </c>
      <c r="F1293" s="1" t="n">
        <v>0.181988487092357</v>
      </c>
      <c r="G1293" s="1" t="n">
        <v>1209.6774737029</v>
      </c>
      <c r="H1293" s="1" t="s">
        <v>395</v>
      </c>
    </row>
    <row r="1294" customFormat="false" ht="14.25" hidden="false" customHeight="true" outlineLevel="0" collapsed="false">
      <c r="A1294" s="1" t="s">
        <v>651</v>
      </c>
      <c r="B1294" s="1" t="s">
        <v>87</v>
      </c>
      <c r="C1294" s="1" t="s">
        <v>645</v>
      </c>
      <c r="D1294" s="1" t="s">
        <v>294</v>
      </c>
      <c r="E1294" s="1" t="n">
        <v>3735</v>
      </c>
      <c r="F1294" s="1" t="n">
        <v>0.181988487092357</v>
      </c>
      <c r="G1294" s="1" t="n">
        <v>679.726999289953</v>
      </c>
      <c r="H1294" s="1" t="s">
        <v>395</v>
      </c>
    </row>
    <row r="1295" customFormat="false" ht="14.25" hidden="false" customHeight="true" outlineLevel="0" collapsed="false">
      <c r="A1295" s="1" t="s">
        <v>651</v>
      </c>
      <c r="B1295" s="1" t="s">
        <v>87</v>
      </c>
      <c r="C1295" s="1" t="s">
        <v>645</v>
      </c>
      <c r="D1295" s="1" t="s">
        <v>291</v>
      </c>
      <c r="E1295" s="1" t="n">
        <v>6601</v>
      </c>
      <c r="F1295" s="1" t="n">
        <v>0.181988487092357</v>
      </c>
      <c r="G1295" s="1" t="n">
        <v>1201.30600329665</v>
      </c>
      <c r="H1295" s="1" t="s">
        <v>395</v>
      </c>
    </row>
    <row r="1296" customFormat="false" ht="14.25" hidden="false" customHeight="true" outlineLevel="0" collapsed="false">
      <c r="A1296" s="1" t="s">
        <v>651</v>
      </c>
      <c r="B1296" s="1" t="s">
        <v>87</v>
      </c>
      <c r="C1296" s="1" t="s">
        <v>645</v>
      </c>
      <c r="D1296" s="1" t="s">
        <v>285</v>
      </c>
      <c r="E1296" s="1" t="n">
        <v>14697</v>
      </c>
      <c r="F1296" s="1" t="n">
        <v>0.181988487092357</v>
      </c>
      <c r="G1296" s="1" t="n">
        <v>2674.68479479637</v>
      </c>
      <c r="H1296" s="1" t="s">
        <v>395</v>
      </c>
    </row>
    <row r="1297" customFormat="false" ht="14.25" hidden="false" customHeight="true" outlineLevel="0" collapsed="false">
      <c r="A1297" s="1" t="s">
        <v>651</v>
      </c>
      <c r="B1297" s="1" t="s">
        <v>87</v>
      </c>
      <c r="C1297" s="1" t="s">
        <v>645</v>
      </c>
      <c r="D1297" s="1" t="s">
        <v>286</v>
      </c>
      <c r="E1297" s="1" t="n">
        <v>4789</v>
      </c>
      <c r="F1297" s="1" t="n">
        <v>0.181988487092357</v>
      </c>
      <c r="G1297" s="1" t="n">
        <v>871.542864685298</v>
      </c>
      <c r="H1297" s="1" t="s">
        <v>395</v>
      </c>
    </row>
    <row r="1298" customFormat="false" ht="14.25" hidden="false" customHeight="true" outlineLevel="0" collapsed="false">
      <c r="A1298" s="1" t="s">
        <v>651</v>
      </c>
      <c r="B1298" s="1" t="s">
        <v>87</v>
      </c>
      <c r="C1298" s="1" t="s">
        <v>645</v>
      </c>
      <c r="D1298" s="1" t="s">
        <v>283</v>
      </c>
      <c r="E1298" s="1" t="n">
        <v>4796</v>
      </c>
      <c r="F1298" s="1" t="n">
        <v>0.181988487092357</v>
      </c>
      <c r="G1298" s="1" t="n">
        <v>872.816784094944</v>
      </c>
      <c r="H1298" s="1" t="s">
        <v>395</v>
      </c>
    </row>
    <row r="1299" customFormat="false" ht="14.25" hidden="false" customHeight="true" outlineLevel="0" collapsed="false">
      <c r="A1299" s="1" t="s">
        <v>651</v>
      </c>
      <c r="B1299" s="1" t="s">
        <v>35</v>
      </c>
      <c r="C1299" s="1" t="s">
        <v>35</v>
      </c>
      <c r="D1299" s="1" t="s">
        <v>288</v>
      </c>
      <c r="E1299" s="1" t="n">
        <v>6647</v>
      </c>
      <c r="F1299" s="1" t="n">
        <v>0.116105036263123</v>
      </c>
      <c r="G1299" s="1" t="n">
        <v>771.750176040979</v>
      </c>
      <c r="H1299" s="1" t="s">
        <v>395</v>
      </c>
    </row>
    <row r="1300" customFormat="false" ht="14.25" hidden="false" customHeight="true" outlineLevel="0" collapsed="false">
      <c r="A1300" s="1" t="s">
        <v>651</v>
      </c>
      <c r="B1300" s="1" t="s">
        <v>35</v>
      </c>
      <c r="C1300" s="1" t="s">
        <v>35</v>
      </c>
      <c r="D1300" s="1" t="s">
        <v>294</v>
      </c>
      <c r="E1300" s="1" t="n">
        <v>3735</v>
      </c>
      <c r="F1300" s="1" t="n">
        <v>0.116105036263123</v>
      </c>
      <c r="G1300" s="1" t="n">
        <v>433.652310442764</v>
      </c>
      <c r="H1300" s="1" t="s">
        <v>395</v>
      </c>
    </row>
    <row r="1301" customFormat="false" ht="14.25" hidden="false" customHeight="true" outlineLevel="0" collapsed="false">
      <c r="A1301" s="1" t="s">
        <v>651</v>
      </c>
      <c r="B1301" s="1" t="s">
        <v>35</v>
      </c>
      <c r="C1301" s="1" t="s">
        <v>35</v>
      </c>
      <c r="D1301" s="1" t="s">
        <v>291</v>
      </c>
      <c r="E1301" s="1" t="n">
        <v>6601</v>
      </c>
      <c r="F1301" s="1" t="n">
        <v>0.116105036263123</v>
      </c>
      <c r="G1301" s="1" t="n">
        <v>766.409344372875</v>
      </c>
      <c r="H1301" s="1" t="s">
        <v>395</v>
      </c>
    </row>
    <row r="1302" customFormat="false" ht="14.25" hidden="false" customHeight="true" outlineLevel="0" collapsed="false">
      <c r="A1302" s="1" t="s">
        <v>651</v>
      </c>
      <c r="B1302" s="1" t="s">
        <v>35</v>
      </c>
      <c r="C1302" s="1" t="s">
        <v>35</v>
      </c>
      <c r="D1302" s="1" t="s">
        <v>285</v>
      </c>
      <c r="E1302" s="1" t="n">
        <v>14697</v>
      </c>
      <c r="F1302" s="1" t="n">
        <v>0.116105036263123</v>
      </c>
      <c r="G1302" s="1" t="n">
        <v>1706.39571795912</v>
      </c>
      <c r="H1302" s="1" t="s">
        <v>395</v>
      </c>
    </row>
    <row r="1303" customFormat="false" ht="14.25" hidden="false" customHeight="true" outlineLevel="0" collapsed="false">
      <c r="A1303" s="1" t="s">
        <v>651</v>
      </c>
      <c r="B1303" s="1" t="s">
        <v>35</v>
      </c>
      <c r="C1303" s="1" t="s">
        <v>35</v>
      </c>
      <c r="D1303" s="1" t="s">
        <v>286</v>
      </c>
      <c r="E1303" s="1" t="n">
        <v>4789</v>
      </c>
      <c r="F1303" s="1" t="n">
        <v>0.116105036263123</v>
      </c>
      <c r="G1303" s="1" t="n">
        <v>556.027018664096</v>
      </c>
      <c r="H1303" s="1" t="s">
        <v>395</v>
      </c>
    </row>
    <row r="1304" customFormat="false" ht="14.25" hidden="false" customHeight="true" outlineLevel="0" collapsed="false">
      <c r="A1304" s="1" t="s">
        <v>651</v>
      </c>
      <c r="B1304" s="1" t="s">
        <v>35</v>
      </c>
      <c r="C1304" s="1" t="s">
        <v>35</v>
      </c>
      <c r="D1304" s="1" t="s">
        <v>283</v>
      </c>
      <c r="E1304" s="1" t="n">
        <v>4796</v>
      </c>
      <c r="F1304" s="1" t="n">
        <v>0.116105036263123</v>
      </c>
      <c r="G1304" s="1" t="n">
        <v>556.839753917938</v>
      </c>
      <c r="H1304" s="1" t="s">
        <v>395</v>
      </c>
    </row>
    <row r="1305" customFormat="false" ht="14.25" hidden="false" customHeight="true" outlineLevel="0" collapsed="false">
      <c r="A1305" s="1" t="s">
        <v>651</v>
      </c>
      <c r="B1305" s="1" t="s">
        <v>78</v>
      </c>
      <c r="C1305" s="1" t="s">
        <v>408</v>
      </c>
      <c r="D1305" s="1" t="s">
        <v>294</v>
      </c>
      <c r="E1305" s="1" t="n">
        <v>3735</v>
      </c>
      <c r="F1305" s="1" t="n">
        <v>0.369409088603743</v>
      </c>
      <c r="G1305" s="1" t="n">
        <v>1379.74294593498</v>
      </c>
      <c r="H1305" s="1" t="s">
        <v>395</v>
      </c>
    </row>
    <row r="1306" customFormat="false" ht="14.25" hidden="false" customHeight="true" outlineLevel="0" collapsed="false">
      <c r="A1306" s="1" t="s">
        <v>651</v>
      </c>
      <c r="B1306" s="1" t="s">
        <v>78</v>
      </c>
      <c r="C1306" s="1" t="s">
        <v>408</v>
      </c>
      <c r="D1306" s="1" t="s">
        <v>285</v>
      </c>
      <c r="E1306" s="1" t="n">
        <v>14697</v>
      </c>
      <c r="F1306" s="1" t="n">
        <v>0.369409088603743</v>
      </c>
      <c r="G1306" s="1" t="n">
        <v>5429.20537520921</v>
      </c>
      <c r="H1306" s="1" t="s">
        <v>395</v>
      </c>
    </row>
    <row r="1307" customFormat="false" ht="14.25" hidden="false" customHeight="true" outlineLevel="0" collapsed="false">
      <c r="A1307" s="1" t="s">
        <v>651</v>
      </c>
      <c r="B1307" s="1" t="s">
        <v>78</v>
      </c>
      <c r="C1307" s="1" t="s">
        <v>408</v>
      </c>
      <c r="D1307" s="1" t="s">
        <v>283</v>
      </c>
      <c r="E1307" s="1" t="n">
        <v>4796</v>
      </c>
      <c r="F1307" s="1" t="n">
        <v>0.369409088603743</v>
      </c>
      <c r="G1307" s="1" t="n">
        <v>1771.68598894355</v>
      </c>
      <c r="H1307" s="1" t="s">
        <v>395</v>
      </c>
    </row>
    <row r="1308" customFormat="false" ht="14.25" hidden="false" customHeight="true" outlineLevel="0" collapsed="false">
      <c r="A1308" s="1" t="s">
        <v>651</v>
      </c>
      <c r="B1308" s="1" t="s">
        <v>143</v>
      </c>
      <c r="C1308" s="1" t="s">
        <v>472</v>
      </c>
      <c r="D1308" s="1" t="s">
        <v>288</v>
      </c>
      <c r="E1308" s="1" t="n">
        <v>6647</v>
      </c>
      <c r="F1308" s="1" t="n">
        <v>0.237713191662018</v>
      </c>
      <c r="G1308" s="1" t="n">
        <v>1580.07958497743</v>
      </c>
      <c r="H1308" s="1" t="s">
        <v>395</v>
      </c>
    </row>
    <row r="1309" customFormat="false" ht="14.25" hidden="false" customHeight="true" outlineLevel="0" collapsed="false">
      <c r="A1309" s="1" t="s">
        <v>651</v>
      </c>
      <c r="B1309" s="1" t="s">
        <v>143</v>
      </c>
      <c r="C1309" s="1" t="s">
        <v>472</v>
      </c>
      <c r="D1309" s="1" t="s">
        <v>290</v>
      </c>
      <c r="E1309" s="1" t="n">
        <v>13510</v>
      </c>
      <c r="F1309" s="1" t="n">
        <v>0.237713191662018</v>
      </c>
      <c r="G1309" s="1" t="n">
        <v>3211.50521935386</v>
      </c>
      <c r="H1309" s="1" t="s">
        <v>395</v>
      </c>
    </row>
    <row r="1310" customFormat="false" ht="14.25" hidden="false" customHeight="true" outlineLevel="0" collapsed="false">
      <c r="A1310" s="1" t="s">
        <v>651</v>
      </c>
      <c r="B1310" s="1" t="s">
        <v>143</v>
      </c>
      <c r="C1310" s="1" t="s">
        <v>472</v>
      </c>
      <c r="D1310" s="1" t="s">
        <v>294</v>
      </c>
      <c r="E1310" s="1" t="n">
        <v>3735</v>
      </c>
      <c r="F1310" s="1" t="n">
        <v>0.237713191662018</v>
      </c>
      <c r="G1310" s="1" t="n">
        <v>887.858770857637</v>
      </c>
      <c r="H1310" s="1" t="s">
        <v>395</v>
      </c>
    </row>
    <row r="1311" customFormat="false" ht="14.25" hidden="false" customHeight="true" outlineLevel="0" collapsed="false">
      <c r="A1311" s="1" t="s">
        <v>651</v>
      </c>
      <c r="B1311" s="1" t="s">
        <v>143</v>
      </c>
      <c r="C1311" s="1" t="s">
        <v>472</v>
      </c>
      <c r="D1311" s="1" t="s">
        <v>291</v>
      </c>
      <c r="E1311" s="1" t="n">
        <v>6601</v>
      </c>
      <c r="F1311" s="1" t="n">
        <v>0.237713191662018</v>
      </c>
      <c r="G1311" s="1" t="n">
        <v>1569.14477816098</v>
      </c>
      <c r="H1311" s="1" t="s">
        <v>395</v>
      </c>
    </row>
    <row r="1312" customFormat="false" ht="14.25" hidden="false" customHeight="true" outlineLevel="0" collapsed="false">
      <c r="A1312" s="1" t="s">
        <v>651</v>
      </c>
      <c r="B1312" s="1" t="s">
        <v>143</v>
      </c>
      <c r="C1312" s="1" t="s">
        <v>472</v>
      </c>
      <c r="D1312" s="1" t="s">
        <v>285</v>
      </c>
      <c r="E1312" s="1" t="n">
        <v>14697</v>
      </c>
      <c r="F1312" s="1" t="n">
        <v>0.237713191662018</v>
      </c>
      <c r="G1312" s="1" t="n">
        <v>3493.67077785668</v>
      </c>
      <c r="H1312" s="1" t="s">
        <v>395</v>
      </c>
    </row>
    <row r="1313" customFormat="false" ht="14.25" hidden="false" customHeight="true" outlineLevel="0" collapsed="false">
      <c r="A1313" s="1" t="s">
        <v>651</v>
      </c>
      <c r="B1313" s="1" t="s">
        <v>143</v>
      </c>
      <c r="C1313" s="1" t="s">
        <v>472</v>
      </c>
      <c r="D1313" s="1" t="s">
        <v>286</v>
      </c>
      <c r="E1313" s="1" t="n">
        <v>4789</v>
      </c>
      <c r="F1313" s="1" t="n">
        <v>0.237713191662018</v>
      </c>
      <c r="G1313" s="1" t="n">
        <v>1138.4084748694</v>
      </c>
      <c r="H1313" s="1" t="s">
        <v>395</v>
      </c>
    </row>
    <row r="1314" customFormat="false" ht="14.25" hidden="false" customHeight="true" outlineLevel="0" collapsed="false">
      <c r="A1314" s="1" t="s">
        <v>651</v>
      </c>
      <c r="B1314" s="1" t="s">
        <v>143</v>
      </c>
      <c r="C1314" s="1" t="s">
        <v>472</v>
      </c>
      <c r="D1314" s="1" t="s">
        <v>283</v>
      </c>
      <c r="E1314" s="1" t="n">
        <v>4796</v>
      </c>
      <c r="F1314" s="1" t="n">
        <v>0.237713191662018</v>
      </c>
      <c r="G1314" s="1" t="n">
        <v>1140.07246721104</v>
      </c>
      <c r="H1314" s="1" t="s">
        <v>395</v>
      </c>
    </row>
    <row r="1315" customFormat="false" ht="14.25" hidden="false" customHeight="true" outlineLevel="0" collapsed="false">
      <c r="A1315" s="1" t="s">
        <v>651</v>
      </c>
      <c r="B1315" s="1" t="s">
        <v>40</v>
      </c>
      <c r="C1315" s="1" t="s">
        <v>40</v>
      </c>
      <c r="D1315" s="1" t="s">
        <v>288</v>
      </c>
      <c r="E1315" s="1" t="n">
        <v>6647</v>
      </c>
      <c r="F1315" s="1" t="n">
        <v>0.200781102601816</v>
      </c>
      <c r="G1315" s="1" t="n">
        <v>1334.59198899427</v>
      </c>
      <c r="H1315" s="1" t="s">
        <v>395</v>
      </c>
    </row>
    <row r="1316" customFormat="false" ht="14.25" hidden="false" customHeight="true" outlineLevel="0" collapsed="false">
      <c r="A1316" s="1" t="s">
        <v>651</v>
      </c>
      <c r="B1316" s="1" t="s">
        <v>40</v>
      </c>
      <c r="C1316" s="1" t="s">
        <v>40</v>
      </c>
      <c r="D1316" s="1" t="s">
        <v>294</v>
      </c>
      <c r="E1316" s="1" t="n">
        <v>3735</v>
      </c>
      <c r="F1316" s="1" t="n">
        <v>0.200781102601816</v>
      </c>
      <c r="G1316" s="1" t="n">
        <v>749.917418217783</v>
      </c>
      <c r="H1316" s="1" t="s">
        <v>395</v>
      </c>
    </row>
    <row r="1317" customFormat="false" ht="14.25" hidden="false" customHeight="true" outlineLevel="0" collapsed="false">
      <c r="A1317" s="1" t="s">
        <v>651</v>
      </c>
      <c r="B1317" s="1" t="s">
        <v>40</v>
      </c>
      <c r="C1317" s="1" t="s">
        <v>40</v>
      </c>
      <c r="D1317" s="1" t="s">
        <v>291</v>
      </c>
      <c r="E1317" s="1" t="n">
        <v>6601</v>
      </c>
      <c r="F1317" s="1" t="n">
        <v>0.200781102601816</v>
      </c>
      <c r="G1317" s="1" t="n">
        <v>1325.35605827459</v>
      </c>
      <c r="H1317" s="1" t="s">
        <v>395</v>
      </c>
    </row>
    <row r="1318" customFormat="false" ht="14.25" hidden="false" customHeight="true" outlineLevel="0" collapsed="false">
      <c r="A1318" s="1" t="s">
        <v>651</v>
      </c>
      <c r="B1318" s="1" t="s">
        <v>40</v>
      </c>
      <c r="C1318" s="1" t="s">
        <v>40</v>
      </c>
      <c r="D1318" s="1" t="s">
        <v>285</v>
      </c>
      <c r="E1318" s="1" t="n">
        <v>14697</v>
      </c>
      <c r="F1318" s="1" t="n">
        <v>0.200781102601816</v>
      </c>
      <c r="G1318" s="1" t="n">
        <v>2950.87986493889</v>
      </c>
      <c r="H1318" s="1" t="s">
        <v>395</v>
      </c>
    </row>
    <row r="1319" customFormat="false" ht="14.25" hidden="false" customHeight="true" outlineLevel="0" collapsed="false">
      <c r="A1319" s="1" t="s">
        <v>651</v>
      </c>
      <c r="B1319" s="1" t="s">
        <v>40</v>
      </c>
      <c r="C1319" s="1" t="s">
        <v>40</v>
      </c>
      <c r="D1319" s="1" t="s">
        <v>286</v>
      </c>
      <c r="E1319" s="1" t="n">
        <v>4789</v>
      </c>
      <c r="F1319" s="1" t="n">
        <v>0.200781102601816</v>
      </c>
      <c r="G1319" s="1" t="n">
        <v>961.540700360097</v>
      </c>
      <c r="H1319" s="1" t="s">
        <v>395</v>
      </c>
    </row>
    <row r="1320" customFormat="false" ht="14.25" hidden="false" customHeight="true" outlineLevel="0" collapsed="false">
      <c r="A1320" s="1" t="s">
        <v>651</v>
      </c>
      <c r="B1320" s="1" t="s">
        <v>40</v>
      </c>
      <c r="C1320" s="1" t="s">
        <v>40</v>
      </c>
      <c r="D1320" s="1" t="s">
        <v>283</v>
      </c>
      <c r="E1320" s="1" t="n">
        <v>4796</v>
      </c>
      <c r="F1320" s="1" t="n">
        <v>0.200781102601816</v>
      </c>
      <c r="G1320" s="1" t="n">
        <v>962.94616807831</v>
      </c>
      <c r="H1320" s="1" t="s">
        <v>395</v>
      </c>
    </row>
    <row r="1321" customFormat="false" ht="14.25" hidden="false" customHeight="true" outlineLevel="0" collapsed="false">
      <c r="A1321" s="1" t="s">
        <v>651</v>
      </c>
      <c r="B1321" s="1" t="s">
        <v>41</v>
      </c>
      <c r="C1321" s="1" t="s">
        <v>41</v>
      </c>
      <c r="D1321" s="1" t="s">
        <v>288</v>
      </c>
      <c r="E1321" s="1" t="n">
        <v>6647</v>
      </c>
      <c r="F1321" s="1" t="n">
        <v>0.0915833037480347</v>
      </c>
      <c r="G1321" s="1" t="n">
        <v>608.754220013187</v>
      </c>
      <c r="H1321" s="1" t="s">
        <v>395</v>
      </c>
    </row>
    <row r="1322" customFormat="false" ht="14.25" hidden="false" customHeight="true" outlineLevel="0" collapsed="false">
      <c r="A1322" s="1" t="s">
        <v>651</v>
      </c>
      <c r="B1322" s="1" t="s">
        <v>41</v>
      </c>
      <c r="C1322" s="1" t="s">
        <v>41</v>
      </c>
      <c r="D1322" s="1" t="s">
        <v>294</v>
      </c>
      <c r="E1322" s="1" t="n">
        <v>3735</v>
      </c>
      <c r="F1322" s="1" t="n">
        <v>0.0915833037480347</v>
      </c>
      <c r="G1322" s="1" t="n">
        <v>342.06363949891</v>
      </c>
      <c r="H1322" s="1" t="s">
        <v>395</v>
      </c>
    </row>
    <row r="1323" customFormat="false" ht="14.25" hidden="false" customHeight="true" outlineLevel="0" collapsed="false">
      <c r="A1323" s="1" t="s">
        <v>651</v>
      </c>
      <c r="B1323" s="1" t="s">
        <v>41</v>
      </c>
      <c r="C1323" s="1" t="s">
        <v>41</v>
      </c>
      <c r="D1323" s="1" t="s">
        <v>291</v>
      </c>
      <c r="E1323" s="1" t="n">
        <v>6601</v>
      </c>
      <c r="F1323" s="1" t="n">
        <v>0.0915833037480347</v>
      </c>
      <c r="G1323" s="1" t="n">
        <v>604.541388040777</v>
      </c>
      <c r="H1323" s="1" t="s">
        <v>395</v>
      </c>
    </row>
    <row r="1324" customFormat="false" ht="14.25" hidden="false" customHeight="true" outlineLevel="0" collapsed="false">
      <c r="A1324" s="1" t="s">
        <v>651</v>
      </c>
      <c r="B1324" s="1" t="s">
        <v>41</v>
      </c>
      <c r="C1324" s="1" t="s">
        <v>41</v>
      </c>
      <c r="D1324" s="1" t="s">
        <v>285</v>
      </c>
      <c r="E1324" s="1" t="n">
        <v>14697</v>
      </c>
      <c r="F1324" s="1" t="n">
        <v>0.0915833037480347</v>
      </c>
      <c r="G1324" s="1" t="n">
        <v>1345.99981518487</v>
      </c>
      <c r="H1324" s="1" t="s">
        <v>395</v>
      </c>
    </row>
    <row r="1325" customFormat="false" ht="14.25" hidden="false" customHeight="true" outlineLevel="0" collapsed="false">
      <c r="A1325" s="1" t="s">
        <v>651</v>
      </c>
      <c r="B1325" s="1" t="s">
        <v>41</v>
      </c>
      <c r="C1325" s="1" t="s">
        <v>41</v>
      </c>
      <c r="D1325" s="1" t="s">
        <v>286</v>
      </c>
      <c r="E1325" s="1" t="n">
        <v>4789</v>
      </c>
      <c r="F1325" s="1" t="n">
        <v>0.0915833037480347</v>
      </c>
      <c r="G1325" s="1" t="n">
        <v>438.592441649338</v>
      </c>
      <c r="H1325" s="1" t="s">
        <v>395</v>
      </c>
    </row>
    <row r="1326" customFormat="false" ht="14.25" hidden="false" customHeight="true" outlineLevel="0" collapsed="false">
      <c r="A1326" s="1" t="s">
        <v>651</v>
      </c>
      <c r="B1326" s="1" t="s">
        <v>41</v>
      </c>
      <c r="C1326" s="1" t="s">
        <v>41</v>
      </c>
      <c r="D1326" s="1" t="s">
        <v>283</v>
      </c>
      <c r="E1326" s="1" t="n">
        <v>4796</v>
      </c>
      <c r="F1326" s="1" t="n">
        <v>0.0915833037480347</v>
      </c>
      <c r="G1326" s="1" t="n">
        <v>439.233524775574</v>
      </c>
      <c r="H1326" s="1" t="s">
        <v>395</v>
      </c>
    </row>
    <row r="1327" customFormat="false" ht="14.25" hidden="false" customHeight="true" outlineLevel="0" collapsed="false">
      <c r="A1327" s="1" t="s">
        <v>651</v>
      </c>
      <c r="B1327" s="1" t="s">
        <v>141</v>
      </c>
      <c r="C1327" s="1" t="s">
        <v>473</v>
      </c>
      <c r="D1327" s="1" t="s">
        <v>288</v>
      </c>
      <c r="E1327" s="1" t="n">
        <v>6647</v>
      </c>
      <c r="F1327" s="1" t="n">
        <v>0.124952629710402</v>
      </c>
      <c r="G1327" s="1" t="n">
        <v>830.560129685042</v>
      </c>
      <c r="H1327" s="1" t="s">
        <v>395</v>
      </c>
    </row>
    <row r="1328" customFormat="false" ht="14.25" hidden="false" customHeight="true" outlineLevel="0" collapsed="false">
      <c r="A1328" s="1" t="s">
        <v>651</v>
      </c>
      <c r="B1328" s="1" t="s">
        <v>141</v>
      </c>
      <c r="C1328" s="1" t="s">
        <v>473</v>
      </c>
      <c r="D1328" s="1" t="s">
        <v>290</v>
      </c>
      <c r="E1328" s="1" t="n">
        <v>13510</v>
      </c>
      <c r="F1328" s="1" t="n">
        <v>0.124952629710402</v>
      </c>
      <c r="G1328" s="1" t="n">
        <v>1688.11002738753</v>
      </c>
      <c r="H1328" s="1" t="s">
        <v>395</v>
      </c>
    </row>
    <row r="1329" customFormat="false" ht="14.25" hidden="false" customHeight="true" outlineLevel="0" collapsed="false">
      <c r="A1329" s="1" t="s">
        <v>651</v>
      </c>
      <c r="B1329" s="1" t="s">
        <v>141</v>
      </c>
      <c r="C1329" s="1" t="s">
        <v>473</v>
      </c>
      <c r="D1329" s="1" t="s">
        <v>294</v>
      </c>
      <c r="E1329" s="1" t="n">
        <v>3735</v>
      </c>
      <c r="F1329" s="1" t="n">
        <v>0.124952629710402</v>
      </c>
      <c r="G1329" s="1" t="n">
        <v>466.698071968352</v>
      </c>
      <c r="H1329" s="1" t="s">
        <v>395</v>
      </c>
    </row>
    <row r="1330" customFormat="false" ht="14.25" hidden="false" customHeight="true" outlineLevel="0" collapsed="false">
      <c r="A1330" s="1" t="s">
        <v>651</v>
      </c>
      <c r="B1330" s="1" t="s">
        <v>141</v>
      </c>
      <c r="C1330" s="1" t="s">
        <v>473</v>
      </c>
      <c r="D1330" s="1" t="s">
        <v>291</v>
      </c>
      <c r="E1330" s="1" t="n">
        <v>6601</v>
      </c>
      <c r="F1330" s="1" t="n">
        <v>0.124952629710402</v>
      </c>
      <c r="G1330" s="1" t="n">
        <v>824.812308718364</v>
      </c>
      <c r="H1330" s="1" t="s">
        <v>395</v>
      </c>
    </row>
    <row r="1331" customFormat="false" ht="14.25" hidden="false" customHeight="true" outlineLevel="0" collapsed="false">
      <c r="A1331" s="1" t="s">
        <v>651</v>
      </c>
      <c r="B1331" s="1" t="s">
        <v>141</v>
      </c>
      <c r="C1331" s="1" t="s">
        <v>473</v>
      </c>
      <c r="D1331" s="1" t="s">
        <v>285</v>
      </c>
      <c r="E1331" s="1" t="n">
        <v>14697</v>
      </c>
      <c r="F1331" s="1" t="n">
        <v>0.124952629710402</v>
      </c>
      <c r="G1331" s="1" t="n">
        <v>1836.42879885378</v>
      </c>
      <c r="H1331" s="1" t="s">
        <v>395</v>
      </c>
    </row>
    <row r="1332" customFormat="false" ht="14.25" hidden="false" customHeight="true" outlineLevel="0" collapsed="false">
      <c r="A1332" s="1" t="s">
        <v>651</v>
      </c>
      <c r="B1332" s="1" t="s">
        <v>141</v>
      </c>
      <c r="C1332" s="1" t="s">
        <v>473</v>
      </c>
      <c r="D1332" s="1" t="s">
        <v>286</v>
      </c>
      <c r="E1332" s="1" t="n">
        <v>4789</v>
      </c>
      <c r="F1332" s="1" t="n">
        <v>0.124952629710402</v>
      </c>
      <c r="G1332" s="1" t="n">
        <v>598.398143683115</v>
      </c>
      <c r="H1332" s="1" t="s">
        <v>395</v>
      </c>
    </row>
    <row r="1333" customFormat="false" ht="14.25" hidden="false" customHeight="true" outlineLevel="0" collapsed="false">
      <c r="A1333" s="1" t="s">
        <v>651</v>
      </c>
      <c r="B1333" s="1" t="s">
        <v>141</v>
      </c>
      <c r="C1333" s="1" t="s">
        <v>473</v>
      </c>
      <c r="D1333" s="1" t="s">
        <v>283</v>
      </c>
      <c r="E1333" s="1" t="n">
        <v>4796</v>
      </c>
      <c r="F1333" s="1" t="n">
        <v>0.124952629710402</v>
      </c>
      <c r="G1333" s="1" t="n">
        <v>599.272812091088</v>
      </c>
      <c r="H1333" s="1" t="s">
        <v>395</v>
      </c>
    </row>
    <row r="1334" customFormat="false" ht="14.25" hidden="false" customHeight="true" outlineLevel="0" collapsed="false">
      <c r="A1334" s="1" t="s">
        <v>651</v>
      </c>
      <c r="B1334" s="1" t="s">
        <v>80</v>
      </c>
      <c r="C1334" s="1" t="s">
        <v>80</v>
      </c>
      <c r="D1334" s="1" t="s">
        <v>288</v>
      </c>
      <c r="E1334" s="1" t="n">
        <v>6647</v>
      </c>
      <c r="F1334" s="1" t="n">
        <v>0.0571887711112238</v>
      </c>
      <c r="G1334" s="1" t="n">
        <v>380.133761576305</v>
      </c>
      <c r="H1334" s="1" t="s">
        <v>395</v>
      </c>
    </row>
    <row r="1335" customFormat="false" ht="14.25" hidden="false" customHeight="true" outlineLevel="0" collapsed="false">
      <c r="A1335" s="1" t="s">
        <v>651</v>
      </c>
      <c r="B1335" s="1" t="s">
        <v>80</v>
      </c>
      <c r="C1335" s="1" t="s">
        <v>80</v>
      </c>
      <c r="D1335" s="1" t="s">
        <v>294</v>
      </c>
      <c r="E1335" s="1" t="n">
        <v>3735</v>
      </c>
      <c r="F1335" s="1" t="n">
        <v>0.0571887711112238</v>
      </c>
      <c r="G1335" s="1" t="n">
        <v>213.600060100421</v>
      </c>
      <c r="H1335" s="1" t="s">
        <v>395</v>
      </c>
    </row>
    <row r="1336" customFormat="false" ht="14.25" hidden="false" customHeight="true" outlineLevel="0" collapsed="false">
      <c r="A1336" s="1" t="s">
        <v>651</v>
      </c>
      <c r="B1336" s="1" t="s">
        <v>80</v>
      </c>
      <c r="C1336" s="1" t="s">
        <v>80</v>
      </c>
      <c r="D1336" s="1" t="s">
        <v>291</v>
      </c>
      <c r="E1336" s="1" t="n">
        <v>6601</v>
      </c>
      <c r="F1336" s="1" t="n">
        <v>0.0571887711112238</v>
      </c>
      <c r="G1336" s="1" t="n">
        <v>377.503078105188</v>
      </c>
      <c r="H1336" s="1" t="s">
        <v>395</v>
      </c>
    </row>
    <row r="1337" customFormat="false" ht="14.25" hidden="false" customHeight="true" outlineLevel="0" collapsed="false">
      <c r="A1337" s="1" t="s">
        <v>651</v>
      </c>
      <c r="B1337" s="1" t="s">
        <v>80</v>
      </c>
      <c r="C1337" s="1" t="s">
        <v>80</v>
      </c>
      <c r="D1337" s="1" t="s">
        <v>285</v>
      </c>
      <c r="E1337" s="1" t="n">
        <v>14697</v>
      </c>
      <c r="F1337" s="1" t="n">
        <v>0.0571887711112238</v>
      </c>
      <c r="G1337" s="1" t="n">
        <v>840.503369021656</v>
      </c>
      <c r="H1337" s="1" t="s">
        <v>395</v>
      </c>
    </row>
    <row r="1338" customFormat="false" ht="14.25" hidden="false" customHeight="true" outlineLevel="0" collapsed="false">
      <c r="A1338" s="1" t="s">
        <v>651</v>
      </c>
      <c r="B1338" s="1" t="s">
        <v>80</v>
      </c>
      <c r="C1338" s="1" t="s">
        <v>80</v>
      </c>
      <c r="D1338" s="1" t="s">
        <v>286</v>
      </c>
      <c r="E1338" s="1" t="n">
        <v>4789</v>
      </c>
      <c r="F1338" s="1" t="n">
        <v>0.0571887711112238</v>
      </c>
      <c r="G1338" s="1" t="n">
        <v>273.877024851651</v>
      </c>
      <c r="H1338" s="1" t="s">
        <v>395</v>
      </c>
    </row>
    <row r="1339" customFormat="false" ht="14.25" hidden="false" customHeight="true" outlineLevel="0" collapsed="false">
      <c r="A1339" s="1" t="s">
        <v>651</v>
      </c>
      <c r="B1339" s="1" t="s">
        <v>80</v>
      </c>
      <c r="C1339" s="1" t="s">
        <v>80</v>
      </c>
      <c r="D1339" s="1" t="s">
        <v>283</v>
      </c>
      <c r="E1339" s="1" t="n">
        <v>4796</v>
      </c>
      <c r="F1339" s="1" t="n">
        <v>0.0571887711112238</v>
      </c>
      <c r="G1339" s="1" t="n">
        <v>274.277346249429</v>
      </c>
      <c r="H1339" s="1" t="s">
        <v>395</v>
      </c>
    </row>
    <row r="1340" customFormat="false" ht="14.25" hidden="false" customHeight="true" outlineLevel="0" collapsed="false">
      <c r="A1340" s="1" t="s">
        <v>651</v>
      </c>
      <c r="B1340" s="1" t="s">
        <v>42</v>
      </c>
      <c r="C1340" s="1" t="s">
        <v>42</v>
      </c>
      <c r="D1340" s="1" t="s">
        <v>288</v>
      </c>
      <c r="E1340" s="1" t="n">
        <v>6647</v>
      </c>
      <c r="F1340" s="1" t="n">
        <v>0.144806613582188</v>
      </c>
      <c r="G1340" s="1" t="n">
        <v>962.529560480804</v>
      </c>
      <c r="H1340" s="1" t="s">
        <v>395</v>
      </c>
    </row>
    <row r="1341" customFormat="false" ht="14.25" hidden="false" customHeight="true" outlineLevel="0" collapsed="false">
      <c r="A1341" s="1" t="s">
        <v>651</v>
      </c>
      <c r="B1341" s="1" t="s">
        <v>42</v>
      </c>
      <c r="C1341" s="1" t="s">
        <v>42</v>
      </c>
      <c r="D1341" s="1" t="s">
        <v>294</v>
      </c>
      <c r="E1341" s="1" t="n">
        <v>3735</v>
      </c>
      <c r="F1341" s="1" t="n">
        <v>0.144806613582188</v>
      </c>
      <c r="G1341" s="1" t="n">
        <v>540.852701729472</v>
      </c>
      <c r="H1341" s="1" t="s">
        <v>395</v>
      </c>
    </row>
    <row r="1342" customFormat="false" ht="14.25" hidden="false" customHeight="true" outlineLevel="0" collapsed="false">
      <c r="A1342" s="1" t="s">
        <v>651</v>
      </c>
      <c r="B1342" s="1" t="s">
        <v>42</v>
      </c>
      <c r="C1342" s="1" t="s">
        <v>42</v>
      </c>
      <c r="D1342" s="1" t="s">
        <v>291</v>
      </c>
      <c r="E1342" s="1" t="n">
        <v>6601</v>
      </c>
      <c r="F1342" s="1" t="n">
        <v>0.144806613582188</v>
      </c>
      <c r="G1342" s="1" t="n">
        <v>955.868456256023</v>
      </c>
      <c r="H1342" s="1" t="s">
        <v>395</v>
      </c>
    </row>
    <row r="1343" customFormat="false" ht="14.25" hidden="false" customHeight="true" outlineLevel="0" collapsed="false">
      <c r="A1343" s="1" t="s">
        <v>651</v>
      </c>
      <c r="B1343" s="1" t="s">
        <v>42</v>
      </c>
      <c r="C1343" s="1" t="s">
        <v>42</v>
      </c>
      <c r="D1343" s="1" t="s">
        <v>285</v>
      </c>
      <c r="E1343" s="1" t="n">
        <v>14697</v>
      </c>
      <c r="F1343" s="1" t="n">
        <v>0.144806613582188</v>
      </c>
      <c r="G1343" s="1" t="n">
        <v>2128.22279981742</v>
      </c>
      <c r="H1343" s="1" t="s">
        <v>395</v>
      </c>
    </row>
    <row r="1344" customFormat="false" ht="14.25" hidden="false" customHeight="true" outlineLevel="0" collapsed="false">
      <c r="A1344" s="1" t="s">
        <v>651</v>
      </c>
      <c r="B1344" s="1" t="s">
        <v>42</v>
      </c>
      <c r="C1344" s="1" t="s">
        <v>42</v>
      </c>
      <c r="D1344" s="1" t="s">
        <v>286</v>
      </c>
      <c r="E1344" s="1" t="n">
        <v>4789</v>
      </c>
      <c r="F1344" s="1" t="n">
        <v>0.144806613582188</v>
      </c>
      <c r="G1344" s="1" t="n">
        <v>693.478872445098</v>
      </c>
      <c r="H1344" s="1" t="s">
        <v>395</v>
      </c>
    </row>
    <row r="1345" customFormat="false" ht="14.25" hidden="false" customHeight="true" outlineLevel="0" collapsed="false">
      <c r="A1345" s="1" t="s">
        <v>651</v>
      </c>
      <c r="B1345" s="1" t="s">
        <v>42</v>
      </c>
      <c r="C1345" s="1" t="s">
        <v>42</v>
      </c>
      <c r="D1345" s="1" t="s">
        <v>283</v>
      </c>
      <c r="E1345" s="1" t="n">
        <v>4796</v>
      </c>
      <c r="F1345" s="1" t="n">
        <v>0.144806613582188</v>
      </c>
      <c r="G1345" s="1" t="n">
        <v>694.492518740174</v>
      </c>
      <c r="H1345" s="1" t="s">
        <v>395</v>
      </c>
    </row>
    <row r="1346" customFormat="false" ht="14.25" hidden="false" customHeight="true" outlineLevel="0" collapsed="false">
      <c r="A1346" s="1" t="s">
        <v>651</v>
      </c>
      <c r="B1346" s="1" t="s">
        <v>36</v>
      </c>
      <c r="C1346" s="1" t="s">
        <v>36</v>
      </c>
      <c r="D1346" s="1" t="s">
        <v>288</v>
      </c>
      <c r="E1346" s="1" t="n">
        <v>6647</v>
      </c>
      <c r="F1346" s="1" t="n">
        <v>0.173736673936197</v>
      </c>
      <c r="G1346" s="1" t="n">
        <v>1154.8276716539</v>
      </c>
      <c r="H1346" s="1" t="s">
        <v>395</v>
      </c>
    </row>
    <row r="1347" customFormat="false" ht="14.25" hidden="false" customHeight="true" outlineLevel="0" collapsed="false">
      <c r="A1347" s="1" t="s">
        <v>651</v>
      </c>
      <c r="B1347" s="1" t="s">
        <v>36</v>
      </c>
      <c r="C1347" s="1" t="s">
        <v>36</v>
      </c>
      <c r="D1347" s="1" t="s">
        <v>294</v>
      </c>
      <c r="E1347" s="1" t="n">
        <v>3735</v>
      </c>
      <c r="F1347" s="1" t="n">
        <v>0.173736673936197</v>
      </c>
      <c r="G1347" s="1" t="n">
        <v>648.906477151696</v>
      </c>
      <c r="H1347" s="1" t="s">
        <v>395</v>
      </c>
    </row>
    <row r="1348" customFormat="false" ht="14.25" hidden="false" customHeight="true" outlineLevel="0" collapsed="false">
      <c r="A1348" s="1" t="s">
        <v>651</v>
      </c>
      <c r="B1348" s="1" t="s">
        <v>36</v>
      </c>
      <c r="C1348" s="1" t="s">
        <v>36</v>
      </c>
      <c r="D1348" s="1" t="s">
        <v>291</v>
      </c>
      <c r="E1348" s="1" t="n">
        <v>6601</v>
      </c>
      <c r="F1348" s="1" t="n">
        <v>0.173736673936197</v>
      </c>
      <c r="G1348" s="1" t="n">
        <v>1146.83578465284</v>
      </c>
      <c r="H1348" s="1" t="s">
        <v>395</v>
      </c>
    </row>
    <row r="1349" customFormat="false" ht="14.25" hidden="false" customHeight="true" outlineLevel="0" collapsed="false">
      <c r="A1349" s="1" t="s">
        <v>651</v>
      </c>
      <c r="B1349" s="1" t="s">
        <v>36</v>
      </c>
      <c r="C1349" s="1" t="s">
        <v>36</v>
      </c>
      <c r="D1349" s="1" t="s">
        <v>285</v>
      </c>
      <c r="E1349" s="1" t="n">
        <v>14697</v>
      </c>
      <c r="F1349" s="1" t="n">
        <v>0.173736673936197</v>
      </c>
      <c r="G1349" s="1" t="n">
        <v>2553.40789684029</v>
      </c>
      <c r="H1349" s="1" t="s">
        <v>395</v>
      </c>
    </row>
    <row r="1350" customFormat="false" ht="14.25" hidden="false" customHeight="true" outlineLevel="0" collapsed="false">
      <c r="A1350" s="1" t="s">
        <v>651</v>
      </c>
      <c r="B1350" s="1" t="s">
        <v>36</v>
      </c>
      <c r="C1350" s="1" t="s">
        <v>36</v>
      </c>
      <c r="D1350" s="1" t="s">
        <v>286</v>
      </c>
      <c r="E1350" s="1" t="n">
        <v>4789</v>
      </c>
      <c r="F1350" s="1" t="n">
        <v>0.173736673936197</v>
      </c>
      <c r="G1350" s="1" t="n">
        <v>832.024931480447</v>
      </c>
      <c r="H1350" s="1" t="s">
        <v>395</v>
      </c>
    </row>
    <row r="1351" customFormat="false" ht="14.25" hidden="false" customHeight="true" outlineLevel="0" collapsed="false">
      <c r="A1351" s="1" t="s">
        <v>651</v>
      </c>
      <c r="B1351" s="1" t="s">
        <v>36</v>
      </c>
      <c r="C1351" s="1" t="s">
        <v>36</v>
      </c>
      <c r="D1351" s="1" t="s">
        <v>283</v>
      </c>
      <c r="E1351" s="1" t="n">
        <v>4796</v>
      </c>
      <c r="F1351" s="1" t="n">
        <v>0.173736673936197</v>
      </c>
      <c r="G1351" s="1" t="n">
        <v>833.241088198001</v>
      </c>
      <c r="H1351" s="1" t="s">
        <v>395</v>
      </c>
    </row>
    <row r="1352" customFormat="false" ht="14.25" hidden="false" customHeight="true" outlineLevel="0" collapsed="false">
      <c r="A1352" s="1" t="s">
        <v>651</v>
      </c>
      <c r="B1352" s="1" t="s">
        <v>34</v>
      </c>
      <c r="C1352" s="1" t="s">
        <v>34</v>
      </c>
      <c r="D1352" s="1" t="s">
        <v>288</v>
      </c>
      <c r="E1352" s="1" t="n">
        <v>6647</v>
      </c>
      <c r="F1352" s="1" t="n">
        <v>0.322960034488005</v>
      </c>
      <c r="G1352" s="1" t="n">
        <v>2146.71534924177</v>
      </c>
      <c r="H1352" s="1" t="s">
        <v>395</v>
      </c>
    </row>
    <row r="1353" customFormat="false" ht="14.25" hidden="false" customHeight="true" outlineLevel="0" collapsed="false">
      <c r="A1353" s="1" t="s">
        <v>651</v>
      </c>
      <c r="B1353" s="1" t="s">
        <v>34</v>
      </c>
      <c r="C1353" s="1" t="s">
        <v>34</v>
      </c>
      <c r="D1353" s="1" t="s">
        <v>290</v>
      </c>
      <c r="E1353" s="1" t="n">
        <v>13510</v>
      </c>
      <c r="F1353" s="1" t="n">
        <v>0.322960034488005</v>
      </c>
      <c r="G1353" s="1" t="n">
        <v>4363.19006593295</v>
      </c>
      <c r="H1353" s="1" t="s">
        <v>395</v>
      </c>
    </row>
    <row r="1354" customFormat="false" ht="14.25" hidden="false" customHeight="true" outlineLevel="0" collapsed="false">
      <c r="A1354" s="1" t="s">
        <v>651</v>
      </c>
      <c r="B1354" s="1" t="s">
        <v>34</v>
      </c>
      <c r="C1354" s="1" t="s">
        <v>34</v>
      </c>
      <c r="D1354" s="1" t="s">
        <v>294</v>
      </c>
      <c r="E1354" s="1" t="n">
        <v>3735</v>
      </c>
      <c r="F1354" s="1" t="n">
        <v>0.322960034488005</v>
      </c>
      <c r="G1354" s="1" t="n">
        <v>1206.2557288127</v>
      </c>
      <c r="H1354" s="1" t="s">
        <v>395</v>
      </c>
    </row>
    <row r="1355" customFormat="false" ht="14.25" hidden="false" customHeight="true" outlineLevel="0" collapsed="false">
      <c r="A1355" s="1" t="s">
        <v>651</v>
      </c>
      <c r="B1355" s="1" t="s">
        <v>34</v>
      </c>
      <c r="C1355" s="1" t="s">
        <v>34</v>
      </c>
      <c r="D1355" s="1" t="s">
        <v>291</v>
      </c>
      <c r="E1355" s="1" t="n">
        <v>6601</v>
      </c>
      <c r="F1355" s="1" t="n">
        <v>0.322960034488005</v>
      </c>
      <c r="G1355" s="1" t="n">
        <v>2131.85918765532</v>
      </c>
      <c r="H1355" s="1" t="s">
        <v>395</v>
      </c>
    </row>
    <row r="1356" customFormat="false" ht="14.25" hidden="false" customHeight="true" outlineLevel="0" collapsed="false">
      <c r="A1356" s="1" t="s">
        <v>651</v>
      </c>
      <c r="B1356" s="1" t="s">
        <v>34</v>
      </c>
      <c r="C1356" s="1" t="s">
        <v>34</v>
      </c>
      <c r="D1356" s="1" t="s">
        <v>285</v>
      </c>
      <c r="E1356" s="1" t="n">
        <v>14697</v>
      </c>
      <c r="F1356" s="1" t="n">
        <v>0.322960034488005</v>
      </c>
      <c r="G1356" s="1" t="n">
        <v>4746.54362687021</v>
      </c>
      <c r="H1356" s="1" t="s">
        <v>395</v>
      </c>
    </row>
    <row r="1357" customFormat="false" ht="14.25" hidden="false" customHeight="true" outlineLevel="0" collapsed="false">
      <c r="A1357" s="1" t="s">
        <v>651</v>
      </c>
      <c r="B1357" s="1" t="s">
        <v>34</v>
      </c>
      <c r="C1357" s="1" t="s">
        <v>34</v>
      </c>
      <c r="D1357" s="1" t="s">
        <v>286</v>
      </c>
      <c r="E1357" s="1" t="n">
        <v>4789</v>
      </c>
      <c r="F1357" s="1" t="n">
        <v>0.322960034488005</v>
      </c>
      <c r="G1357" s="1" t="n">
        <v>1546.65560516306</v>
      </c>
      <c r="H1357" s="1" t="s">
        <v>395</v>
      </c>
    </row>
    <row r="1358" customFormat="false" ht="14.25" hidden="false" customHeight="true" outlineLevel="0" collapsed="false">
      <c r="A1358" s="1" t="s">
        <v>651</v>
      </c>
      <c r="B1358" s="1" t="s">
        <v>34</v>
      </c>
      <c r="C1358" s="1" t="s">
        <v>34</v>
      </c>
      <c r="D1358" s="1" t="s">
        <v>283</v>
      </c>
      <c r="E1358" s="1" t="n">
        <v>4796</v>
      </c>
      <c r="F1358" s="1" t="n">
        <v>0.322960034488005</v>
      </c>
      <c r="G1358" s="1" t="n">
        <v>1548.91632540447</v>
      </c>
      <c r="H1358" s="1" t="s">
        <v>395</v>
      </c>
    </row>
    <row r="1359" customFormat="false" ht="14.25" hidden="false" customHeight="true" outlineLevel="0" collapsed="false">
      <c r="A1359" s="1" t="s">
        <v>651</v>
      </c>
      <c r="B1359" s="1" t="s">
        <v>83</v>
      </c>
      <c r="C1359" s="1" t="s">
        <v>83</v>
      </c>
      <c r="D1359" s="1" t="s">
        <v>288</v>
      </c>
      <c r="E1359" s="1" t="n">
        <v>6647</v>
      </c>
      <c r="F1359" s="1" t="n">
        <v>0.0794262311710707</v>
      </c>
      <c r="G1359" s="1" t="n">
        <v>527.946158594107</v>
      </c>
      <c r="H1359" s="1" t="s">
        <v>395</v>
      </c>
    </row>
    <row r="1360" customFormat="false" ht="14.25" hidden="false" customHeight="true" outlineLevel="0" collapsed="false">
      <c r="A1360" s="1" t="s">
        <v>651</v>
      </c>
      <c r="B1360" s="1" t="s">
        <v>83</v>
      </c>
      <c r="C1360" s="1" t="s">
        <v>83</v>
      </c>
      <c r="D1360" s="1" t="s">
        <v>294</v>
      </c>
      <c r="E1360" s="1" t="n">
        <v>3735</v>
      </c>
      <c r="F1360" s="1" t="n">
        <v>0.0794262311710707</v>
      </c>
      <c r="G1360" s="1" t="n">
        <v>296.656973423949</v>
      </c>
      <c r="H1360" s="1" t="s">
        <v>395</v>
      </c>
    </row>
    <row r="1361" customFormat="false" ht="14.25" hidden="false" customHeight="true" outlineLevel="0" collapsed="false">
      <c r="A1361" s="1" t="s">
        <v>651</v>
      </c>
      <c r="B1361" s="1" t="s">
        <v>83</v>
      </c>
      <c r="C1361" s="1" t="s">
        <v>83</v>
      </c>
      <c r="D1361" s="1" t="s">
        <v>291</v>
      </c>
      <c r="E1361" s="1" t="n">
        <v>6601</v>
      </c>
      <c r="F1361" s="1" t="n">
        <v>0.0794262311710707</v>
      </c>
      <c r="G1361" s="1" t="n">
        <v>524.292551960238</v>
      </c>
      <c r="H1361" s="1" t="s">
        <v>395</v>
      </c>
    </row>
    <row r="1362" customFormat="false" ht="14.25" hidden="false" customHeight="true" outlineLevel="0" collapsed="false">
      <c r="A1362" s="1" t="s">
        <v>651</v>
      </c>
      <c r="B1362" s="1" t="s">
        <v>83</v>
      </c>
      <c r="C1362" s="1" t="s">
        <v>83</v>
      </c>
      <c r="D1362" s="1" t="s">
        <v>285</v>
      </c>
      <c r="E1362" s="1" t="n">
        <v>14697</v>
      </c>
      <c r="F1362" s="1" t="n">
        <v>0.0794262311710707</v>
      </c>
      <c r="G1362" s="1" t="n">
        <v>1167.32731952123</v>
      </c>
      <c r="H1362" s="1" t="s">
        <v>395</v>
      </c>
    </row>
    <row r="1363" customFormat="false" ht="14.25" hidden="false" customHeight="true" outlineLevel="0" collapsed="false">
      <c r="A1363" s="1" t="s">
        <v>651</v>
      </c>
      <c r="B1363" s="1" t="s">
        <v>83</v>
      </c>
      <c r="C1363" s="1" t="s">
        <v>83</v>
      </c>
      <c r="D1363" s="1" t="s">
        <v>286</v>
      </c>
      <c r="E1363" s="1" t="n">
        <v>4789</v>
      </c>
      <c r="F1363" s="1" t="n">
        <v>0.0794262311710707</v>
      </c>
      <c r="G1363" s="1" t="n">
        <v>380.372221078258</v>
      </c>
      <c r="H1363" s="1" t="s">
        <v>395</v>
      </c>
    </row>
    <row r="1364" customFormat="false" ht="14.25" hidden="false" customHeight="true" outlineLevel="0" collapsed="false">
      <c r="A1364" s="1" t="s">
        <v>651</v>
      </c>
      <c r="B1364" s="1" t="s">
        <v>83</v>
      </c>
      <c r="C1364" s="1" t="s">
        <v>83</v>
      </c>
      <c r="D1364" s="1" t="s">
        <v>283</v>
      </c>
      <c r="E1364" s="1" t="n">
        <v>4796</v>
      </c>
      <c r="F1364" s="1" t="n">
        <v>0.0794262311710707</v>
      </c>
      <c r="G1364" s="1" t="n">
        <v>380.928204696455</v>
      </c>
      <c r="H1364" s="1" t="s">
        <v>395</v>
      </c>
    </row>
    <row r="1365" customFormat="false" ht="14.25" hidden="false" customHeight="true" outlineLevel="0" collapsed="false">
      <c r="A1365" s="1" t="s">
        <v>651</v>
      </c>
      <c r="B1365" s="1" t="s">
        <v>32</v>
      </c>
      <c r="C1365" s="1" t="s">
        <v>640</v>
      </c>
      <c r="D1365" s="1" t="s">
        <v>288</v>
      </c>
      <c r="E1365" s="1" t="n">
        <v>30</v>
      </c>
      <c r="F1365" s="1" t="n">
        <v>36.2501330798479</v>
      </c>
      <c r="G1365" s="1" t="n">
        <v>1087.50399239544</v>
      </c>
      <c r="H1365" s="1" t="s">
        <v>641</v>
      </c>
    </row>
    <row r="1366" customFormat="false" ht="14.25" hidden="false" customHeight="true" outlineLevel="0" collapsed="false">
      <c r="A1366" s="1" t="s">
        <v>651</v>
      </c>
      <c r="B1366" s="1" t="s">
        <v>32</v>
      </c>
      <c r="C1366" s="1" t="s">
        <v>640</v>
      </c>
      <c r="D1366" s="1" t="s">
        <v>294</v>
      </c>
      <c r="E1366" s="1" t="n">
        <v>10</v>
      </c>
      <c r="F1366" s="1" t="n">
        <v>36.2501330798479</v>
      </c>
      <c r="G1366" s="1" t="n">
        <v>362.501330798479</v>
      </c>
      <c r="H1366" s="1" t="s">
        <v>641</v>
      </c>
    </row>
    <row r="1367" customFormat="false" ht="14.25" hidden="false" customHeight="true" outlineLevel="0" collapsed="false">
      <c r="A1367" s="1" t="s">
        <v>651</v>
      </c>
      <c r="B1367" s="1" t="s">
        <v>32</v>
      </c>
      <c r="C1367" s="1" t="s">
        <v>640</v>
      </c>
      <c r="D1367" s="1" t="s">
        <v>291</v>
      </c>
      <c r="E1367" s="1" t="n">
        <v>46</v>
      </c>
      <c r="F1367" s="1" t="n">
        <v>36.2501330798479</v>
      </c>
      <c r="G1367" s="1" t="n">
        <v>1667.506121673</v>
      </c>
      <c r="H1367" s="1" t="s">
        <v>641</v>
      </c>
    </row>
    <row r="1368" customFormat="false" ht="14.25" hidden="false" customHeight="true" outlineLevel="0" collapsed="false">
      <c r="A1368" s="1" t="s">
        <v>651</v>
      </c>
      <c r="B1368" s="1" t="s">
        <v>32</v>
      </c>
      <c r="C1368" s="1" t="s">
        <v>640</v>
      </c>
      <c r="D1368" s="1" t="s">
        <v>285</v>
      </c>
      <c r="E1368" s="1" t="n">
        <v>45</v>
      </c>
      <c r="F1368" s="1" t="n">
        <v>36.2501330798479</v>
      </c>
      <c r="G1368" s="1" t="n">
        <v>1631.25598859316</v>
      </c>
      <c r="H1368" s="1" t="s">
        <v>641</v>
      </c>
    </row>
    <row r="1369" customFormat="false" ht="14.25" hidden="false" customHeight="true" outlineLevel="0" collapsed="false">
      <c r="A1369" s="1" t="s">
        <v>651</v>
      </c>
      <c r="B1369" s="1" t="s">
        <v>32</v>
      </c>
      <c r="C1369" s="1" t="s">
        <v>640</v>
      </c>
      <c r="D1369" s="1" t="s">
        <v>286</v>
      </c>
      <c r="E1369" s="1" t="n">
        <v>17</v>
      </c>
      <c r="F1369" s="1" t="n">
        <v>36.2501330798479</v>
      </c>
      <c r="G1369" s="1" t="n">
        <v>616.252262357414</v>
      </c>
      <c r="H1369" s="1" t="s">
        <v>641</v>
      </c>
    </row>
    <row r="1370" customFormat="false" ht="14.25" hidden="false" customHeight="true" outlineLevel="0" collapsed="false">
      <c r="A1370" s="1" t="s">
        <v>651</v>
      </c>
      <c r="B1370" s="1" t="s">
        <v>32</v>
      </c>
      <c r="C1370" s="1" t="s">
        <v>640</v>
      </c>
      <c r="D1370" s="1" t="s">
        <v>283</v>
      </c>
      <c r="E1370" s="1" t="n">
        <v>23</v>
      </c>
      <c r="F1370" s="1" t="n">
        <v>36.2501330798479</v>
      </c>
      <c r="G1370" s="1" t="n">
        <v>833.753060836502</v>
      </c>
      <c r="H1370" s="1" t="s">
        <v>641</v>
      </c>
    </row>
    <row r="1371" customFormat="false" ht="14.25" hidden="false" customHeight="true" outlineLevel="0" collapsed="false">
      <c r="A1371" s="1" t="s">
        <v>651</v>
      </c>
      <c r="B1371" s="1" t="s">
        <v>33</v>
      </c>
      <c r="C1371" s="1" t="s">
        <v>642</v>
      </c>
      <c r="D1371" s="1" t="s">
        <v>288</v>
      </c>
      <c r="E1371" s="1" t="n">
        <v>30</v>
      </c>
      <c r="F1371" s="1" t="n">
        <v>49.5105988593156</v>
      </c>
      <c r="G1371" s="1" t="n">
        <v>1485.31796577947</v>
      </c>
      <c r="H1371" s="1" t="s">
        <v>641</v>
      </c>
    </row>
    <row r="1372" customFormat="false" ht="14.25" hidden="false" customHeight="true" outlineLevel="0" collapsed="false">
      <c r="A1372" s="1" t="s">
        <v>651</v>
      </c>
      <c r="B1372" s="1" t="s">
        <v>33</v>
      </c>
      <c r="C1372" s="1" t="s">
        <v>642</v>
      </c>
      <c r="D1372" s="1" t="s">
        <v>294</v>
      </c>
      <c r="E1372" s="1" t="n">
        <v>10</v>
      </c>
      <c r="F1372" s="1" t="n">
        <v>49.5105988593156</v>
      </c>
      <c r="G1372" s="1" t="n">
        <v>495.105988593156</v>
      </c>
      <c r="H1372" s="1" t="s">
        <v>641</v>
      </c>
    </row>
    <row r="1373" customFormat="false" ht="14.25" hidden="false" customHeight="true" outlineLevel="0" collapsed="false">
      <c r="A1373" s="1" t="s">
        <v>651</v>
      </c>
      <c r="B1373" s="1" t="s">
        <v>33</v>
      </c>
      <c r="C1373" s="1" t="s">
        <v>642</v>
      </c>
      <c r="D1373" s="1" t="s">
        <v>291</v>
      </c>
      <c r="E1373" s="1" t="n">
        <v>46</v>
      </c>
      <c r="F1373" s="1" t="n">
        <v>49.5105988593156</v>
      </c>
      <c r="G1373" s="1" t="n">
        <v>2277.48754752852</v>
      </c>
      <c r="H1373" s="1" t="s">
        <v>641</v>
      </c>
    </row>
    <row r="1374" customFormat="false" ht="14.25" hidden="false" customHeight="true" outlineLevel="0" collapsed="false">
      <c r="A1374" s="1" t="s">
        <v>651</v>
      </c>
      <c r="B1374" s="1" t="s">
        <v>33</v>
      </c>
      <c r="C1374" s="1" t="s">
        <v>642</v>
      </c>
      <c r="D1374" s="1" t="s">
        <v>285</v>
      </c>
      <c r="E1374" s="1" t="n">
        <v>45</v>
      </c>
      <c r="F1374" s="1" t="n">
        <v>49.5105988593156</v>
      </c>
      <c r="G1374" s="1" t="n">
        <v>2227.9769486692</v>
      </c>
      <c r="H1374" s="1" t="s">
        <v>641</v>
      </c>
    </row>
    <row r="1375" customFormat="false" ht="14.25" hidden="false" customHeight="true" outlineLevel="0" collapsed="false">
      <c r="A1375" s="1" t="s">
        <v>651</v>
      </c>
      <c r="B1375" s="1" t="s">
        <v>33</v>
      </c>
      <c r="C1375" s="1" t="s">
        <v>642</v>
      </c>
      <c r="D1375" s="1" t="s">
        <v>286</v>
      </c>
      <c r="E1375" s="1" t="n">
        <v>17</v>
      </c>
      <c r="F1375" s="1" t="n">
        <v>49.5105988593156</v>
      </c>
      <c r="G1375" s="1" t="n">
        <v>841.680180608365</v>
      </c>
      <c r="H1375" s="1" t="s">
        <v>641</v>
      </c>
    </row>
    <row r="1376" customFormat="false" ht="14.25" hidden="false" customHeight="true" outlineLevel="0" collapsed="false">
      <c r="A1376" s="1" t="s">
        <v>651</v>
      </c>
      <c r="B1376" s="1" t="s">
        <v>33</v>
      </c>
      <c r="C1376" s="1" t="s">
        <v>642</v>
      </c>
      <c r="D1376" s="1" t="s">
        <v>283</v>
      </c>
      <c r="E1376" s="1" t="n">
        <v>23</v>
      </c>
      <c r="F1376" s="1" t="n">
        <v>49.5105988593156</v>
      </c>
      <c r="G1376" s="1" t="n">
        <v>1138.74377376426</v>
      </c>
      <c r="H1376" s="1" t="s">
        <v>641</v>
      </c>
    </row>
    <row r="1377" customFormat="false" ht="14.25" hidden="false" customHeight="true" outlineLevel="0" collapsed="false">
      <c r="A1377" s="1" t="s">
        <v>651</v>
      </c>
      <c r="B1377" s="1" t="s">
        <v>44</v>
      </c>
      <c r="C1377" s="1" t="s">
        <v>643</v>
      </c>
      <c r="D1377" s="1" t="s">
        <v>288</v>
      </c>
      <c r="E1377" s="1" t="n">
        <v>30</v>
      </c>
      <c r="F1377" s="1" t="n">
        <v>49.7823098859316</v>
      </c>
      <c r="G1377" s="1" t="n">
        <v>1493.46929657795</v>
      </c>
      <c r="H1377" s="1" t="s">
        <v>641</v>
      </c>
    </row>
    <row r="1378" customFormat="false" ht="14.25" hidden="false" customHeight="true" outlineLevel="0" collapsed="false">
      <c r="A1378" s="1" t="s">
        <v>651</v>
      </c>
      <c r="B1378" s="1" t="s">
        <v>44</v>
      </c>
      <c r="C1378" s="1" t="s">
        <v>643</v>
      </c>
      <c r="D1378" s="1" t="s">
        <v>290</v>
      </c>
      <c r="E1378" s="1" t="n">
        <v>37</v>
      </c>
      <c r="F1378" s="1" t="n">
        <v>49.7823098859316</v>
      </c>
      <c r="G1378" s="1" t="n">
        <v>1841.94546577947</v>
      </c>
      <c r="H1378" s="1" t="s">
        <v>641</v>
      </c>
    </row>
    <row r="1379" customFormat="false" ht="14.25" hidden="false" customHeight="true" outlineLevel="0" collapsed="false">
      <c r="A1379" s="1" t="s">
        <v>651</v>
      </c>
      <c r="B1379" s="1" t="s">
        <v>44</v>
      </c>
      <c r="C1379" s="1" t="s">
        <v>643</v>
      </c>
      <c r="D1379" s="1" t="s">
        <v>294</v>
      </c>
      <c r="E1379" s="1" t="n">
        <v>10</v>
      </c>
      <c r="F1379" s="1" t="n">
        <v>49.7823098859316</v>
      </c>
      <c r="G1379" s="1" t="n">
        <v>497.823098859316</v>
      </c>
      <c r="H1379" s="1" t="s">
        <v>641</v>
      </c>
    </row>
    <row r="1380" customFormat="false" ht="14.25" hidden="false" customHeight="true" outlineLevel="0" collapsed="false">
      <c r="A1380" s="1" t="s">
        <v>651</v>
      </c>
      <c r="B1380" s="1" t="s">
        <v>44</v>
      </c>
      <c r="C1380" s="1" t="s">
        <v>643</v>
      </c>
      <c r="D1380" s="1" t="s">
        <v>291</v>
      </c>
      <c r="E1380" s="1" t="n">
        <v>46</v>
      </c>
      <c r="F1380" s="1" t="n">
        <v>49.7823098859316</v>
      </c>
      <c r="G1380" s="1" t="n">
        <v>2289.98625475285</v>
      </c>
      <c r="H1380" s="1" t="s">
        <v>641</v>
      </c>
    </row>
    <row r="1381" customFormat="false" ht="14.25" hidden="false" customHeight="true" outlineLevel="0" collapsed="false">
      <c r="A1381" s="1" t="s">
        <v>651</v>
      </c>
      <c r="B1381" s="1" t="s">
        <v>44</v>
      </c>
      <c r="C1381" s="1" t="s">
        <v>643</v>
      </c>
      <c r="D1381" s="1" t="s">
        <v>285</v>
      </c>
      <c r="E1381" s="1" t="n">
        <v>45</v>
      </c>
      <c r="F1381" s="1" t="n">
        <v>49.7823098859316</v>
      </c>
      <c r="G1381" s="1" t="n">
        <v>2240.20394486692</v>
      </c>
      <c r="H1381" s="1" t="s">
        <v>641</v>
      </c>
    </row>
    <row r="1382" customFormat="false" ht="14.25" hidden="false" customHeight="true" outlineLevel="0" collapsed="false">
      <c r="A1382" s="1" t="s">
        <v>651</v>
      </c>
      <c r="B1382" s="1" t="s">
        <v>44</v>
      </c>
      <c r="C1382" s="1" t="s">
        <v>643</v>
      </c>
      <c r="D1382" s="1" t="s">
        <v>286</v>
      </c>
      <c r="E1382" s="1" t="n">
        <v>17</v>
      </c>
      <c r="F1382" s="1" t="n">
        <v>49.7823098859316</v>
      </c>
      <c r="G1382" s="1" t="n">
        <v>846.299268060837</v>
      </c>
      <c r="H1382" s="1" t="s">
        <v>641</v>
      </c>
    </row>
    <row r="1383" customFormat="false" ht="14.25" hidden="false" customHeight="true" outlineLevel="0" collapsed="false">
      <c r="A1383" s="1" t="s">
        <v>651</v>
      </c>
      <c r="B1383" s="1" t="s">
        <v>44</v>
      </c>
      <c r="C1383" s="1" t="s">
        <v>643</v>
      </c>
      <c r="D1383" s="1" t="s">
        <v>283</v>
      </c>
      <c r="E1383" s="1" t="n">
        <v>23</v>
      </c>
      <c r="F1383" s="1" t="n">
        <v>49.7823098859316</v>
      </c>
      <c r="G1383" s="1" t="n">
        <v>1144.99312737643</v>
      </c>
      <c r="H1383" s="1" t="s">
        <v>641</v>
      </c>
    </row>
    <row r="1384" customFormat="false" ht="14.25" hidden="false" customHeight="true" outlineLevel="0" collapsed="false">
      <c r="A1384" s="1" t="s">
        <v>651</v>
      </c>
      <c r="B1384" s="1" t="s">
        <v>55</v>
      </c>
      <c r="C1384" s="1" t="s">
        <v>647</v>
      </c>
      <c r="D1384" s="1" t="s">
        <v>288</v>
      </c>
      <c r="E1384" s="1" t="n">
        <v>30</v>
      </c>
      <c r="F1384" s="1" t="n">
        <v>22.186397338403</v>
      </c>
      <c r="G1384" s="1" t="n">
        <v>665.59192015209</v>
      </c>
      <c r="H1384" s="1" t="s">
        <v>641</v>
      </c>
    </row>
    <row r="1385" customFormat="false" ht="14.25" hidden="false" customHeight="true" outlineLevel="0" collapsed="false">
      <c r="A1385" s="1" t="s">
        <v>651</v>
      </c>
      <c r="B1385" s="1" t="s">
        <v>55</v>
      </c>
      <c r="C1385" s="1" t="s">
        <v>647</v>
      </c>
      <c r="D1385" s="1" t="s">
        <v>290</v>
      </c>
      <c r="F1385" s="1" t="n">
        <v>22.186397338403</v>
      </c>
      <c r="H1385" s="1" t="s">
        <v>648</v>
      </c>
    </row>
    <row r="1386" customFormat="false" ht="14.25" hidden="false" customHeight="true" outlineLevel="0" collapsed="false">
      <c r="A1386" s="1" t="s">
        <v>651</v>
      </c>
      <c r="B1386" s="1" t="s">
        <v>55</v>
      </c>
      <c r="C1386" s="1" t="s">
        <v>647</v>
      </c>
      <c r="D1386" s="1" t="s">
        <v>294</v>
      </c>
      <c r="E1386" s="1" t="n">
        <v>10</v>
      </c>
      <c r="F1386" s="1" t="n">
        <v>22.186397338403</v>
      </c>
      <c r="G1386" s="1" t="n">
        <v>221.86397338403</v>
      </c>
      <c r="H1386" s="1" t="s">
        <v>641</v>
      </c>
    </row>
    <row r="1387" customFormat="false" ht="14.25" hidden="false" customHeight="true" outlineLevel="0" collapsed="false">
      <c r="A1387" s="1" t="s">
        <v>651</v>
      </c>
      <c r="B1387" s="1" t="s">
        <v>55</v>
      </c>
      <c r="C1387" s="1" t="s">
        <v>647</v>
      </c>
      <c r="D1387" s="1" t="s">
        <v>291</v>
      </c>
      <c r="E1387" s="1" t="n">
        <v>46</v>
      </c>
      <c r="F1387" s="1" t="n">
        <v>22.186397338403</v>
      </c>
      <c r="G1387" s="1" t="n">
        <v>1020.57427756654</v>
      </c>
      <c r="H1387" s="1" t="s">
        <v>641</v>
      </c>
    </row>
    <row r="1388" customFormat="false" ht="14.25" hidden="false" customHeight="true" outlineLevel="0" collapsed="false">
      <c r="A1388" s="1" t="s">
        <v>651</v>
      </c>
      <c r="B1388" s="1" t="s">
        <v>55</v>
      </c>
      <c r="C1388" s="1" t="s">
        <v>647</v>
      </c>
      <c r="D1388" s="1" t="s">
        <v>285</v>
      </c>
      <c r="E1388" s="1" t="n">
        <v>45</v>
      </c>
      <c r="F1388" s="1" t="n">
        <v>22.186397338403</v>
      </c>
      <c r="G1388" s="1" t="n">
        <v>998.387880228135</v>
      </c>
      <c r="H1388" s="1" t="s">
        <v>641</v>
      </c>
    </row>
    <row r="1389" customFormat="false" ht="14.25" hidden="false" customHeight="true" outlineLevel="0" collapsed="false">
      <c r="A1389" s="1" t="s">
        <v>651</v>
      </c>
      <c r="B1389" s="1" t="s">
        <v>55</v>
      </c>
      <c r="C1389" s="1" t="s">
        <v>647</v>
      </c>
      <c r="D1389" s="1" t="s">
        <v>286</v>
      </c>
      <c r="E1389" s="1" t="n">
        <v>17</v>
      </c>
      <c r="F1389" s="1" t="n">
        <v>22.186397338403</v>
      </c>
      <c r="G1389" s="1" t="n">
        <v>377.168754752851</v>
      </c>
      <c r="H1389" s="1" t="s">
        <v>641</v>
      </c>
    </row>
    <row r="1390" customFormat="false" ht="14.25" hidden="false" customHeight="true" outlineLevel="0" collapsed="false">
      <c r="A1390" s="1" t="s">
        <v>651</v>
      </c>
      <c r="B1390" s="1" t="s">
        <v>55</v>
      </c>
      <c r="C1390" s="1" t="s">
        <v>647</v>
      </c>
      <c r="D1390" s="1" t="s">
        <v>283</v>
      </c>
      <c r="E1390" s="1" t="n">
        <v>23</v>
      </c>
      <c r="F1390" s="1" t="n">
        <v>22.186397338403</v>
      </c>
      <c r="G1390" s="1" t="n">
        <v>510.287138783269</v>
      </c>
      <c r="H1390" s="1" t="s">
        <v>641</v>
      </c>
    </row>
    <row r="1391" customFormat="false" ht="14.25" hidden="false" customHeight="true" outlineLevel="0" collapsed="false">
      <c r="A1391" s="1" t="s">
        <v>651</v>
      </c>
      <c r="B1391" s="1" t="s">
        <v>538</v>
      </c>
      <c r="C1391" s="1" t="s">
        <v>539</v>
      </c>
      <c r="D1391" s="1" t="s">
        <v>290</v>
      </c>
      <c r="E1391" s="1" t="n">
        <v>1</v>
      </c>
      <c r="F1391" s="1" t="n">
        <v>238.88</v>
      </c>
      <c r="G1391" s="1" t="n">
        <v>238.88</v>
      </c>
      <c r="H1391" s="1" t="s">
        <v>652</v>
      </c>
    </row>
    <row r="1392" customFormat="false" ht="14.25" hidden="false" customHeight="true" outlineLevel="0" collapsed="false">
      <c r="A1392" s="1" t="s">
        <v>651</v>
      </c>
      <c r="B1392" s="1" t="s">
        <v>538</v>
      </c>
      <c r="C1392" s="1" t="s">
        <v>541</v>
      </c>
      <c r="D1392" s="1" t="s">
        <v>290</v>
      </c>
      <c r="E1392" s="1" t="n">
        <v>1</v>
      </c>
      <c r="F1392" s="1" t="n">
        <v>624.79</v>
      </c>
      <c r="G1392" s="1" t="n">
        <v>624.79</v>
      </c>
      <c r="H1392" s="1" t="s">
        <v>652</v>
      </c>
    </row>
    <row r="1393" customFormat="false" ht="14.25" hidden="false" customHeight="true" outlineLevel="0" collapsed="false">
      <c r="A1393" s="1" t="s">
        <v>651</v>
      </c>
      <c r="B1393" s="1" t="s">
        <v>538</v>
      </c>
      <c r="C1393" s="1" t="s">
        <v>542</v>
      </c>
      <c r="D1393" s="1" t="s">
        <v>290</v>
      </c>
      <c r="E1393" s="1" t="n">
        <v>1</v>
      </c>
      <c r="F1393" s="1" t="n">
        <v>510</v>
      </c>
      <c r="G1393" s="1" t="n">
        <v>510</v>
      </c>
      <c r="H1393" s="1" t="s">
        <v>652</v>
      </c>
    </row>
    <row r="1394" customFormat="false" ht="14.25" hidden="false" customHeight="true" outlineLevel="0" collapsed="false">
      <c r="A1394" s="1" t="s">
        <v>651</v>
      </c>
      <c r="B1394" s="1" t="s">
        <v>538</v>
      </c>
      <c r="C1394" s="1" t="s">
        <v>543</v>
      </c>
      <c r="D1394" s="1" t="s">
        <v>290</v>
      </c>
      <c r="E1394" s="1" t="n">
        <v>1</v>
      </c>
      <c r="F1394" s="1" t="n">
        <v>333.1</v>
      </c>
      <c r="G1394" s="1" t="n">
        <v>333.1</v>
      </c>
      <c r="H1394" s="1" t="s">
        <v>652</v>
      </c>
    </row>
    <row r="1395" customFormat="false" ht="14.25" hidden="false" customHeight="true" outlineLevel="0" collapsed="false">
      <c r="A1395" s="1" t="s">
        <v>651</v>
      </c>
      <c r="B1395" s="1" t="s">
        <v>538</v>
      </c>
      <c r="C1395" s="1" t="s">
        <v>546</v>
      </c>
      <c r="D1395" s="1" t="s">
        <v>290</v>
      </c>
      <c r="E1395" s="1" t="n">
        <v>1</v>
      </c>
      <c r="F1395" s="1" t="n">
        <v>2973.2</v>
      </c>
      <c r="G1395" s="1" t="n">
        <v>2973.2</v>
      </c>
      <c r="H1395" s="1" t="s">
        <v>652</v>
      </c>
    </row>
    <row r="1396" customFormat="false" ht="14.25" hidden="false" customHeight="true" outlineLevel="0" collapsed="false">
      <c r="A1396" s="1" t="s">
        <v>651</v>
      </c>
      <c r="B1396" s="1" t="s">
        <v>538</v>
      </c>
      <c r="C1396" s="1" t="s">
        <v>620</v>
      </c>
      <c r="D1396" s="1" t="s">
        <v>290</v>
      </c>
      <c r="E1396" s="1" t="n">
        <v>1</v>
      </c>
      <c r="F1396" s="1" t="n">
        <v>1833.24</v>
      </c>
      <c r="G1396" s="1" t="n">
        <v>1833.24</v>
      </c>
      <c r="H1396" s="1" t="s">
        <v>652</v>
      </c>
    </row>
    <row r="1397" customFormat="false" ht="14.25" hidden="false" customHeight="true" outlineLevel="0" collapsed="false">
      <c r="A1397" s="1" t="s">
        <v>651</v>
      </c>
      <c r="B1397" s="1" t="s">
        <v>538</v>
      </c>
      <c r="C1397" s="1" t="s">
        <v>547</v>
      </c>
      <c r="D1397" s="1" t="s">
        <v>290</v>
      </c>
      <c r="E1397" s="1" t="n">
        <v>1</v>
      </c>
      <c r="F1397" s="1" t="n">
        <v>7615.46</v>
      </c>
      <c r="G1397" s="1" t="n">
        <v>7615.46</v>
      </c>
      <c r="H1397" s="1" t="s">
        <v>652</v>
      </c>
    </row>
    <row r="1398" customFormat="false" ht="14.25" hidden="false" customHeight="true" outlineLevel="0" collapsed="false">
      <c r="A1398" s="1" t="s">
        <v>589</v>
      </c>
      <c r="B1398" s="1" t="s">
        <v>143</v>
      </c>
      <c r="C1398" s="1" t="s">
        <v>472</v>
      </c>
      <c r="D1398" s="1" t="s">
        <v>276</v>
      </c>
      <c r="E1398" s="1" t="n">
        <v>137756</v>
      </c>
      <c r="F1398" s="1" t="n">
        <v>0.212371943123151</v>
      </c>
      <c r="G1398" s="1" t="n">
        <v>29255.5093968728</v>
      </c>
      <c r="H1398" s="1" t="s">
        <v>395</v>
      </c>
    </row>
    <row r="1399" customFormat="false" ht="14.25" hidden="false" customHeight="true" outlineLevel="0" collapsed="false">
      <c r="A1399" s="1" t="s">
        <v>589</v>
      </c>
      <c r="B1399" s="1" t="s">
        <v>141</v>
      </c>
      <c r="C1399" s="1" t="s">
        <v>473</v>
      </c>
      <c r="D1399" s="1" t="s">
        <v>276</v>
      </c>
      <c r="E1399" s="1" t="n">
        <v>137756</v>
      </c>
      <c r="F1399" s="1" t="n">
        <v>0.0959225828032635</v>
      </c>
      <c r="G1399" s="1" t="n">
        <v>13213.9113166464</v>
      </c>
      <c r="H1399" s="1" t="s">
        <v>395</v>
      </c>
    </row>
    <row r="1400" customFormat="false" ht="14.25" hidden="false" customHeight="true" outlineLevel="0" collapsed="false">
      <c r="A1400" s="1" t="s">
        <v>589</v>
      </c>
      <c r="B1400" s="1" t="s">
        <v>569</v>
      </c>
      <c r="C1400" s="1" t="s">
        <v>570</v>
      </c>
      <c r="D1400" s="1" t="s">
        <v>276</v>
      </c>
      <c r="E1400" s="1" t="n">
        <v>137756</v>
      </c>
      <c r="F1400" s="1" t="n">
        <v>2.35573300476439</v>
      </c>
      <c r="G1400" s="1" t="n">
        <v>324516.355804323</v>
      </c>
      <c r="H1400" s="1" t="s">
        <v>395</v>
      </c>
    </row>
    <row r="1401" customFormat="false" ht="14.25" hidden="false" customHeight="true" outlineLevel="0" collapsed="false">
      <c r="A1401" s="1" t="s">
        <v>599</v>
      </c>
      <c r="B1401" s="1" t="s">
        <v>143</v>
      </c>
      <c r="C1401" s="1" t="s">
        <v>472</v>
      </c>
      <c r="D1401" s="1" t="s">
        <v>276</v>
      </c>
      <c r="E1401" s="1" t="n">
        <v>140857</v>
      </c>
      <c r="F1401" s="1" t="n">
        <v>0.253754640366083</v>
      </c>
      <c r="G1401" s="1" t="n">
        <v>35743.1173780453</v>
      </c>
      <c r="H1401" s="1" t="s">
        <v>395</v>
      </c>
    </row>
    <row r="1402" customFormat="false" ht="14.25" hidden="false" customHeight="true" outlineLevel="0" collapsed="false">
      <c r="A1402" s="1" t="s">
        <v>599</v>
      </c>
      <c r="B1402" s="1" t="s">
        <v>141</v>
      </c>
      <c r="C1402" s="1" t="s">
        <v>473</v>
      </c>
      <c r="D1402" s="1" t="s">
        <v>276</v>
      </c>
      <c r="E1402" s="1" t="n">
        <v>140857</v>
      </c>
      <c r="F1402" s="1" t="n">
        <v>0.105895207936646</v>
      </c>
      <c r="G1402" s="1" t="n">
        <v>14916.0813043321</v>
      </c>
      <c r="H1402" s="1" t="s">
        <v>395</v>
      </c>
    </row>
    <row r="1403" customFormat="false" ht="14.25" hidden="false" customHeight="true" outlineLevel="0" collapsed="false">
      <c r="A1403" s="1" t="s">
        <v>599</v>
      </c>
      <c r="B1403" s="1" t="s">
        <v>569</v>
      </c>
      <c r="C1403" s="1" t="s">
        <v>570</v>
      </c>
      <c r="D1403" s="1" t="s">
        <v>276</v>
      </c>
      <c r="E1403" s="1" t="n">
        <v>140857</v>
      </c>
      <c r="F1403" s="1" t="n">
        <v>2.99991610765306</v>
      </c>
      <c r="G1403" s="1" t="n">
        <v>422559.183175687</v>
      </c>
      <c r="H1403" s="1" t="s">
        <v>395</v>
      </c>
    </row>
    <row r="1404" customFormat="false" ht="14.25" hidden="false" customHeight="true" outlineLevel="0" collapsed="false">
      <c r="A1404" s="1" t="s">
        <v>626</v>
      </c>
      <c r="B1404" s="1" t="s">
        <v>396</v>
      </c>
      <c r="C1404" s="1" t="s">
        <v>86</v>
      </c>
      <c r="D1404" s="1" t="s">
        <v>276</v>
      </c>
      <c r="E1404" s="1" t="n">
        <v>146740</v>
      </c>
      <c r="F1404" s="1" t="n">
        <v>0.23</v>
      </c>
      <c r="G1404" s="1" t="n">
        <v>33750.2</v>
      </c>
      <c r="H1404" s="1" t="s">
        <v>395</v>
      </c>
    </row>
    <row r="1405" customFormat="false" ht="14.25" hidden="false" customHeight="true" outlineLevel="0" collapsed="false">
      <c r="A1405" s="1" t="s">
        <v>626</v>
      </c>
      <c r="B1405" s="1" t="s">
        <v>143</v>
      </c>
      <c r="C1405" s="1" t="s">
        <v>472</v>
      </c>
      <c r="D1405" s="1" t="s">
        <v>276</v>
      </c>
      <c r="E1405" s="1" t="n">
        <v>146740</v>
      </c>
      <c r="F1405" s="1" t="n">
        <v>0.2</v>
      </c>
      <c r="G1405" s="1" t="n">
        <v>29348</v>
      </c>
      <c r="H1405" s="1" t="s">
        <v>395</v>
      </c>
    </row>
    <row r="1406" customFormat="false" ht="14.25" hidden="false" customHeight="true" outlineLevel="0" collapsed="false">
      <c r="A1406" s="1" t="s">
        <v>626</v>
      </c>
      <c r="B1406" s="1" t="s">
        <v>141</v>
      </c>
      <c r="C1406" s="1" t="s">
        <v>473</v>
      </c>
      <c r="D1406" s="1" t="s">
        <v>276</v>
      </c>
      <c r="E1406" s="1" t="n">
        <v>146740</v>
      </c>
      <c r="F1406" s="1" t="n">
        <v>0.101057218436555</v>
      </c>
      <c r="G1406" s="1" t="n">
        <v>14829.1362333801</v>
      </c>
      <c r="H1406" s="1" t="s">
        <v>395</v>
      </c>
    </row>
    <row r="1407" customFormat="false" ht="14.25" hidden="false" customHeight="true" outlineLevel="0" collapsed="false">
      <c r="A1407" s="1" t="s">
        <v>626</v>
      </c>
      <c r="B1407" s="1" t="s">
        <v>569</v>
      </c>
      <c r="C1407" s="1" t="s">
        <v>570</v>
      </c>
      <c r="D1407" s="1" t="s">
        <v>276</v>
      </c>
      <c r="E1407" s="1" t="n">
        <v>146740</v>
      </c>
      <c r="F1407" s="1" t="n">
        <v>3.18253026831306</v>
      </c>
      <c r="G1407" s="1" t="n">
        <v>467004.491572258</v>
      </c>
      <c r="H1407" s="1" t="s">
        <v>395</v>
      </c>
    </row>
    <row r="1408" customFormat="false" ht="14.25" hidden="false" customHeight="true" outlineLevel="0" collapsed="false">
      <c r="A1408" s="1" t="s">
        <v>626</v>
      </c>
      <c r="B1408" s="1" t="s">
        <v>43</v>
      </c>
      <c r="C1408" s="1" t="s">
        <v>43</v>
      </c>
      <c r="D1408" s="1" t="s">
        <v>276</v>
      </c>
      <c r="E1408" s="1" t="n">
        <v>146740</v>
      </c>
      <c r="F1408" s="1" t="n">
        <v>0.138633956355371</v>
      </c>
      <c r="G1408" s="1" t="n">
        <v>20343.1467555871</v>
      </c>
      <c r="H1408" s="1" t="s">
        <v>395</v>
      </c>
    </row>
    <row r="1409" customFormat="false" ht="14.25" hidden="false" customHeight="true" outlineLevel="0" collapsed="false">
      <c r="A1409" s="1" t="s">
        <v>626</v>
      </c>
      <c r="B1409" s="1" t="s">
        <v>81</v>
      </c>
      <c r="C1409" s="1" t="s">
        <v>81</v>
      </c>
      <c r="D1409" s="1" t="s">
        <v>276</v>
      </c>
      <c r="E1409" s="1" t="n">
        <v>146740</v>
      </c>
      <c r="F1409" s="1" t="n">
        <v>0.071167700671494</v>
      </c>
      <c r="G1409" s="1" t="n">
        <v>10443.148396535</v>
      </c>
      <c r="H1409" s="1" t="s">
        <v>395</v>
      </c>
    </row>
    <row r="1410" customFormat="false" ht="14.25" hidden="false" customHeight="true" outlineLevel="0" collapsed="false">
      <c r="A1410" s="1" t="s">
        <v>626</v>
      </c>
      <c r="B1410" s="1" t="s">
        <v>36</v>
      </c>
      <c r="C1410" s="1" t="s">
        <v>36</v>
      </c>
      <c r="D1410" s="1" t="s">
        <v>276</v>
      </c>
      <c r="E1410" s="1" t="n">
        <v>146740</v>
      </c>
      <c r="F1410" s="1" t="n">
        <v>0.373762045947462</v>
      </c>
      <c r="G1410" s="1" t="n">
        <v>54845.8426223306</v>
      </c>
      <c r="H1410" s="1" t="s">
        <v>395</v>
      </c>
    </row>
    <row r="1411" customFormat="false" ht="14.25" hidden="false" customHeight="true" outlineLevel="0" collapsed="false">
      <c r="A1411" s="1" t="s">
        <v>626</v>
      </c>
      <c r="B1411" s="1" t="s">
        <v>83</v>
      </c>
      <c r="C1411" s="1" t="s">
        <v>83</v>
      </c>
      <c r="D1411" s="1" t="s">
        <v>276</v>
      </c>
      <c r="E1411" s="1" t="n">
        <v>146740</v>
      </c>
      <c r="F1411" s="1" t="n">
        <v>0.0793753070856763</v>
      </c>
      <c r="G1411" s="1" t="n">
        <v>11647.5325617521</v>
      </c>
      <c r="H1411" s="1" t="s">
        <v>395</v>
      </c>
    </row>
    <row r="1412" customFormat="false" ht="14.25" hidden="false" customHeight="true" outlineLevel="0" collapsed="false">
      <c r="A1412" s="1" t="s">
        <v>626</v>
      </c>
      <c r="B1412" s="1" t="s">
        <v>653</v>
      </c>
      <c r="C1412" s="1" t="s">
        <v>653</v>
      </c>
      <c r="D1412" s="1" t="s">
        <v>276</v>
      </c>
      <c r="E1412" s="1" t="n">
        <v>146740</v>
      </c>
      <c r="F1412" s="1" t="n">
        <v>0.713317605064246</v>
      </c>
      <c r="G1412" s="1" t="n">
        <v>104672.225367128</v>
      </c>
      <c r="H1412" s="1" t="s">
        <v>395</v>
      </c>
    </row>
    <row r="1413" customFormat="false" ht="14.25" hidden="false" customHeight="true" outlineLevel="0" collapsed="false">
      <c r="A1413" s="1" t="s">
        <v>626</v>
      </c>
      <c r="B1413" s="1" t="s">
        <v>31</v>
      </c>
      <c r="C1413" s="1" t="s">
        <v>31</v>
      </c>
      <c r="D1413" s="1" t="s">
        <v>276</v>
      </c>
      <c r="E1413" s="1" t="n">
        <v>146740</v>
      </c>
      <c r="F1413" s="1" t="n">
        <v>0.371854</v>
      </c>
      <c r="G1413" s="1" t="n">
        <v>54565.85596</v>
      </c>
      <c r="H1413" s="1" t="s">
        <v>395</v>
      </c>
    </row>
    <row r="1414" customFormat="false" ht="14.25" hidden="false" customHeight="true" outlineLevel="0" collapsed="false">
      <c r="A1414" s="1" t="s">
        <v>589</v>
      </c>
      <c r="B1414" s="1" t="s">
        <v>80</v>
      </c>
      <c r="C1414" s="1" t="s">
        <v>80</v>
      </c>
      <c r="D1414" s="1" t="s">
        <v>276</v>
      </c>
      <c r="E1414" s="1" t="n">
        <v>137756</v>
      </c>
      <c r="F1414" s="1" t="n">
        <v>0.154543612417484</v>
      </c>
      <c r="G1414" s="1" t="n">
        <v>21289.3098721829</v>
      </c>
      <c r="H1414" s="1" t="s">
        <v>395</v>
      </c>
    </row>
    <row r="1415" customFormat="false" ht="14.25" hidden="false" customHeight="true" outlineLevel="0" collapsed="false">
      <c r="A1415" s="1" t="s">
        <v>599</v>
      </c>
      <c r="B1415" s="1" t="s">
        <v>80</v>
      </c>
      <c r="C1415" s="1" t="s">
        <v>80</v>
      </c>
      <c r="D1415" s="1" t="s">
        <v>276</v>
      </c>
      <c r="E1415" s="1" t="n">
        <v>140857</v>
      </c>
      <c r="F1415" s="1" t="n">
        <v>0.150676625241861</v>
      </c>
      <c r="G1415" s="1" t="n">
        <v>21223.8574016928</v>
      </c>
      <c r="H1415" s="1" t="s">
        <v>395</v>
      </c>
    </row>
    <row r="1416" customFormat="false" ht="14.25" hidden="false" customHeight="true" outlineLevel="0" collapsed="false">
      <c r="A1416" s="1" t="s">
        <v>626</v>
      </c>
      <c r="B1416" s="1" t="s">
        <v>80</v>
      </c>
      <c r="C1416" s="1" t="s">
        <v>80</v>
      </c>
      <c r="D1416" s="1" t="s">
        <v>276</v>
      </c>
      <c r="E1416" s="1" t="n">
        <v>146740</v>
      </c>
      <c r="F1416" s="1" t="n">
        <v>0.145289779573281</v>
      </c>
      <c r="G1416" s="1" t="n">
        <v>21319.8222545833</v>
      </c>
      <c r="H1416" s="1" t="s">
        <v>395</v>
      </c>
    </row>
    <row r="1417" customFormat="false" ht="14.25" hidden="false" customHeight="true" outlineLevel="0" collapsed="false">
      <c r="A1417" s="1" t="s">
        <v>589</v>
      </c>
      <c r="B1417" s="1" t="s">
        <v>42</v>
      </c>
      <c r="C1417" s="1" t="s">
        <v>42</v>
      </c>
      <c r="D1417" s="1" t="s">
        <v>276</v>
      </c>
      <c r="E1417" s="1" t="n">
        <v>137756</v>
      </c>
      <c r="F1417" s="1" t="n">
        <v>0.145293801710045</v>
      </c>
      <c r="G1417" s="1" t="n">
        <v>20015.092948369</v>
      </c>
      <c r="H1417" s="1" t="s">
        <v>395</v>
      </c>
    </row>
    <row r="1418" customFormat="false" ht="14.25" hidden="false" customHeight="true" outlineLevel="0" collapsed="false">
      <c r="A1418" s="1" t="s">
        <v>599</v>
      </c>
      <c r="B1418" s="1" t="s">
        <v>42</v>
      </c>
      <c r="C1418" s="1" t="s">
        <v>42</v>
      </c>
      <c r="D1418" s="1" t="s">
        <v>276</v>
      </c>
      <c r="E1418" s="1" t="n">
        <v>140857</v>
      </c>
      <c r="F1418" s="1" t="n">
        <v>0.146782423739836</v>
      </c>
      <c r="G1418" s="1" t="n">
        <v>20675.3318607221</v>
      </c>
      <c r="H1418" s="1" t="s">
        <v>395</v>
      </c>
    </row>
    <row r="1419" customFormat="false" ht="14.25" hidden="false" customHeight="true" outlineLevel="0" collapsed="false">
      <c r="A1419" s="1" t="s">
        <v>626</v>
      </c>
      <c r="B1419" s="1" t="s">
        <v>42</v>
      </c>
      <c r="C1419" s="1" t="s">
        <v>42</v>
      </c>
      <c r="D1419" s="1" t="s">
        <v>276</v>
      </c>
      <c r="E1419" s="1" t="n">
        <v>146740</v>
      </c>
      <c r="F1419" s="1" t="n">
        <v>0.136978220673766</v>
      </c>
      <c r="G1419" s="1" t="n">
        <v>20100.1841016684</v>
      </c>
      <c r="H1419" s="1" t="s">
        <v>395</v>
      </c>
    </row>
    <row r="1420" customFormat="false" ht="14.25" hidden="false" customHeight="true" outlineLevel="0" collapsed="false">
      <c r="A1420" s="1" t="s">
        <v>589</v>
      </c>
      <c r="B1420" s="1" t="s">
        <v>34</v>
      </c>
      <c r="C1420" s="1" t="s">
        <v>34</v>
      </c>
      <c r="D1420" s="1" t="s">
        <v>276</v>
      </c>
      <c r="E1420" s="1" t="n">
        <v>137756</v>
      </c>
      <c r="F1420" s="1" t="n">
        <v>0.23174321635211</v>
      </c>
      <c r="G1420" s="1" t="n">
        <v>31924.0185118013</v>
      </c>
      <c r="H1420" s="1" t="s">
        <v>395</v>
      </c>
    </row>
    <row r="1421" customFormat="false" ht="14.25" hidden="false" customHeight="true" outlineLevel="0" collapsed="false">
      <c r="A1421" s="1" t="s">
        <v>599</v>
      </c>
      <c r="B1421" s="1" t="s">
        <v>34</v>
      </c>
      <c r="C1421" s="1" t="s">
        <v>34</v>
      </c>
      <c r="D1421" s="1" t="s">
        <v>276</v>
      </c>
      <c r="E1421" s="1" t="n">
        <v>140857</v>
      </c>
      <c r="F1421" s="1" t="n">
        <v>0.251543736341568</v>
      </c>
      <c r="G1421" s="1" t="n">
        <v>35431.6960698642</v>
      </c>
      <c r="H1421" s="1" t="s">
        <v>395</v>
      </c>
    </row>
    <row r="1422" customFormat="false" ht="14.25" hidden="false" customHeight="true" outlineLevel="0" collapsed="false">
      <c r="A1422" s="1" t="s">
        <v>626</v>
      </c>
      <c r="B1422" s="1" t="s">
        <v>34</v>
      </c>
      <c r="C1422" s="1" t="s">
        <v>34</v>
      </c>
      <c r="D1422" s="1" t="s">
        <v>276</v>
      </c>
      <c r="E1422" s="1" t="n">
        <v>146740</v>
      </c>
      <c r="F1422" s="1" t="n">
        <v>0.229782928031525</v>
      </c>
      <c r="G1422" s="1" t="n">
        <v>33718.346859346</v>
      </c>
      <c r="H1422" s="1" t="s">
        <v>395</v>
      </c>
    </row>
    <row r="1423" customFormat="false" ht="14.25" hidden="false" customHeight="true" outlineLevel="0" collapsed="false">
      <c r="A1423" s="1" t="s">
        <v>589</v>
      </c>
      <c r="B1423" s="1" t="s">
        <v>35</v>
      </c>
      <c r="C1423" s="1" t="s">
        <v>35</v>
      </c>
      <c r="D1423" s="1" t="s">
        <v>276</v>
      </c>
      <c r="E1423" s="1" t="n">
        <v>137756</v>
      </c>
      <c r="F1423" s="1" t="n">
        <v>0.0855440852571775</v>
      </c>
      <c r="G1423" s="1" t="n">
        <v>11784.2110086877</v>
      </c>
      <c r="H1423" s="1" t="s">
        <v>395</v>
      </c>
    </row>
    <row r="1424" customFormat="false" ht="14.25" hidden="false" customHeight="true" outlineLevel="0" collapsed="false">
      <c r="A1424" s="1" t="s">
        <v>599</v>
      </c>
      <c r="B1424" s="1" t="s">
        <v>35</v>
      </c>
      <c r="C1424" s="1" t="s">
        <v>35</v>
      </c>
      <c r="D1424" s="1" t="s">
        <v>276</v>
      </c>
      <c r="E1424" s="1" t="n">
        <v>140857</v>
      </c>
      <c r="F1424" s="1" t="n">
        <v>0.0861250796795369</v>
      </c>
      <c r="G1424" s="1" t="n">
        <v>12131.3203484205</v>
      </c>
      <c r="H1424" s="1" t="s">
        <v>395</v>
      </c>
    </row>
    <row r="1425" customFormat="false" ht="14.25" hidden="false" customHeight="true" outlineLevel="0" collapsed="false">
      <c r="A1425" s="1" t="s">
        <v>626</v>
      </c>
      <c r="B1425" s="1" t="s">
        <v>35</v>
      </c>
      <c r="C1425" s="1" t="s">
        <v>35</v>
      </c>
      <c r="D1425" s="1" t="s">
        <v>276</v>
      </c>
      <c r="E1425" s="1" t="n">
        <v>146740</v>
      </c>
      <c r="F1425" s="1" t="n">
        <v>0.055610036180276</v>
      </c>
      <c r="G1425" s="1" t="n">
        <v>8160.2167090937</v>
      </c>
      <c r="H1425" s="1" t="s">
        <v>395</v>
      </c>
    </row>
    <row r="1426" customFormat="false" ht="14.25" hidden="false" customHeight="true" outlineLevel="0" collapsed="false">
      <c r="A1426" s="1" t="s">
        <v>589</v>
      </c>
      <c r="B1426" s="1" t="s">
        <v>40</v>
      </c>
      <c r="C1426" s="1" t="s">
        <v>40</v>
      </c>
      <c r="D1426" s="1" t="s">
        <v>276</v>
      </c>
      <c r="E1426" s="1" t="n">
        <v>137756</v>
      </c>
      <c r="F1426" s="1" t="n">
        <v>0.142966123730576</v>
      </c>
      <c r="G1426" s="1" t="n">
        <v>19694.4413406292</v>
      </c>
      <c r="H1426" s="1" t="s">
        <v>395</v>
      </c>
    </row>
    <row r="1427" customFormat="false" ht="14.25" hidden="false" customHeight="true" outlineLevel="0" collapsed="false">
      <c r="A1427" s="1" t="s">
        <v>599</v>
      </c>
      <c r="B1427" s="1" t="s">
        <v>40</v>
      </c>
      <c r="C1427" s="1" t="s">
        <v>40</v>
      </c>
      <c r="D1427" s="1" t="s">
        <v>276</v>
      </c>
      <c r="E1427" s="1" t="n">
        <v>140857</v>
      </c>
      <c r="F1427" s="1" t="n">
        <v>0.193641774947009</v>
      </c>
      <c r="G1427" s="1" t="n">
        <v>27275.7994937108</v>
      </c>
      <c r="H1427" s="1" t="s">
        <v>395</v>
      </c>
    </row>
    <row r="1428" customFormat="false" ht="14.25" hidden="false" customHeight="true" outlineLevel="0" collapsed="false">
      <c r="A1428" s="1" t="s">
        <v>626</v>
      </c>
      <c r="B1428" s="1" t="s">
        <v>40</v>
      </c>
      <c r="C1428" s="1" t="s">
        <v>40</v>
      </c>
      <c r="D1428" s="1" t="s">
        <v>276</v>
      </c>
      <c r="E1428" s="1" t="n">
        <v>146740</v>
      </c>
      <c r="F1428" s="1" t="n">
        <v>0.182358458491943</v>
      </c>
      <c r="G1428" s="1" t="n">
        <v>26759.2801991077</v>
      </c>
      <c r="H1428" s="1" t="s">
        <v>395</v>
      </c>
    </row>
    <row r="1429" customFormat="false" ht="14.25" hidden="false" customHeight="true" outlineLevel="0" collapsed="false">
      <c r="A1429" s="1" t="s">
        <v>589</v>
      </c>
      <c r="B1429" s="1" t="s">
        <v>87</v>
      </c>
      <c r="C1429" s="1" t="s">
        <v>645</v>
      </c>
      <c r="D1429" s="1" t="s">
        <v>276</v>
      </c>
      <c r="E1429" s="1" t="n">
        <v>137756</v>
      </c>
      <c r="F1429" s="1" t="n">
        <v>0.148830177998923</v>
      </c>
      <c r="G1429" s="1" t="n">
        <v>20502.2500004196</v>
      </c>
      <c r="H1429" s="1" t="s">
        <v>395</v>
      </c>
    </row>
    <row r="1430" customFormat="false" ht="14.25" hidden="false" customHeight="true" outlineLevel="0" collapsed="false">
      <c r="A1430" s="1" t="s">
        <v>599</v>
      </c>
      <c r="B1430" s="1" t="s">
        <v>87</v>
      </c>
      <c r="C1430" s="1" t="s">
        <v>645</v>
      </c>
      <c r="D1430" s="1" t="s">
        <v>276</v>
      </c>
      <c r="E1430" s="1" t="n">
        <v>140857</v>
      </c>
      <c r="F1430" s="1" t="n">
        <v>0.165505113968682</v>
      </c>
      <c r="G1430" s="1" t="n">
        <v>23312.5538382866</v>
      </c>
      <c r="H1430" s="1" t="s">
        <v>395</v>
      </c>
    </row>
    <row r="1431" customFormat="false" ht="14.25" hidden="false" customHeight="true" outlineLevel="0" collapsed="false">
      <c r="A1431" s="1" t="s">
        <v>626</v>
      </c>
      <c r="B1431" s="1" t="s">
        <v>87</v>
      </c>
      <c r="C1431" s="1" t="s">
        <v>645</v>
      </c>
      <c r="D1431" s="1" t="s">
        <v>276</v>
      </c>
      <c r="E1431" s="1" t="n">
        <v>146740</v>
      </c>
      <c r="F1431" s="1" t="n">
        <v>0.170974700825347</v>
      </c>
      <c r="G1431" s="1" t="n">
        <v>25088.8275991114</v>
      </c>
      <c r="H1431" s="1" t="s">
        <v>395</v>
      </c>
    </row>
    <row r="1432" customFormat="false" ht="14.25" hidden="false" customHeight="true" outlineLevel="0" collapsed="false">
      <c r="A1432" s="1" t="s">
        <v>589</v>
      </c>
      <c r="B1432" s="1" t="s">
        <v>85</v>
      </c>
      <c r="C1432" s="1" t="s">
        <v>646</v>
      </c>
      <c r="D1432" s="1" t="s">
        <v>276</v>
      </c>
      <c r="E1432" s="1" t="n">
        <v>137756</v>
      </c>
      <c r="F1432" s="1" t="n">
        <v>0.319464004034977</v>
      </c>
      <c r="G1432" s="1" t="n">
        <v>44008.0833398423</v>
      </c>
      <c r="H1432" s="1" t="s">
        <v>395</v>
      </c>
    </row>
    <row r="1433" customFormat="false" ht="14.25" hidden="false" customHeight="true" outlineLevel="0" collapsed="false">
      <c r="A1433" s="1" t="s">
        <v>599</v>
      </c>
      <c r="B1433" s="1" t="s">
        <v>85</v>
      </c>
      <c r="C1433" s="1" t="s">
        <v>646</v>
      </c>
      <c r="D1433" s="1" t="s">
        <v>276</v>
      </c>
      <c r="E1433" s="1" t="n">
        <v>140857</v>
      </c>
      <c r="F1433" s="1" t="n">
        <v>0.293099708996474</v>
      </c>
      <c r="G1433" s="1" t="n">
        <v>41285.1457101163</v>
      </c>
      <c r="H1433" s="1" t="s">
        <v>395</v>
      </c>
    </row>
    <row r="1434" customFormat="false" ht="14.25" hidden="false" customHeight="true" outlineLevel="0" collapsed="false">
      <c r="A1434" s="1" t="s">
        <v>626</v>
      </c>
      <c r="B1434" s="1" t="s">
        <v>85</v>
      </c>
      <c r="C1434" s="1" t="s">
        <v>646</v>
      </c>
      <c r="D1434" s="1" t="s">
        <v>276</v>
      </c>
      <c r="E1434" s="1" t="n">
        <v>146740</v>
      </c>
      <c r="F1434" s="1" t="n">
        <v>0.299382438917867</v>
      </c>
      <c r="G1434" s="1" t="n">
        <v>43931.3790868078</v>
      </c>
      <c r="H1434" s="1" t="s">
        <v>395</v>
      </c>
    </row>
    <row r="1435" customFormat="false" ht="14.25" hidden="false" customHeight="true" outlineLevel="0" collapsed="false">
      <c r="A1435" s="1" t="s">
        <v>589</v>
      </c>
      <c r="B1435" s="1" t="s">
        <v>50</v>
      </c>
      <c r="C1435" s="1" t="s">
        <v>50</v>
      </c>
      <c r="D1435" s="1" t="s">
        <v>276</v>
      </c>
      <c r="E1435" s="1" t="n">
        <v>137756</v>
      </c>
      <c r="F1435" s="1" t="n">
        <v>0.305046267385157</v>
      </c>
      <c r="G1435" s="1" t="n">
        <v>42021.9536099097</v>
      </c>
      <c r="H1435" s="1" t="s">
        <v>395</v>
      </c>
    </row>
    <row r="1436" customFormat="false" ht="14.25" hidden="false" customHeight="true" outlineLevel="0" collapsed="false">
      <c r="A1436" s="1" t="s">
        <v>599</v>
      </c>
      <c r="B1436" s="1" t="s">
        <v>50</v>
      </c>
      <c r="C1436" s="1" t="s">
        <v>50</v>
      </c>
      <c r="D1436" s="1" t="s">
        <v>276</v>
      </c>
      <c r="E1436" s="1" t="n">
        <v>140857</v>
      </c>
      <c r="F1436" s="1" t="n">
        <v>0.340289469983525</v>
      </c>
      <c r="G1436" s="1" t="n">
        <v>47932.1538734694</v>
      </c>
      <c r="H1436" s="1" t="s">
        <v>395</v>
      </c>
    </row>
    <row r="1437" customFormat="false" ht="14.25" hidden="false" customHeight="true" outlineLevel="0" collapsed="false">
      <c r="A1437" s="1" t="s">
        <v>626</v>
      </c>
      <c r="B1437" s="1" t="s">
        <v>50</v>
      </c>
      <c r="C1437" s="1" t="s">
        <v>50</v>
      </c>
      <c r="D1437" s="1" t="s">
        <v>276</v>
      </c>
      <c r="E1437" s="1" t="n">
        <v>146740</v>
      </c>
      <c r="F1437" s="1" t="n">
        <v>0.581586901648213</v>
      </c>
      <c r="G1437" s="1" t="n">
        <v>85342.0619478588</v>
      </c>
      <c r="H1437" s="1" t="s">
        <v>395</v>
      </c>
    </row>
    <row r="1438" customFormat="false" ht="14.25" hidden="false" customHeight="true" outlineLevel="0" collapsed="false">
      <c r="A1438" s="1" t="s">
        <v>589</v>
      </c>
      <c r="B1438" s="1" t="s">
        <v>45</v>
      </c>
      <c r="C1438" s="1" t="s">
        <v>654</v>
      </c>
      <c r="D1438" s="1" t="s">
        <v>276</v>
      </c>
      <c r="E1438" s="1" t="n">
        <v>137756</v>
      </c>
      <c r="F1438" s="1" t="n">
        <v>0.378228421498273</v>
      </c>
      <c r="G1438" s="1" t="n">
        <v>52103.2344319161</v>
      </c>
      <c r="H1438" s="1" t="s">
        <v>655</v>
      </c>
    </row>
    <row r="1439" customFormat="false" ht="14.25" hidden="false" customHeight="true" outlineLevel="0" collapsed="false">
      <c r="A1439" s="1" t="s">
        <v>599</v>
      </c>
      <c r="B1439" s="1" t="s">
        <v>45</v>
      </c>
      <c r="C1439" s="1" t="s">
        <v>654</v>
      </c>
      <c r="D1439" s="1" t="s">
        <v>276</v>
      </c>
      <c r="E1439" s="1" t="n">
        <v>140857</v>
      </c>
      <c r="F1439" s="1" t="n">
        <v>0.377040492601736</v>
      </c>
      <c r="G1439" s="1" t="n">
        <v>53108.7926664027</v>
      </c>
      <c r="H1439" s="1" t="s">
        <v>655</v>
      </c>
    </row>
    <row r="1440" customFormat="false" ht="14.25" hidden="false" customHeight="true" outlineLevel="0" collapsed="false">
      <c r="A1440" s="1" t="s">
        <v>626</v>
      </c>
      <c r="B1440" s="1" t="s">
        <v>45</v>
      </c>
      <c r="C1440" s="1" t="s">
        <v>654</v>
      </c>
      <c r="D1440" s="1" t="s">
        <v>276</v>
      </c>
      <c r="E1440" s="1" t="n">
        <v>146740</v>
      </c>
      <c r="F1440" s="1" t="n">
        <v>0.444492255237207</v>
      </c>
      <c r="G1440" s="1" t="n">
        <v>65224.7935335077</v>
      </c>
      <c r="H1440" s="1" t="s">
        <v>655</v>
      </c>
    </row>
    <row r="1441" customFormat="false" ht="14.25" hidden="false" customHeight="true" outlineLevel="0" collapsed="false">
      <c r="A1441" s="1" t="s">
        <v>589</v>
      </c>
      <c r="B1441" s="1" t="s">
        <v>41</v>
      </c>
      <c r="C1441" s="1" t="s">
        <v>41</v>
      </c>
      <c r="D1441" s="1" t="s">
        <v>276</v>
      </c>
      <c r="E1441" s="1" t="n">
        <v>137756</v>
      </c>
      <c r="F1441" s="1" t="n">
        <v>0.0950854396452147</v>
      </c>
      <c r="G1441" s="1" t="n">
        <v>13098.5898237662</v>
      </c>
      <c r="H1441" s="1" t="s">
        <v>395</v>
      </c>
    </row>
    <row r="1442" customFormat="false" ht="14.25" hidden="false" customHeight="true" outlineLevel="0" collapsed="false">
      <c r="A1442" s="1" t="s">
        <v>599</v>
      </c>
      <c r="B1442" s="1" t="s">
        <v>41</v>
      </c>
      <c r="C1442" s="1" t="s">
        <v>41</v>
      </c>
      <c r="D1442" s="1" t="s">
        <v>276</v>
      </c>
      <c r="E1442" s="1" t="n">
        <v>140857</v>
      </c>
      <c r="F1442" s="1" t="n">
        <v>0.0926479707456773</v>
      </c>
      <c r="G1442" s="1" t="n">
        <v>13050.1152153239</v>
      </c>
      <c r="H1442" s="1" t="s">
        <v>395</v>
      </c>
    </row>
    <row r="1443" customFormat="false" ht="14.25" hidden="false" customHeight="true" outlineLevel="0" collapsed="false">
      <c r="A1443" s="1" t="s">
        <v>626</v>
      </c>
      <c r="B1443" s="1" t="s">
        <v>41</v>
      </c>
      <c r="C1443" s="1" t="s">
        <v>41</v>
      </c>
      <c r="D1443" s="1" t="s">
        <v>276</v>
      </c>
      <c r="E1443" s="1" t="n">
        <v>146740</v>
      </c>
      <c r="F1443" s="1" t="n">
        <v>0.0997407208857964</v>
      </c>
      <c r="G1443" s="1" t="n">
        <v>14635.9533827818</v>
      </c>
      <c r="H1443" s="1" t="s">
        <v>395</v>
      </c>
    </row>
    <row r="1444" customFormat="false" ht="14.25" hidden="false" customHeight="true" outlineLevel="0" collapsed="false">
      <c r="A1444" s="1" t="s">
        <v>651</v>
      </c>
      <c r="B1444" s="1" t="s">
        <v>43</v>
      </c>
      <c r="C1444" s="1" t="s">
        <v>43</v>
      </c>
      <c r="D1444" s="1" t="s">
        <v>276</v>
      </c>
      <c r="E1444" s="1" t="n">
        <v>142395</v>
      </c>
      <c r="F1444" s="1" t="n">
        <v>0.128580108535781</v>
      </c>
      <c r="G1444" s="1" t="n">
        <v>18309.1645549525</v>
      </c>
      <c r="H1444" s="1" t="s">
        <v>395</v>
      </c>
    </row>
    <row r="1445" customFormat="false" ht="14.25" hidden="false" customHeight="true" outlineLevel="0" collapsed="false">
      <c r="A1445" s="1" t="s">
        <v>651</v>
      </c>
      <c r="B1445" s="1" t="s">
        <v>31</v>
      </c>
      <c r="C1445" s="1" t="s">
        <v>31</v>
      </c>
      <c r="D1445" s="1" t="s">
        <v>276</v>
      </c>
      <c r="E1445" s="1" t="n">
        <v>142395</v>
      </c>
      <c r="F1445" s="1" t="n">
        <v>0.217040117664959</v>
      </c>
      <c r="G1445" s="1" t="n">
        <v>30905.4275549018</v>
      </c>
      <c r="H1445" s="1" t="s">
        <v>395</v>
      </c>
    </row>
    <row r="1446" customFormat="false" ht="14.25" hidden="false" customHeight="true" outlineLevel="0" collapsed="false">
      <c r="A1446" s="1" t="s">
        <v>651</v>
      </c>
      <c r="B1446" s="1" t="s">
        <v>396</v>
      </c>
      <c r="C1446" s="1" t="s">
        <v>86</v>
      </c>
      <c r="D1446" s="1" t="s">
        <v>276</v>
      </c>
      <c r="E1446" s="1" t="n">
        <v>142395</v>
      </c>
      <c r="F1446" s="1" t="n">
        <v>0.221064512856926</v>
      </c>
      <c r="G1446" s="1" t="n">
        <v>31478.481308262</v>
      </c>
      <c r="H1446" s="1" t="s">
        <v>395</v>
      </c>
    </row>
    <row r="1447" customFormat="false" ht="14.25" hidden="false" customHeight="true" outlineLevel="0" collapsed="false">
      <c r="A1447" s="1" t="s">
        <v>651</v>
      </c>
      <c r="B1447" s="1" t="s">
        <v>81</v>
      </c>
      <c r="C1447" s="1" t="s">
        <v>81</v>
      </c>
      <c r="D1447" s="1" t="s">
        <v>276</v>
      </c>
      <c r="E1447" s="1" t="n">
        <v>142395</v>
      </c>
      <c r="F1447" s="1" t="n">
        <v>0.0738670690267282</v>
      </c>
      <c r="G1447" s="1" t="n">
        <v>10518.301294061</v>
      </c>
      <c r="H1447" s="1" t="s">
        <v>395</v>
      </c>
    </row>
    <row r="1448" customFormat="false" ht="14.25" hidden="false" customHeight="true" outlineLevel="0" collapsed="false">
      <c r="A1448" s="1" t="s">
        <v>651</v>
      </c>
      <c r="B1448" s="1" t="s">
        <v>85</v>
      </c>
      <c r="C1448" s="1" t="s">
        <v>646</v>
      </c>
      <c r="D1448" s="1" t="s">
        <v>276</v>
      </c>
      <c r="E1448" s="1" t="n">
        <v>142395</v>
      </c>
      <c r="F1448" s="1" t="n">
        <v>0.327862047978901</v>
      </c>
      <c r="G1448" s="1" t="n">
        <v>46685.9163219556</v>
      </c>
      <c r="H1448" s="1" t="s">
        <v>395</v>
      </c>
    </row>
    <row r="1449" customFormat="false" ht="14.25" hidden="false" customHeight="true" outlineLevel="0" collapsed="false">
      <c r="A1449" s="1" t="s">
        <v>651</v>
      </c>
      <c r="B1449" s="1" t="s">
        <v>87</v>
      </c>
      <c r="C1449" s="1" t="s">
        <v>645</v>
      </c>
      <c r="D1449" s="1" t="s">
        <v>276</v>
      </c>
      <c r="E1449" s="1" t="n">
        <v>142395</v>
      </c>
      <c r="F1449" s="1" t="n">
        <v>0.181988487092357</v>
      </c>
      <c r="G1449" s="1" t="n">
        <v>25914.2506195162</v>
      </c>
      <c r="H1449" s="1" t="s">
        <v>395</v>
      </c>
    </row>
    <row r="1450" customFormat="false" ht="14.25" hidden="false" customHeight="true" outlineLevel="0" collapsed="false">
      <c r="A1450" s="1" t="s">
        <v>651</v>
      </c>
      <c r="B1450" s="1" t="s">
        <v>35</v>
      </c>
      <c r="C1450" s="1" t="s">
        <v>35</v>
      </c>
      <c r="D1450" s="1" t="s">
        <v>276</v>
      </c>
      <c r="E1450" s="1" t="n">
        <v>142395</v>
      </c>
      <c r="F1450" s="1" t="n">
        <v>0.116105036263123</v>
      </c>
      <c r="G1450" s="1" t="n">
        <v>16532.7766386874</v>
      </c>
      <c r="H1450" s="1" t="s">
        <v>395</v>
      </c>
    </row>
    <row r="1451" customFormat="false" ht="14.25" hidden="false" customHeight="true" outlineLevel="0" collapsed="false">
      <c r="A1451" s="1" t="s">
        <v>651</v>
      </c>
      <c r="B1451" s="1" t="s">
        <v>143</v>
      </c>
      <c r="C1451" s="1" t="s">
        <v>472</v>
      </c>
      <c r="D1451" s="1" t="s">
        <v>276</v>
      </c>
      <c r="E1451" s="1" t="n">
        <v>142395</v>
      </c>
      <c r="F1451" s="1" t="n">
        <v>0.237713191662018</v>
      </c>
      <c r="G1451" s="1" t="n">
        <v>33849.1699267131</v>
      </c>
      <c r="H1451" s="1" t="s">
        <v>395</v>
      </c>
    </row>
    <row r="1452" customFormat="false" ht="14.25" hidden="false" customHeight="true" outlineLevel="0" collapsed="false">
      <c r="A1452" s="1" t="s">
        <v>651</v>
      </c>
      <c r="B1452" s="1" t="s">
        <v>40</v>
      </c>
      <c r="C1452" s="1" t="s">
        <v>40</v>
      </c>
      <c r="D1452" s="1" t="s">
        <v>276</v>
      </c>
      <c r="E1452" s="1" t="n">
        <v>142395</v>
      </c>
      <c r="F1452" s="1" t="n">
        <v>0.200781102601816</v>
      </c>
      <c r="G1452" s="1" t="n">
        <v>28590.2251049856</v>
      </c>
      <c r="H1452" s="1" t="s">
        <v>395</v>
      </c>
    </row>
    <row r="1453" customFormat="false" ht="14.25" hidden="false" customHeight="true" outlineLevel="0" collapsed="false">
      <c r="A1453" s="1" t="s">
        <v>651</v>
      </c>
      <c r="B1453" s="1" t="s">
        <v>41</v>
      </c>
      <c r="C1453" s="1" t="s">
        <v>41</v>
      </c>
      <c r="D1453" s="1" t="s">
        <v>276</v>
      </c>
      <c r="E1453" s="1" t="n">
        <v>142395</v>
      </c>
      <c r="F1453" s="1" t="n">
        <v>0.0915833037480347</v>
      </c>
      <c r="G1453" s="1" t="n">
        <v>13041.0045372014</v>
      </c>
      <c r="H1453" s="1" t="s">
        <v>395</v>
      </c>
    </row>
    <row r="1454" customFormat="false" ht="14.25" hidden="false" customHeight="true" outlineLevel="0" collapsed="false">
      <c r="A1454" s="1" t="s">
        <v>651</v>
      </c>
      <c r="B1454" s="1" t="s">
        <v>141</v>
      </c>
      <c r="C1454" s="1" t="s">
        <v>473</v>
      </c>
      <c r="D1454" s="1" t="s">
        <v>276</v>
      </c>
      <c r="E1454" s="1" t="n">
        <v>142395</v>
      </c>
      <c r="F1454" s="1" t="n">
        <v>0.124952629710402</v>
      </c>
      <c r="G1454" s="1" t="n">
        <v>17792.6297076127</v>
      </c>
      <c r="H1454" s="1" t="s">
        <v>395</v>
      </c>
    </row>
    <row r="1455" customFormat="false" ht="14.25" hidden="false" customHeight="true" outlineLevel="0" collapsed="false">
      <c r="A1455" s="1" t="s">
        <v>651</v>
      </c>
      <c r="B1455" s="1" t="s">
        <v>80</v>
      </c>
      <c r="C1455" s="1" t="s">
        <v>80</v>
      </c>
      <c r="D1455" s="1" t="s">
        <v>276</v>
      </c>
      <c r="E1455" s="1" t="n">
        <v>142395</v>
      </c>
      <c r="F1455" s="1" t="n">
        <v>0.0571887711112238</v>
      </c>
      <c r="G1455" s="1" t="n">
        <v>8143.3950623827</v>
      </c>
      <c r="H1455" s="1" t="s">
        <v>395</v>
      </c>
    </row>
    <row r="1456" customFormat="false" ht="14.25" hidden="false" customHeight="true" outlineLevel="0" collapsed="false">
      <c r="A1456" s="1" t="s">
        <v>651</v>
      </c>
      <c r="B1456" s="1" t="s">
        <v>42</v>
      </c>
      <c r="C1456" s="1" t="s">
        <v>42</v>
      </c>
      <c r="D1456" s="1" t="s">
        <v>276</v>
      </c>
      <c r="E1456" s="1" t="n">
        <v>142395</v>
      </c>
      <c r="F1456" s="1" t="n">
        <v>0.144806613582188</v>
      </c>
      <c r="G1456" s="1" t="n">
        <v>20619.7377410357</v>
      </c>
      <c r="H1456" s="1" t="s">
        <v>395</v>
      </c>
    </row>
    <row r="1457" customFormat="false" ht="14.25" hidden="false" customHeight="true" outlineLevel="0" collapsed="false">
      <c r="A1457" s="1" t="s">
        <v>651</v>
      </c>
      <c r="B1457" s="1" t="s">
        <v>50</v>
      </c>
      <c r="C1457" s="1" t="s">
        <v>50</v>
      </c>
      <c r="D1457" s="1" t="s">
        <v>276</v>
      </c>
      <c r="E1457" s="1" t="n">
        <v>142395</v>
      </c>
      <c r="F1457" s="1" t="n">
        <v>0.498846680529492</v>
      </c>
      <c r="G1457" s="1" t="n">
        <v>71033.273073997</v>
      </c>
      <c r="H1457" s="1" t="s">
        <v>395</v>
      </c>
    </row>
    <row r="1458" customFormat="false" ht="14.25" hidden="false" customHeight="true" outlineLevel="0" collapsed="false">
      <c r="A1458" s="1" t="s">
        <v>651</v>
      </c>
      <c r="B1458" s="1" t="s">
        <v>36</v>
      </c>
      <c r="C1458" s="1" t="s">
        <v>36</v>
      </c>
      <c r="D1458" s="1" t="s">
        <v>276</v>
      </c>
      <c r="E1458" s="1" t="n">
        <v>142395</v>
      </c>
      <c r="F1458" s="1" t="n">
        <v>0.173736673936197</v>
      </c>
      <c r="G1458" s="1" t="n">
        <v>24739.2336851448</v>
      </c>
      <c r="H1458" s="1" t="s">
        <v>395</v>
      </c>
    </row>
    <row r="1459" customFormat="false" ht="14.25" hidden="false" customHeight="true" outlineLevel="0" collapsed="false">
      <c r="A1459" s="1" t="s">
        <v>651</v>
      </c>
      <c r="B1459" s="1" t="s">
        <v>34</v>
      </c>
      <c r="C1459" s="1" t="s">
        <v>34</v>
      </c>
      <c r="D1459" s="1" t="s">
        <v>276</v>
      </c>
      <c r="E1459" s="1" t="n">
        <v>142395</v>
      </c>
      <c r="F1459" s="1" t="n">
        <v>0.322960034488005</v>
      </c>
      <c r="G1459" s="1" t="n">
        <v>45987.8941109195</v>
      </c>
      <c r="H1459" s="1" t="s">
        <v>395</v>
      </c>
    </row>
    <row r="1460" customFormat="false" ht="14.25" hidden="false" customHeight="true" outlineLevel="0" collapsed="false">
      <c r="A1460" s="1" t="s">
        <v>651</v>
      </c>
      <c r="B1460" s="1" t="s">
        <v>83</v>
      </c>
      <c r="C1460" s="1" t="s">
        <v>83</v>
      </c>
      <c r="D1460" s="1" t="s">
        <v>276</v>
      </c>
      <c r="E1460" s="1" t="n">
        <v>142395</v>
      </c>
      <c r="F1460" s="1" t="n">
        <v>0.0794262311710707</v>
      </c>
      <c r="G1460" s="1" t="n">
        <v>11309.8981876046</v>
      </c>
      <c r="H1460" s="1" t="s">
        <v>395</v>
      </c>
    </row>
    <row r="1461" customFormat="false" ht="14.25" hidden="false" customHeight="true" outlineLevel="0" collapsed="false">
      <c r="A1461" s="1" t="s">
        <v>651</v>
      </c>
      <c r="B1461" s="1" t="s">
        <v>653</v>
      </c>
      <c r="C1461" s="1" t="s">
        <v>653</v>
      </c>
      <c r="D1461" s="1" t="s">
        <v>276</v>
      </c>
      <c r="E1461" s="1" t="n">
        <v>142395</v>
      </c>
      <c r="F1461" s="1" t="n">
        <v>0.539850636506568</v>
      </c>
      <c r="G1461" s="1" t="n">
        <v>76872.0313853527</v>
      </c>
      <c r="H1461" s="1" t="s">
        <v>395</v>
      </c>
    </row>
    <row r="1462" customFormat="false" ht="14.25" hidden="false" customHeight="true" outlineLevel="0" collapsed="false">
      <c r="A1462" s="1" t="s">
        <v>651</v>
      </c>
      <c r="B1462" s="1" t="s">
        <v>45</v>
      </c>
      <c r="C1462" s="1" t="s">
        <v>654</v>
      </c>
      <c r="D1462" s="1" t="s">
        <v>276</v>
      </c>
      <c r="E1462" s="1" t="n">
        <v>142395</v>
      </c>
      <c r="F1462" s="1" t="n">
        <v>0.338743977278491</v>
      </c>
      <c r="G1462" s="1" t="n">
        <v>48235.4486445707</v>
      </c>
      <c r="H1462" s="1" t="s">
        <v>655</v>
      </c>
    </row>
    <row r="1463" customFormat="false" ht="14.25" hidden="false" customHeight="true" outlineLevel="0" collapsed="false">
      <c r="A1463" s="1" t="s">
        <v>651</v>
      </c>
      <c r="B1463" s="1" t="s">
        <v>55</v>
      </c>
      <c r="C1463" s="1" t="s">
        <v>649</v>
      </c>
      <c r="D1463" s="1" t="s">
        <v>288</v>
      </c>
      <c r="E1463" s="1" t="n">
        <v>1</v>
      </c>
      <c r="F1463" s="1" t="n">
        <v>35896.54</v>
      </c>
      <c r="G1463" s="1" t="n">
        <v>35896.54</v>
      </c>
      <c r="H1463" s="1" t="s">
        <v>656</v>
      </c>
    </row>
    <row r="1464" customFormat="false" ht="14.25" hidden="false" customHeight="true" outlineLevel="0" collapsed="false">
      <c r="A1464" s="1" t="s">
        <v>651</v>
      </c>
      <c r="B1464" s="1" t="s">
        <v>55</v>
      </c>
      <c r="C1464" s="1" t="s">
        <v>649</v>
      </c>
      <c r="D1464" s="1" t="s">
        <v>294</v>
      </c>
      <c r="E1464" s="1" t="n">
        <v>1</v>
      </c>
      <c r="F1464" s="1" t="n">
        <v>21063.91</v>
      </c>
      <c r="G1464" s="1" t="n">
        <v>21063.91</v>
      </c>
      <c r="H1464" s="1" t="s">
        <v>656</v>
      </c>
    </row>
    <row r="1465" customFormat="false" ht="14.25" hidden="false" customHeight="true" outlineLevel="0" collapsed="false">
      <c r="A1465" s="1" t="s">
        <v>651</v>
      </c>
      <c r="B1465" s="1" t="s">
        <v>55</v>
      </c>
      <c r="C1465" s="1" t="s">
        <v>649</v>
      </c>
      <c r="D1465" s="1" t="s">
        <v>291</v>
      </c>
      <c r="E1465" s="1" t="n">
        <v>1</v>
      </c>
      <c r="F1465" s="1" t="n">
        <v>39812</v>
      </c>
      <c r="G1465" s="1" t="n">
        <v>39812</v>
      </c>
      <c r="H1465" s="1" t="s">
        <v>656</v>
      </c>
    </row>
    <row r="1466" customFormat="false" ht="14.25" hidden="false" customHeight="true" outlineLevel="0" collapsed="false">
      <c r="A1466" s="1" t="s">
        <v>651</v>
      </c>
      <c r="B1466" s="1" t="s">
        <v>55</v>
      </c>
      <c r="C1466" s="1" t="s">
        <v>649</v>
      </c>
      <c r="D1466" s="1" t="s">
        <v>285</v>
      </c>
      <c r="E1466" s="1" t="n">
        <v>1</v>
      </c>
      <c r="F1466" s="1" t="n">
        <v>86092.65</v>
      </c>
      <c r="G1466" s="1" t="n">
        <v>86092.65</v>
      </c>
      <c r="H1466" s="1" t="s">
        <v>656</v>
      </c>
    </row>
    <row r="1467" customFormat="false" ht="14.25" hidden="false" customHeight="true" outlineLevel="0" collapsed="false">
      <c r="A1467" s="1" t="s">
        <v>651</v>
      </c>
      <c r="B1467" s="1" t="s">
        <v>55</v>
      </c>
      <c r="C1467" s="1" t="s">
        <v>649</v>
      </c>
      <c r="D1467" s="1" t="s">
        <v>286</v>
      </c>
      <c r="E1467" s="1" t="n">
        <v>1</v>
      </c>
      <c r="F1467" s="1" t="n">
        <v>25200.24</v>
      </c>
      <c r="G1467" s="1" t="n">
        <v>25200.24</v>
      </c>
      <c r="H1467" s="1" t="s">
        <v>656</v>
      </c>
    </row>
    <row r="1468" customFormat="false" ht="14.25" hidden="false" customHeight="true" outlineLevel="0" collapsed="false">
      <c r="A1468" s="1" t="s">
        <v>651</v>
      </c>
      <c r="B1468" s="1" t="s">
        <v>55</v>
      </c>
      <c r="C1468" s="1" t="s">
        <v>649</v>
      </c>
      <c r="D1468" s="1" t="s">
        <v>283</v>
      </c>
      <c r="E1468" s="1" t="n">
        <v>1</v>
      </c>
      <c r="F1468" s="1" t="n">
        <v>30881.55</v>
      </c>
      <c r="G1468" s="1" t="n">
        <v>30881.55</v>
      </c>
      <c r="H1468" s="1" t="s">
        <v>656</v>
      </c>
    </row>
    <row r="1469" customFormat="false" ht="14.25" hidden="false" customHeight="true" outlineLevel="0" collapsed="false">
      <c r="A1469" s="1" t="s">
        <v>599</v>
      </c>
      <c r="B1469" s="1" t="s">
        <v>54</v>
      </c>
      <c r="C1469" s="1" t="s">
        <v>54</v>
      </c>
      <c r="D1469" s="1" t="s">
        <v>288</v>
      </c>
      <c r="E1469" s="1" t="n">
        <v>1</v>
      </c>
      <c r="F1469" s="1" t="n">
        <v>997.3260975</v>
      </c>
      <c r="G1469" s="1" t="n">
        <v>997.3260975</v>
      </c>
      <c r="H1469" s="1" t="s">
        <v>657</v>
      </c>
    </row>
    <row r="1470" customFormat="false" ht="14.25" hidden="false" customHeight="true" outlineLevel="0" collapsed="false">
      <c r="A1470" s="1" t="s">
        <v>599</v>
      </c>
      <c r="B1470" s="1" t="s">
        <v>54</v>
      </c>
      <c r="C1470" s="1" t="s">
        <v>54</v>
      </c>
      <c r="D1470" s="1" t="s">
        <v>290</v>
      </c>
      <c r="E1470" s="1" t="n">
        <v>1</v>
      </c>
      <c r="F1470" s="1" t="n">
        <v>997.3260975</v>
      </c>
      <c r="G1470" s="1" t="n">
        <v>997.3260975</v>
      </c>
      <c r="H1470" s="1" t="s">
        <v>657</v>
      </c>
    </row>
    <row r="1471" customFormat="false" ht="14.25" hidden="false" customHeight="true" outlineLevel="0" collapsed="false">
      <c r="A1471" s="1" t="s">
        <v>599</v>
      </c>
      <c r="B1471" s="1" t="s">
        <v>54</v>
      </c>
      <c r="C1471" s="1" t="s">
        <v>54</v>
      </c>
      <c r="D1471" s="1" t="s">
        <v>294</v>
      </c>
      <c r="E1471" s="1" t="n">
        <v>1</v>
      </c>
      <c r="F1471" s="1" t="n">
        <v>997.3260975</v>
      </c>
      <c r="G1471" s="1" t="n">
        <v>997.3260975</v>
      </c>
      <c r="H1471" s="1" t="s">
        <v>657</v>
      </c>
    </row>
    <row r="1472" customFormat="false" ht="14.25" hidden="false" customHeight="true" outlineLevel="0" collapsed="false">
      <c r="A1472" s="1" t="s">
        <v>599</v>
      </c>
      <c r="B1472" s="1" t="s">
        <v>54</v>
      </c>
      <c r="C1472" s="1" t="s">
        <v>54</v>
      </c>
      <c r="D1472" s="1" t="s">
        <v>291</v>
      </c>
      <c r="E1472" s="1" t="n">
        <v>1</v>
      </c>
      <c r="F1472" s="1" t="n">
        <v>997.3260975</v>
      </c>
      <c r="G1472" s="1" t="n">
        <v>997.3260975</v>
      </c>
      <c r="H1472" s="1" t="s">
        <v>657</v>
      </c>
    </row>
    <row r="1473" customFormat="false" ht="14.25" hidden="false" customHeight="true" outlineLevel="0" collapsed="false">
      <c r="A1473" s="1" t="s">
        <v>599</v>
      </c>
      <c r="B1473" s="1" t="s">
        <v>54</v>
      </c>
      <c r="C1473" s="1" t="s">
        <v>54</v>
      </c>
      <c r="D1473" s="1" t="s">
        <v>285</v>
      </c>
      <c r="E1473" s="1" t="n">
        <v>1</v>
      </c>
      <c r="F1473" s="1" t="n">
        <v>997.3260975</v>
      </c>
      <c r="G1473" s="1" t="n">
        <v>997.3260975</v>
      </c>
      <c r="H1473" s="1" t="s">
        <v>657</v>
      </c>
    </row>
    <row r="1474" customFormat="false" ht="14.25" hidden="false" customHeight="true" outlineLevel="0" collapsed="false">
      <c r="A1474" s="1" t="s">
        <v>599</v>
      </c>
      <c r="B1474" s="1" t="s">
        <v>54</v>
      </c>
      <c r="C1474" s="1" t="s">
        <v>54</v>
      </c>
      <c r="D1474" s="1" t="s">
        <v>286</v>
      </c>
      <c r="E1474" s="1" t="n">
        <v>1</v>
      </c>
      <c r="F1474" s="1" t="n">
        <v>997.3260975</v>
      </c>
      <c r="G1474" s="1" t="n">
        <v>997.3260975</v>
      </c>
      <c r="H1474" s="1" t="s">
        <v>657</v>
      </c>
    </row>
    <row r="1475" customFormat="false" ht="14.25" hidden="false" customHeight="true" outlineLevel="0" collapsed="false">
      <c r="A1475" s="1" t="s">
        <v>599</v>
      </c>
      <c r="B1475" s="1" t="s">
        <v>54</v>
      </c>
      <c r="C1475" s="1" t="s">
        <v>54</v>
      </c>
      <c r="D1475" s="1" t="s">
        <v>283</v>
      </c>
      <c r="E1475" s="1" t="n">
        <v>1</v>
      </c>
      <c r="F1475" s="1" t="n">
        <v>997.3260975</v>
      </c>
      <c r="G1475" s="1" t="n">
        <v>997.3260975</v>
      </c>
      <c r="H1475" s="1" t="s">
        <v>657</v>
      </c>
    </row>
    <row r="1476" customFormat="false" ht="14.25" hidden="false" customHeight="true" outlineLevel="0" collapsed="false">
      <c r="A1476" s="1" t="s">
        <v>599</v>
      </c>
      <c r="B1476" s="1" t="s">
        <v>54</v>
      </c>
      <c r="C1476" s="1" t="s">
        <v>54</v>
      </c>
      <c r="D1476" s="1" t="s">
        <v>276</v>
      </c>
      <c r="E1476" s="1" t="n">
        <v>1</v>
      </c>
      <c r="F1476" s="1" t="n">
        <v>997.3260975</v>
      </c>
      <c r="G1476" s="1" t="n">
        <v>997.3260975</v>
      </c>
      <c r="H1476" s="1" t="s">
        <v>657</v>
      </c>
    </row>
    <row r="1477" customFormat="false" ht="14.25" hidden="false" customHeight="true" outlineLevel="0" collapsed="false">
      <c r="A1477" s="1" t="s">
        <v>626</v>
      </c>
      <c r="B1477" s="1" t="s">
        <v>54</v>
      </c>
      <c r="C1477" s="1" t="s">
        <v>54</v>
      </c>
      <c r="D1477" s="1" t="s">
        <v>288</v>
      </c>
      <c r="E1477" s="1" t="n">
        <v>1</v>
      </c>
      <c r="F1477" s="1" t="n">
        <v>1697.94451367568</v>
      </c>
      <c r="G1477" s="1" t="n">
        <v>1697.94451367568</v>
      </c>
      <c r="H1477" s="1" t="s">
        <v>657</v>
      </c>
    </row>
    <row r="1478" customFormat="false" ht="14.25" hidden="false" customHeight="true" outlineLevel="0" collapsed="false">
      <c r="A1478" s="1" t="s">
        <v>626</v>
      </c>
      <c r="B1478" s="1" t="s">
        <v>54</v>
      </c>
      <c r="C1478" s="1" t="s">
        <v>54</v>
      </c>
      <c r="D1478" s="1" t="s">
        <v>290</v>
      </c>
      <c r="E1478" s="1" t="n">
        <v>1</v>
      </c>
      <c r="F1478" s="1" t="n">
        <v>1697.94451367568</v>
      </c>
      <c r="G1478" s="1" t="n">
        <v>1697.94451367568</v>
      </c>
      <c r="H1478" s="1" t="s">
        <v>657</v>
      </c>
    </row>
    <row r="1479" customFormat="false" ht="14.25" hidden="false" customHeight="true" outlineLevel="0" collapsed="false">
      <c r="A1479" s="1" t="s">
        <v>626</v>
      </c>
      <c r="B1479" s="1" t="s">
        <v>54</v>
      </c>
      <c r="C1479" s="1" t="s">
        <v>54</v>
      </c>
      <c r="D1479" s="1" t="s">
        <v>294</v>
      </c>
      <c r="E1479" s="1" t="n">
        <v>1</v>
      </c>
      <c r="F1479" s="1" t="n">
        <v>1697.94451367568</v>
      </c>
      <c r="G1479" s="1" t="n">
        <v>1697.94451367568</v>
      </c>
      <c r="H1479" s="1" t="s">
        <v>657</v>
      </c>
    </row>
    <row r="1480" customFormat="false" ht="14.25" hidden="false" customHeight="true" outlineLevel="0" collapsed="false">
      <c r="A1480" s="1" t="s">
        <v>626</v>
      </c>
      <c r="B1480" s="1" t="s">
        <v>54</v>
      </c>
      <c r="C1480" s="1" t="s">
        <v>54</v>
      </c>
      <c r="D1480" s="1" t="s">
        <v>291</v>
      </c>
      <c r="E1480" s="1" t="n">
        <v>1</v>
      </c>
      <c r="F1480" s="1" t="n">
        <v>1697.94451367568</v>
      </c>
      <c r="G1480" s="1" t="n">
        <v>1697.94451367568</v>
      </c>
      <c r="H1480" s="1" t="s">
        <v>657</v>
      </c>
    </row>
    <row r="1481" customFormat="false" ht="14.25" hidden="false" customHeight="true" outlineLevel="0" collapsed="false">
      <c r="A1481" s="1" t="s">
        <v>626</v>
      </c>
      <c r="B1481" s="1" t="s">
        <v>54</v>
      </c>
      <c r="C1481" s="1" t="s">
        <v>54</v>
      </c>
      <c r="D1481" s="1" t="s">
        <v>285</v>
      </c>
      <c r="E1481" s="1" t="n">
        <v>1</v>
      </c>
      <c r="F1481" s="1" t="n">
        <v>1697.94451367568</v>
      </c>
      <c r="G1481" s="1" t="n">
        <v>1697.94451367568</v>
      </c>
      <c r="H1481" s="1" t="s">
        <v>657</v>
      </c>
    </row>
    <row r="1482" customFormat="false" ht="14.25" hidden="false" customHeight="true" outlineLevel="0" collapsed="false">
      <c r="A1482" s="1" t="s">
        <v>626</v>
      </c>
      <c r="B1482" s="1" t="s">
        <v>54</v>
      </c>
      <c r="C1482" s="1" t="s">
        <v>54</v>
      </c>
      <c r="D1482" s="1" t="s">
        <v>286</v>
      </c>
      <c r="E1482" s="1" t="n">
        <v>1</v>
      </c>
      <c r="F1482" s="1" t="n">
        <v>1697.94451367568</v>
      </c>
      <c r="G1482" s="1" t="n">
        <v>1697.94451367568</v>
      </c>
      <c r="H1482" s="1" t="s">
        <v>657</v>
      </c>
    </row>
    <row r="1483" customFormat="false" ht="14.25" hidden="false" customHeight="true" outlineLevel="0" collapsed="false">
      <c r="A1483" s="1" t="s">
        <v>626</v>
      </c>
      <c r="B1483" s="1" t="s">
        <v>54</v>
      </c>
      <c r="C1483" s="1" t="s">
        <v>54</v>
      </c>
      <c r="D1483" s="1" t="s">
        <v>283</v>
      </c>
      <c r="E1483" s="1" t="n">
        <v>1</v>
      </c>
      <c r="F1483" s="1" t="n">
        <v>1697.94451367568</v>
      </c>
      <c r="G1483" s="1" t="n">
        <v>1697.94451367568</v>
      </c>
      <c r="H1483" s="1" t="s">
        <v>657</v>
      </c>
    </row>
    <row r="1484" customFormat="false" ht="14.25" hidden="false" customHeight="true" outlineLevel="0" collapsed="false">
      <c r="A1484" s="1" t="s">
        <v>626</v>
      </c>
      <c r="B1484" s="1" t="s">
        <v>54</v>
      </c>
      <c r="C1484" s="1" t="s">
        <v>54</v>
      </c>
      <c r="D1484" s="1" t="s">
        <v>276</v>
      </c>
      <c r="E1484" s="1" t="n">
        <v>1</v>
      </c>
      <c r="F1484" s="1" t="n">
        <v>1697.94451367568</v>
      </c>
      <c r="G1484" s="1" t="n">
        <v>1697.94451367568</v>
      </c>
      <c r="H1484" s="1" t="s">
        <v>657</v>
      </c>
    </row>
    <row r="1485" customFormat="false" ht="14.25" hidden="false" customHeight="true" outlineLevel="0" collapsed="false">
      <c r="A1485" s="1" t="s">
        <v>651</v>
      </c>
      <c r="B1485" s="1" t="s">
        <v>54</v>
      </c>
      <c r="C1485" s="1" t="s">
        <v>54</v>
      </c>
      <c r="D1485" s="1" t="s">
        <v>288</v>
      </c>
      <c r="E1485" s="1" t="n">
        <v>1</v>
      </c>
      <c r="F1485" s="1" t="n">
        <v>1181.9128742515</v>
      </c>
      <c r="G1485" s="1" t="n">
        <v>1181.9128742515</v>
      </c>
      <c r="H1485" s="1" t="s">
        <v>657</v>
      </c>
    </row>
    <row r="1486" customFormat="false" ht="14.25" hidden="false" customHeight="true" outlineLevel="0" collapsed="false">
      <c r="A1486" s="1" t="s">
        <v>651</v>
      </c>
      <c r="B1486" s="1" t="s">
        <v>54</v>
      </c>
      <c r="C1486" s="1" t="s">
        <v>54</v>
      </c>
      <c r="D1486" s="1" t="s">
        <v>290</v>
      </c>
      <c r="E1486" s="1" t="n">
        <v>1</v>
      </c>
      <c r="F1486" s="1" t="n">
        <v>1181.9128742515</v>
      </c>
      <c r="G1486" s="1" t="n">
        <v>1181.9128742515</v>
      </c>
      <c r="H1486" s="1" t="s">
        <v>657</v>
      </c>
    </row>
    <row r="1487" customFormat="false" ht="14.25" hidden="false" customHeight="true" outlineLevel="0" collapsed="false">
      <c r="A1487" s="1" t="s">
        <v>651</v>
      </c>
      <c r="B1487" s="1" t="s">
        <v>54</v>
      </c>
      <c r="C1487" s="1" t="s">
        <v>54</v>
      </c>
      <c r="D1487" s="1" t="s">
        <v>294</v>
      </c>
      <c r="E1487" s="1" t="n">
        <v>1</v>
      </c>
      <c r="F1487" s="1" t="n">
        <v>1181.9128742515</v>
      </c>
      <c r="G1487" s="1" t="n">
        <v>1181.9128742515</v>
      </c>
      <c r="H1487" s="1" t="s">
        <v>657</v>
      </c>
    </row>
    <row r="1488" customFormat="false" ht="14.25" hidden="false" customHeight="true" outlineLevel="0" collapsed="false">
      <c r="A1488" s="1" t="s">
        <v>651</v>
      </c>
      <c r="B1488" s="1" t="s">
        <v>54</v>
      </c>
      <c r="C1488" s="1" t="s">
        <v>54</v>
      </c>
      <c r="D1488" s="1" t="s">
        <v>291</v>
      </c>
      <c r="E1488" s="1" t="n">
        <v>1</v>
      </c>
      <c r="F1488" s="1" t="n">
        <v>1181.9128742515</v>
      </c>
      <c r="G1488" s="1" t="n">
        <v>1181.9128742515</v>
      </c>
      <c r="H1488" s="1" t="s">
        <v>657</v>
      </c>
    </row>
    <row r="1489" customFormat="false" ht="14.25" hidden="false" customHeight="true" outlineLevel="0" collapsed="false">
      <c r="A1489" s="1" t="s">
        <v>651</v>
      </c>
      <c r="B1489" s="1" t="s">
        <v>54</v>
      </c>
      <c r="C1489" s="1" t="s">
        <v>54</v>
      </c>
      <c r="D1489" s="1" t="s">
        <v>285</v>
      </c>
      <c r="E1489" s="1" t="n">
        <v>1</v>
      </c>
      <c r="F1489" s="1" t="n">
        <v>1181.9128742515</v>
      </c>
      <c r="G1489" s="1" t="n">
        <v>1181.9128742515</v>
      </c>
      <c r="H1489" s="1" t="s">
        <v>657</v>
      </c>
    </row>
    <row r="1490" customFormat="false" ht="14.25" hidden="false" customHeight="true" outlineLevel="0" collapsed="false">
      <c r="A1490" s="1" t="s">
        <v>651</v>
      </c>
      <c r="B1490" s="1" t="s">
        <v>54</v>
      </c>
      <c r="C1490" s="1" t="s">
        <v>54</v>
      </c>
      <c r="D1490" s="1" t="s">
        <v>286</v>
      </c>
      <c r="E1490" s="1" t="n">
        <v>1</v>
      </c>
      <c r="F1490" s="1" t="n">
        <v>1181.9128742515</v>
      </c>
      <c r="G1490" s="1" t="n">
        <v>1181.9128742515</v>
      </c>
      <c r="H1490" s="1" t="s">
        <v>657</v>
      </c>
    </row>
    <row r="1491" customFormat="false" ht="14.25" hidden="false" customHeight="true" outlineLevel="0" collapsed="false">
      <c r="A1491" s="1" t="s">
        <v>651</v>
      </c>
      <c r="B1491" s="1" t="s">
        <v>54</v>
      </c>
      <c r="C1491" s="1" t="s">
        <v>54</v>
      </c>
      <c r="D1491" s="1" t="s">
        <v>283</v>
      </c>
      <c r="E1491" s="1" t="n">
        <v>1</v>
      </c>
      <c r="F1491" s="1" t="n">
        <v>1181.9128742515</v>
      </c>
      <c r="G1491" s="1" t="n">
        <v>1181.9128742515</v>
      </c>
      <c r="H1491" s="1" t="s">
        <v>657</v>
      </c>
    </row>
    <row r="1492" customFormat="false" ht="14.25" hidden="false" customHeight="true" outlineLevel="0" collapsed="false">
      <c r="A1492" s="1" t="s">
        <v>651</v>
      </c>
      <c r="B1492" s="1" t="s">
        <v>54</v>
      </c>
      <c r="C1492" s="1" t="s">
        <v>54</v>
      </c>
      <c r="D1492" s="1" t="s">
        <v>276</v>
      </c>
      <c r="E1492" s="1" t="n">
        <v>1</v>
      </c>
      <c r="F1492" s="1" t="n">
        <v>1181.9128742515</v>
      </c>
      <c r="G1492" s="1" t="n">
        <v>1181.9128742515</v>
      </c>
      <c r="H1492" s="1" t="s">
        <v>657</v>
      </c>
    </row>
    <row r="1493" customFormat="false" ht="14.25" hidden="false" customHeight="true" outlineLevel="0" collapsed="false">
      <c r="A1493" s="1" t="s">
        <v>589</v>
      </c>
      <c r="B1493" s="1" t="s">
        <v>44</v>
      </c>
      <c r="C1493" s="1" t="s">
        <v>643</v>
      </c>
      <c r="D1493" s="1" t="s">
        <v>288</v>
      </c>
      <c r="E1493" s="1" t="n">
        <v>35</v>
      </c>
      <c r="F1493" s="1" t="n">
        <v>49.6814849002849</v>
      </c>
      <c r="G1493" s="1" t="n">
        <v>1738.85197150997</v>
      </c>
      <c r="H1493" s="1" t="s">
        <v>658</v>
      </c>
    </row>
    <row r="1494" customFormat="false" ht="14.25" hidden="false" customHeight="true" outlineLevel="0" collapsed="false">
      <c r="A1494" s="1" t="s">
        <v>589</v>
      </c>
      <c r="B1494" s="1" t="s">
        <v>44</v>
      </c>
      <c r="C1494" s="1" t="s">
        <v>643</v>
      </c>
      <c r="D1494" s="1" t="s">
        <v>290</v>
      </c>
      <c r="E1494" s="1" t="n">
        <v>37</v>
      </c>
      <c r="F1494" s="1" t="n">
        <v>49.6814849002849</v>
      </c>
      <c r="G1494" s="1" t="n">
        <v>1838.21494131054</v>
      </c>
      <c r="H1494" s="1" t="s">
        <v>658</v>
      </c>
    </row>
    <row r="1495" customFormat="false" ht="14.25" hidden="false" customHeight="true" outlineLevel="0" collapsed="false">
      <c r="A1495" s="1" t="s">
        <v>589</v>
      </c>
      <c r="B1495" s="1" t="s">
        <v>44</v>
      </c>
      <c r="C1495" s="1" t="s">
        <v>643</v>
      </c>
      <c r="D1495" s="1" t="s">
        <v>294</v>
      </c>
      <c r="E1495" s="1" t="n">
        <v>11</v>
      </c>
      <c r="F1495" s="1" t="n">
        <v>49.6814849002849</v>
      </c>
      <c r="G1495" s="1" t="n">
        <v>546.496333903134</v>
      </c>
      <c r="H1495" s="1" t="s">
        <v>658</v>
      </c>
    </row>
    <row r="1496" customFormat="false" ht="14.25" hidden="false" customHeight="true" outlineLevel="0" collapsed="false">
      <c r="A1496" s="1" t="s">
        <v>589</v>
      </c>
      <c r="B1496" s="1" t="s">
        <v>44</v>
      </c>
      <c r="C1496" s="1" t="s">
        <v>643</v>
      </c>
      <c r="D1496" s="1" t="s">
        <v>291</v>
      </c>
      <c r="E1496" s="1" t="n">
        <v>42</v>
      </c>
      <c r="F1496" s="1" t="n">
        <v>49.6814849002849</v>
      </c>
      <c r="G1496" s="1" t="n">
        <v>2086.62236581197</v>
      </c>
      <c r="H1496" s="1" t="s">
        <v>658</v>
      </c>
    </row>
    <row r="1497" customFormat="false" ht="14.25" hidden="false" customHeight="true" outlineLevel="0" collapsed="false">
      <c r="A1497" s="1" t="s">
        <v>589</v>
      </c>
      <c r="B1497" s="1" t="s">
        <v>44</v>
      </c>
      <c r="C1497" s="1" t="s">
        <v>643</v>
      </c>
      <c r="D1497" s="1" t="s">
        <v>285</v>
      </c>
      <c r="E1497" s="1" t="n">
        <v>42</v>
      </c>
      <c r="F1497" s="1" t="n">
        <v>49.6814849002849</v>
      </c>
      <c r="G1497" s="1" t="n">
        <v>2086.62236581197</v>
      </c>
      <c r="H1497" s="1" t="s">
        <v>658</v>
      </c>
    </row>
    <row r="1498" customFormat="false" ht="14.25" hidden="false" customHeight="true" outlineLevel="0" collapsed="false">
      <c r="A1498" s="1" t="s">
        <v>589</v>
      </c>
      <c r="B1498" s="1" t="s">
        <v>44</v>
      </c>
      <c r="C1498" s="1" t="s">
        <v>643</v>
      </c>
      <c r="D1498" s="1" t="s">
        <v>286</v>
      </c>
      <c r="E1498" s="1" t="n">
        <v>18</v>
      </c>
      <c r="F1498" s="1" t="n">
        <v>49.6814849002849</v>
      </c>
      <c r="G1498" s="1" t="n">
        <v>894.266728205128</v>
      </c>
      <c r="H1498" s="1" t="s">
        <v>658</v>
      </c>
    </row>
    <row r="1499" customFormat="false" ht="14.25" hidden="false" customHeight="true" outlineLevel="0" collapsed="false">
      <c r="A1499" s="1" t="s">
        <v>589</v>
      </c>
      <c r="B1499" s="1" t="s">
        <v>44</v>
      </c>
      <c r="C1499" s="1" t="s">
        <v>643</v>
      </c>
      <c r="D1499" s="1" t="s">
        <v>283</v>
      </c>
      <c r="E1499" s="1" t="n">
        <v>20</v>
      </c>
      <c r="F1499" s="1" t="n">
        <v>49.6814849002849</v>
      </c>
      <c r="G1499" s="1" t="n">
        <v>993.629698005698</v>
      </c>
      <c r="H1499" s="1" t="s">
        <v>658</v>
      </c>
    </row>
    <row r="1500" customFormat="false" ht="14.25" hidden="false" customHeight="true" outlineLevel="0" collapsed="false">
      <c r="A1500" s="1" t="s">
        <v>599</v>
      </c>
      <c r="B1500" s="1" t="s">
        <v>44</v>
      </c>
      <c r="C1500" s="1" t="s">
        <v>643</v>
      </c>
      <c r="D1500" s="1" t="s">
        <v>288</v>
      </c>
      <c r="E1500" s="1" t="n">
        <v>34</v>
      </c>
      <c r="F1500" s="1" t="n">
        <v>48.1177222116301</v>
      </c>
      <c r="G1500" s="1" t="n">
        <v>1636.00255519542</v>
      </c>
      <c r="H1500" s="1" t="s">
        <v>658</v>
      </c>
    </row>
    <row r="1501" customFormat="false" ht="14.25" hidden="false" customHeight="true" outlineLevel="0" collapsed="false">
      <c r="A1501" s="1" t="s">
        <v>599</v>
      </c>
      <c r="B1501" s="1" t="s">
        <v>44</v>
      </c>
      <c r="C1501" s="1" t="s">
        <v>643</v>
      </c>
      <c r="D1501" s="1" t="s">
        <v>290</v>
      </c>
      <c r="E1501" s="1" t="n">
        <v>37</v>
      </c>
      <c r="F1501" s="1" t="n">
        <v>48.1177222116301</v>
      </c>
      <c r="G1501" s="1" t="n">
        <v>1780.35572183031</v>
      </c>
      <c r="H1501" s="1" t="s">
        <v>658</v>
      </c>
    </row>
    <row r="1502" customFormat="false" ht="14.25" hidden="false" customHeight="true" outlineLevel="0" collapsed="false">
      <c r="A1502" s="1" t="s">
        <v>599</v>
      </c>
      <c r="B1502" s="1" t="s">
        <v>44</v>
      </c>
      <c r="C1502" s="1" t="s">
        <v>643</v>
      </c>
      <c r="D1502" s="1" t="s">
        <v>294</v>
      </c>
      <c r="E1502" s="1" t="n">
        <v>11</v>
      </c>
      <c r="F1502" s="1" t="n">
        <v>48.1177222116301</v>
      </c>
      <c r="G1502" s="1" t="n">
        <v>529.294944327931</v>
      </c>
      <c r="H1502" s="1" t="s">
        <v>658</v>
      </c>
    </row>
    <row r="1503" customFormat="false" ht="14.25" hidden="false" customHeight="true" outlineLevel="0" collapsed="false">
      <c r="A1503" s="1" t="s">
        <v>599</v>
      </c>
      <c r="B1503" s="1" t="s">
        <v>44</v>
      </c>
      <c r="C1503" s="1" t="s">
        <v>643</v>
      </c>
      <c r="D1503" s="1" t="s">
        <v>291</v>
      </c>
      <c r="E1503" s="1" t="n">
        <v>42</v>
      </c>
      <c r="F1503" s="1" t="n">
        <v>48.1177222116301</v>
      </c>
      <c r="G1503" s="1" t="n">
        <v>2020.94433288846</v>
      </c>
      <c r="H1503" s="1" t="s">
        <v>658</v>
      </c>
    </row>
    <row r="1504" customFormat="false" ht="14.25" hidden="false" customHeight="true" outlineLevel="0" collapsed="false">
      <c r="A1504" s="1" t="s">
        <v>599</v>
      </c>
      <c r="B1504" s="1" t="s">
        <v>44</v>
      </c>
      <c r="C1504" s="1" t="s">
        <v>643</v>
      </c>
      <c r="D1504" s="1" t="s">
        <v>285</v>
      </c>
      <c r="E1504" s="1" t="n">
        <v>42</v>
      </c>
      <c r="F1504" s="1" t="n">
        <v>48.1177222116301</v>
      </c>
      <c r="G1504" s="1" t="n">
        <v>2020.94433288846</v>
      </c>
      <c r="H1504" s="1" t="s">
        <v>658</v>
      </c>
    </row>
    <row r="1505" customFormat="false" ht="14.25" hidden="false" customHeight="true" outlineLevel="0" collapsed="false">
      <c r="A1505" s="1" t="s">
        <v>599</v>
      </c>
      <c r="B1505" s="1" t="s">
        <v>44</v>
      </c>
      <c r="C1505" s="1" t="s">
        <v>643</v>
      </c>
      <c r="D1505" s="1" t="s">
        <v>286</v>
      </c>
      <c r="E1505" s="1" t="n">
        <v>18</v>
      </c>
      <c r="F1505" s="1" t="n">
        <v>48.1177222116301</v>
      </c>
      <c r="G1505" s="1" t="n">
        <v>866.118999809342</v>
      </c>
      <c r="H1505" s="1" t="s">
        <v>658</v>
      </c>
    </row>
    <row r="1506" customFormat="false" ht="14.25" hidden="false" customHeight="true" outlineLevel="0" collapsed="false">
      <c r="A1506" s="1" t="s">
        <v>599</v>
      </c>
      <c r="B1506" s="1" t="s">
        <v>44</v>
      </c>
      <c r="C1506" s="1" t="s">
        <v>643</v>
      </c>
      <c r="D1506" s="1" t="s">
        <v>283</v>
      </c>
      <c r="E1506" s="1" t="n">
        <v>17</v>
      </c>
      <c r="F1506" s="1" t="n">
        <v>48.1177222116301</v>
      </c>
      <c r="G1506" s="1" t="n">
        <v>818.001277597712</v>
      </c>
      <c r="H1506" s="1" t="s">
        <v>658</v>
      </c>
    </row>
    <row r="1507" customFormat="false" ht="14.25" hidden="false" customHeight="true" outlineLevel="0" collapsed="false"/>
    <row r="1508" customFormat="false" ht="14.25" hidden="false" customHeight="true" outlineLevel="0" collapsed="false"/>
    <row r="1509" customFormat="false" ht="14.25" hidden="false" customHeight="true" outlineLevel="0" collapsed="false"/>
    <row r="1510" customFormat="false" ht="14.25" hidden="false" customHeight="true" outlineLevel="0" collapsed="false"/>
    <row r="1511" customFormat="false" ht="14.25" hidden="false" customHeight="true" outlineLevel="0" collapsed="false"/>
    <row r="1512" customFormat="false" ht="14.25" hidden="false" customHeight="true" outlineLevel="0" collapsed="false"/>
    <row r="1513" customFormat="false" ht="14.25" hidden="false" customHeight="true" outlineLevel="0" collapsed="false"/>
    <row r="1514" customFormat="false" ht="14.25" hidden="false" customHeight="true" outlineLevel="0" collapsed="false"/>
    <row r="1515" customFormat="false" ht="14.25" hidden="false" customHeight="true" outlineLevel="0" collapsed="false"/>
    <row r="1516" customFormat="false" ht="14.25" hidden="false" customHeight="true" outlineLevel="0" collapsed="false"/>
    <row r="1517" customFormat="false" ht="14.25" hidden="false" customHeight="true" outlineLevel="0" collapsed="false"/>
    <row r="1518" customFormat="false" ht="14.25" hidden="false" customHeight="true" outlineLevel="0" collapsed="false"/>
    <row r="1519" customFormat="false" ht="14.25" hidden="false" customHeight="true" outlineLevel="0" collapsed="false"/>
    <row r="1520" customFormat="false" ht="14.25" hidden="false" customHeight="true" outlineLevel="0" collapsed="false"/>
    <row r="1521" customFormat="false" ht="14.25" hidden="false" customHeight="true" outlineLevel="0" collapsed="false"/>
    <row r="1522" customFormat="false" ht="14.25" hidden="false" customHeight="true" outlineLevel="0" collapsed="false"/>
    <row r="1523" customFormat="false" ht="14.25" hidden="false" customHeight="true" outlineLevel="0" collapsed="false"/>
    <row r="1524" customFormat="false" ht="14.25" hidden="false" customHeight="true" outlineLevel="0" collapsed="false"/>
    <row r="1525" customFormat="false" ht="14.25" hidden="false" customHeight="true" outlineLevel="0" collapsed="false"/>
    <row r="1526" customFormat="false" ht="14.25" hidden="false" customHeight="true" outlineLevel="0" collapsed="false"/>
    <row r="1527" customFormat="false" ht="14.25" hidden="false" customHeight="true" outlineLevel="0" collapsed="false"/>
    <row r="1528" customFormat="false" ht="14.25" hidden="false" customHeight="true" outlineLevel="0" collapsed="false"/>
    <row r="1529" customFormat="false" ht="14.25" hidden="false" customHeight="true" outlineLevel="0" collapsed="false"/>
    <row r="1530" customFormat="false" ht="14.25" hidden="false" customHeight="true" outlineLevel="0" collapsed="false"/>
    <row r="1531" customFormat="false" ht="14.25" hidden="false" customHeight="true" outlineLevel="0" collapsed="false"/>
    <row r="1532" customFormat="false" ht="14.25" hidden="false" customHeight="true" outlineLevel="0" collapsed="false"/>
    <row r="1533" customFormat="false" ht="14.25" hidden="false" customHeight="true" outlineLevel="0" collapsed="false"/>
    <row r="1534" customFormat="false" ht="14.25" hidden="false" customHeight="true" outlineLevel="0" collapsed="false"/>
    <row r="1535" customFormat="false" ht="14.25" hidden="false" customHeight="true" outlineLevel="0" collapsed="false"/>
    <row r="1536" customFormat="false" ht="14.25" hidden="false" customHeight="true" outlineLevel="0" collapsed="false"/>
    <row r="1537" customFormat="false" ht="14.25" hidden="false" customHeight="true" outlineLevel="0" collapsed="false"/>
    <row r="1538" customFormat="false" ht="14.25" hidden="false" customHeight="true" outlineLevel="0" collapsed="false"/>
    <row r="1539" customFormat="false" ht="14.25" hidden="false" customHeight="true" outlineLevel="0" collapsed="false"/>
    <row r="1540" customFormat="false" ht="14.25" hidden="false" customHeight="true" outlineLevel="0" collapsed="false"/>
    <row r="1541" customFormat="false" ht="14.25" hidden="false" customHeight="true" outlineLevel="0" collapsed="false"/>
    <row r="1542" customFormat="false" ht="14.25" hidden="false" customHeight="true" outlineLevel="0" collapsed="false"/>
    <row r="1543" customFormat="false" ht="14.25" hidden="false" customHeight="true" outlineLevel="0" collapsed="false"/>
    <row r="1544" customFormat="false" ht="14.25" hidden="false" customHeight="true" outlineLevel="0" collapsed="false"/>
    <row r="1545" customFormat="false" ht="14.25" hidden="false" customHeight="true" outlineLevel="0" collapsed="false"/>
    <row r="1546" customFormat="false" ht="14.25" hidden="false" customHeight="true" outlineLevel="0" collapsed="false"/>
    <row r="1547" customFormat="false" ht="14.25" hidden="false" customHeight="true" outlineLevel="0" collapsed="false"/>
    <row r="1548" customFormat="false" ht="14.25" hidden="false" customHeight="true" outlineLevel="0" collapsed="false"/>
    <row r="1549" customFormat="false" ht="14.25" hidden="false" customHeight="true" outlineLevel="0" collapsed="false"/>
    <row r="1550" customFormat="false" ht="14.25" hidden="false" customHeight="true" outlineLevel="0" collapsed="false"/>
    <row r="1551" customFormat="false" ht="14.25" hidden="false" customHeight="true" outlineLevel="0" collapsed="false"/>
    <row r="1552" customFormat="false" ht="14.25" hidden="false" customHeight="true" outlineLevel="0" collapsed="false"/>
    <row r="1553" customFormat="false" ht="14.25" hidden="false" customHeight="true" outlineLevel="0" collapsed="false"/>
    <row r="1554" customFormat="false" ht="14.25" hidden="false" customHeight="true" outlineLevel="0" collapsed="false"/>
    <row r="1555" customFormat="false" ht="14.25" hidden="false" customHeight="true" outlineLevel="0" collapsed="false"/>
    <row r="1556" customFormat="false" ht="14.25" hidden="false" customHeight="true" outlineLevel="0" collapsed="false"/>
    <row r="1557" customFormat="false" ht="14.25" hidden="false" customHeight="true" outlineLevel="0" collapsed="false"/>
    <row r="1558" customFormat="false" ht="14.25" hidden="false" customHeight="true" outlineLevel="0" collapsed="false"/>
    <row r="1559" customFormat="false" ht="14.25" hidden="false" customHeight="true" outlineLevel="0" collapsed="false"/>
    <row r="1560" customFormat="false" ht="14.25" hidden="false" customHeight="true" outlineLevel="0" collapsed="false"/>
    <row r="1561" customFormat="false" ht="14.25" hidden="false" customHeight="true" outlineLevel="0" collapsed="false"/>
    <row r="1562" customFormat="false" ht="14.25" hidden="false" customHeight="true" outlineLevel="0" collapsed="false"/>
    <row r="1563" customFormat="false" ht="14.25" hidden="false" customHeight="true" outlineLevel="0" collapsed="false"/>
    <row r="1564" customFormat="false" ht="14.25" hidden="false" customHeight="true" outlineLevel="0" collapsed="false"/>
    <row r="1565" customFormat="false" ht="14.25" hidden="false" customHeight="true" outlineLevel="0" collapsed="false"/>
    <row r="1566" customFormat="false" ht="14.25" hidden="false" customHeight="true" outlineLevel="0" collapsed="false"/>
    <row r="1567" customFormat="false" ht="14.25" hidden="false" customHeight="true" outlineLevel="0" collapsed="false"/>
    <row r="1568" customFormat="false" ht="14.25" hidden="false" customHeight="true" outlineLevel="0" collapsed="false"/>
    <row r="1569" customFormat="false" ht="14.25" hidden="false" customHeight="true" outlineLevel="0" collapsed="false"/>
    <row r="1570" customFormat="false" ht="14.25" hidden="false" customHeight="true" outlineLevel="0" collapsed="false"/>
    <row r="1571" customFormat="false" ht="14.25" hidden="false" customHeight="true" outlineLevel="0" collapsed="false"/>
    <row r="1572" customFormat="false" ht="14.25" hidden="false" customHeight="true" outlineLevel="0" collapsed="false"/>
    <row r="1573" customFormat="false" ht="14.25" hidden="false" customHeight="true" outlineLevel="0" collapsed="false"/>
    <row r="1574" customFormat="false" ht="14.25" hidden="false" customHeight="true" outlineLevel="0" collapsed="false"/>
    <row r="1575" customFormat="false" ht="14.25" hidden="false" customHeight="true" outlineLevel="0" collapsed="false"/>
    <row r="1576" customFormat="false" ht="14.25" hidden="false" customHeight="true" outlineLevel="0" collapsed="false"/>
    <row r="1577" customFormat="false" ht="14.25" hidden="false" customHeight="true" outlineLevel="0" collapsed="false"/>
    <row r="1578" customFormat="false" ht="14.25" hidden="false" customHeight="true" outlineLevel="0" collapsed="false"/>
    <row r="1579" customFormat="false" ht="14.25" hidden="false" customHeight="true" outlineLevel="0" collapsed="false"/>
    <row r="1580" customFormat="false" ht="14.25" hidden="false" customHeight="true" outlineLevel="0" collapsed="false"/>
    <row r="1581" customFormat="false" ht="14.25" hidden="false" customHeight="true" outlineLevel="0" collapsed="false"/>
    <row r="1582" customFormat="false" ht="14.25" hidden="false" customHeight="true" outlineLevel="0" collapsed="false"/>
    <row r="1583" customFormat="false" ht="14.25" hidden="false" customHeight="true" outlineLevel="0" collapsed="false"/>
    <row r="1584" customFormat="false" ht="14.25" hidden="false" customHeight="true" outlineLevel="0" collapsed="false"/>
    <row r="1585" customFormat="false" ht="14.25" hidden="false" customHeight="true" outlineLevel="0" collapsed="false"/>
    <row r="1586" customFormat="false" ht="14.25" hidden="false" customHeight="true" outlineLevel="0" collapsed="false"/>
    <row r="1587" customFormat="false" ht="14.25" hidden="false" customHeight="true" outlineLevel="0" collapsed="false"/>
    <row r="1588" customFormat="false" ht="14.25" hidden="false" customHeight="true" outlineLevel="0" collapsed="false"/>
    <row r="1589" customFormat="false" ht="14.25" hidden="false" customHeight="true" outlineLevel="0" collapsed="false"/>
    <row r="1590" customFormat="false" ht="14.25" hidden="false" customHeight="true" outlineLevel="0" collapsed="false"/>
    <row r="1591" customFormat="false" ht="14.25" hidden="false" customHeight="true" outlineLevel="0" collapsed="false"/>
    <row r="1592" customFormat="false" ht="14.25" hidden="false" customHeight="true" outlineLevel="0" collapsed="false"/>
    <row r="1593" customFormat="false" ht="14.25" hidden="false" customHeight="true" outlineLevel="0" collapsed="false"/>
    <row r="1594" customFormat="false" ht="14.25" hidden="false" customHeight="true" outlineLevel="0" collapsed="false"/>
    <row r="1595" customFormat="false" ht="14.25" hidden="false" customHeight="true" outlineLevel="0" collapsed="false"/>
    <row r="1596" customFormat="false" ht="14.25" hidden="false" customHeight="true" outlineLevel="0" collapsed="false"/>
    <row r="1597" customFormat="false" ht="14.25" hidden="false" customHeight="true" outlineLevel="0" collapsed="false"/>
    <row r="1598" customFormat="false" ht="14.25" hidden="false" customHeight="true" outlineLevel="0" collapsed="false"/>
    <row r="1599" customFormat="false" ht="14.25" hidden="false" customHeight="true" outlineLevel="0" collapsed="false"/>
    <row r="1600" customFormat="false" ht="14.25" hidden="false" customHeight="true" outlineLevel="0" collapsed="false"/>
    <row r="1601" customFormat="false" ht="14.25" hidden="false" customHeight="true" outlineLevel="0" collapsed="false"/>
    <row r="1602" customFormat="false" ht="14.25" hidden="false" customHeight="true" outlineLevel="0" collapsed="false"/>
    <row r="1603" customFormat="false" ht="14.25" hidden="false" customHeight="true" outlineLevel="0" collapsed="false"/>
    <row r="1604" customFormat="false" ht="14.25" hidden="false" customHeight="true" outlineLevel="0" collapsed="false"/>
    <row r="1605" customFormat="false" ht="14.25" hidden="false" customHeight="true" outlineLevel="0" collapsed="false"/>
    <row r="1606" customFormat="false" ht="14.25" hidden="false" customHeight="true" outlineLevel="0" collapsed="false"/>
    <row r="1607" customFormat="false" ht="14.25" hidden="false" customHeight="true" outlineLevel="0" collapsed="false"/>
    <row r="1608" customFormat="false" ht="14.25" hidden="false" customHeight="true" outlineLevel="0" collapsed="false"/>
    <row r="1609" customFormat="false" ht="14.25" hidden="false" customHeight="true" outlineLevel="0" collapsed="false"/>
  </sheetData>
  <autoFilter ref="A4:H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2026-09-16T11:55:04Z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