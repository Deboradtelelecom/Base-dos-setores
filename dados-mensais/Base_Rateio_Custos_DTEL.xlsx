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<sst xmlns="http://schemas.openxmlformats.org/spreadsheetml/2006/main" count="17678" uniqueCount="655">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</sst>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63973.3607</v>
      </c>
      <c r="F151" s="21" t="n">
        <f aca="false">IFERROR(D151*E151,0)</f>
        <v>2116.10532434576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2116.10532434576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63973.3607</v>
      </c>
      <c r="F152" s="22" t="n">
        <f aca="false">IFERROR(D152*E152,0)</f>
        <v>4405.5704021833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4405.5704021833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63973.3607</v>
      </c>
      <c r="F153" s="21" t="n">
        <f aca="false">IFERROR(D153*E153,0)</f>
        <v>4741.45492457363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4741.45492457363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63973.3607</v>
      </c>
      <c r="F154" s="22" t="n">
        <f aca="false">IFERROR(D154*E154,0)</f>
        <v>1216.14493737419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1216.14493737419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63973.3607</v>
      </c>
      <c r="F155" s="21" t="n">
        <f aca="false">IFERROR(D155*E155,0)</f>
        <v>2112.49366281468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2112.49366281468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63973.3607</v>
      </c>
      <c r="F156" s="22" t="n">
        <f aca="false">IFERROR(D156*E156,0)</f>
        <v>1559.25278282669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1559.25278282669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63973.3607</v>
      </c>
      <c r="F157" s="21" t="n">
        <f aca="false">IFERROR(D157*E157,0)</f>
        <v>1574.35609468392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1574.35609468392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63973.3607</v>
      </c>
      <c r="F158" s="22" t="n">
        <f aca="false">IFERROR(D158*E158,0)</f>
        <v>46247.9825711978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46247.9825711978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56447.5492</v>
      </c>
      <c r="F351" s="21" t="n">
        <f aca="false">IFERROR(D351*E351,0)</f>
        <v>1852.79970404595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1852.79970404595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56447.5492</v>
      </c>
      <c r="F352" s="22" t="n">
        <f aca="false">IFERROR(D352*E352,0)</f>
        <v>3954.01618369807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3954.01618369807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56447.5492</v>
      </c>
      <c r="F353" s="21" t="n">
        <f aca="false">IFERROR(D353*E353,0)</f>
        <v>4228.10072590487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4228.10072590487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56447.5492</v>
      </c>
      <c r="F354" s="22" t="n">
        <f aca="false">IFERROR(D354*E354,0)</f>
        <v>1076.86607002671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1076.86607002671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56447.5492</v>
      </c>
      <c r="F355" s="21" t="n">
        <f aca="false">IFERROR(D355*E355,0)</f>
        <v>1887.0233928468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1887.0233928468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56447.5492</v>
      </c>
      <c r="F356" s="22" t="n">
        <f aca="false">IFERROR(D356*E356,0)</f>
        <v>1395.50041403461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1395.50041403461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56447.5492</v>
      </c>
      <c r="F357" s="21" t="n">
        <f aca="false">IFERROR(D357*E357,0)</f>
        <v>1410.84206763499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1410.84206763499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56447.5492</v>
      </c>
      <c r="F358" s="22" t="n">
        <f aca="false">IFERROR(D358*E358,0)</f>
        <v>40642.400641808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40642.400641808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85756.759</v>
      </c>
      <c r="F551" s="21" t="n">
        <f aca="false">IFERROR(D551*E551,0)</f>
        <v>2803.92438516857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2803.92438516857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85756.759</v>
      </c>
      <c r="F552" s="22" t="n">
        <f aca="false">IFERROR(D552*E552,0)</f>
        <v>5758.51501689902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5758.51501689902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85756.759</v>
      </c>
      <c r="F553" s="21" t="n">
        <f aca="false">IFERROR(D553*E553,0)</f>
        <v>6251.79801058608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6251.79801058608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85756.759</v>
      </c>
      <c r="F554" s="22" t="n">
        <f aca="false">IFERROR(D554*E554,0)</f>
        <v>1602.42491046747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1602.42491046747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85756.759</v>
      </c>
      <c r="F555" s="21" t="n">
        <f aca="false">IFERROR(D555*E555,0)</f>
        <v>2795.41216784869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2795.41216784869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85756.759</v>
      </c>
      <c r="F556" s="22" t="n">
        <f aca="false">IFERROR(D556*E556,0)</f>
        <v>2045.06021110124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2045.06021110124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85756.759</v>
      </c>
      <c r="F557" s="21" t="n">
        <f aca="false">IFERROR(D557*E557,0)</f>
        <v>2045.48582196723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2045.48582196723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85756.759</v>
      </c>
      <c r="F558" s="22" t="n">
        <f aca="false">IFERROR(D558*E558,0)</f>
        <v>62454.1384759617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62454.1384759617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83174.8484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83174.8484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83174.8484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83174.8484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83174.8484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83174.8484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83174.8484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83174.8484</v>
      </c>
      <c r="F667" s="1" t="n">
        <f aca="false">IFERROR(D667*E667,0)</f>
        <v>59886.134294639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94756.2315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94756.2315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94756.2315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94756.2315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94756.2315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94756.2315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94756.2315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94756.2315</v>
      </c>
      <c r="F675" s="1" t="n">
        <f aca="false">IFERROR(D675*E675,0)</f>
        <v>68501.7090703567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78661.7006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78661.7006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78661.7006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78661.7006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78661.7006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78661.7006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78661.7006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78661.7006</v>
      </c>
      <c r="F683" s="1" t="n">
        <f aca="false">IFERROR(D683*E683,0)</f>
        <v>57287.0150331479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23028.1392</v>
      </c>
      <c r="F684" s="1" t="n">
        <f aca="false">IFERROR(D684*E684,0)</f>
        <v>765.417732193732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765.417732193732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23028.1392</v>
      </c>
      <c r="F685" s="1" t="n">
        <f aca="false">IFERROR(D685*E685,0)</f>
        <v>765.417732193732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765.417732193732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23028.1392</v>
      </c>
      <c r="F686" s="1" t="n">
        <f aca="false">IFERROR(D686*E686,0)</f>
        <v>918.501278632479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918.501278632479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23028.1392</v>
      </c>
      <c r="F687" s="1" t="n">
        <f aca="false">IFERROR(D687*E687,0)</f>
        <v>240.559858689459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240.559858689459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23028.1392</v>
      </c>
      <c r="F688" s="1" t="n">
        <f aca="false">IFERROR(D688*E688,0)</f>
        <v>918.501278632479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918.501278632479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23028.1392</v>
      </c>
      <c r="F689" s="1" t="n">
        <f aca="false">IFERROR(D689*E689,0)</f>
        <v>393.643405128205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393.643405128205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23028.1392</v>
      </c>
      <c r="F690" s="1" t="n">
        <f aca="false">IFERROR(D690*E690,0)</f>
        <v>437.381561253561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437.381561253561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23028.1392</v>
      </c>
      <c r="F691" s="1" t="n">
        <f aca="false">IFERROR(D691*E691,0)</f>
        <v>18588.7163532764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18588.7163532764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33312.8607</v>
      </c>
      <c r="F692" s="1" t="n">
        <f aca="false">IFERROR(D692*E692,0)</f>
        <v>1079.73047073403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1079.73047073403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33312.8607</v>
      </c>
      <c r="F693" s="1" t="n">
        <f aca="false">IFERROR(D693*E693,0)</f>
        <v>1016.21691363203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1016.21691363203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33312.8607</v>
      </c>
      <c r="F694" s="1" t="n">
        <f aca="false">IFERROR(D694*E694,0)</f>
        <v>1333.78469914204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1333.78469914204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33312.8607</v>
      </c>
      <c r="F695" s="1" t="n">
        <f aca="false">IFERROR(D695*E695,0)</f>
        <v>349.32456406101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349.32456406101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33312.8607</v>
      </c>
      <c r="F696" s="1" t="n">
        <f aca="false">IFERROR(D696*E696,0)</f>
        <v>1333.78469914204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1333.78469914204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33312.8607</v>
      </c>
      <c r="F697" s="1" t="n">
        <f aca="false">IFERROR(D697*E697,0)</f>
        <v>571.622013918017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571.622013918017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33312.8607</v>
      </c>
      <c r="F698" s="1" t="n">
        <f aca="false">IFERROR(D698*E698,0)</f>
        <v>539.865235367016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539.865235367016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33312.8607</v>
      </c>
      <c r="F699" s="1" t="n">
        <f aca="false">IFERROR(D699*E699,0)</f>
        <v>27088.5321040038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27088.5321040038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23131.4345</v>
      </c>
      <c r="F700" s="1" t="n">
        <f aca="false">IFERROR(D700*E700,0)</f>
        <v>721.53098440367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721.53098440367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23131.4345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23131.4345</v>
      </c>
      <c r="F702" s="1" t="n">
        <f aca="false">IFERROR(D702*E702,0)</f>
        <v>997.410478440367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997.410478440367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23131.4345</v>
      </c>
      <c r="F703" s="1" t="n">
        <f aca="false">IFERROR(D703*E703,0)</f>
        <v>233.436494954128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233.436494954128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23131.4345</v>
      </c>
      <c r="F704" s="1" t="n">
        <f aca="false">IFERROR(D704*E704,0)</f>
        <v>1061.07497706422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1061.07497706422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23131.4345</v>
      </c>
      <c r="F705" s="1" t="n">
        <f aca="false">IFERROR(D705*E705,0)</f>
        <v>381.986991743119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381.986991743119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23131.4345</v>
      </c>
      <c r="F706" s="1" t="n">
        <f aca="false">IFERROR(D706*E706,0)</f>
        <v>509.315988990826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509.315988990826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23131.4345</v>
      </c>
      <c r="F707" s="1" t="n">
        <f aca="false">IFERROR(D707*E707,0)</f>
        <v>19226.6785844037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19226.6785844037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29568.365733</v>
      </c>
      <c r="F708" s="1" t="n">
        <f aca="false">IFERROR(D708*E708,0)</f>
        <v>970.533885981801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29568.365733</v>
      </c>
      <c r="F709" s="1" t="n">
        <f aca="false">IFERROR(D709*E709,0)</f>
        <v>2071.19349361912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29568.365733</v>
      </c>
      <c r="F710" s="1" t="n">
        <f aca="false">IFERROR(D710*E710,0)</f>
        <v>2214.76450955497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29568.365733</v>
      </c>
      <c r="F711" s="1" t="n">
        <f aca="false">IFERROR(D711*E711,0)</f>
        <v>564.084185323818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29568.365733</v>
      </c>
      <c r="F712" s="1" t="n">
        <f aca="false">IFERROR(D712*E712,0)</f>
        <v>988.460945022229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29568.365733</v>
      </c>
      <c r="F713" s="1" t="n">
        <f aca="false">IFERROR(D713*E713,0)</f>
        <v>730.9912867347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29568.365733</v>
      </c>
      <c r="F714" s="1" t="n">
        <f aca="false">IFERROR(D714*E714,0)</f>
        <v>739.02755458041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29568.365733</v>
      </c>
      <c r="F715" s="1" t="n">
        <f aca="false">IFERROR(D715*E715,0)</f>
        <v>21289.309872183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29358.285692</v>
      </c>
      <c r="F716" s="1" t="n">
        <f aca="false">IFERROR(D716*E716,0)</f>
        <v>971.110849683797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29358.285692</v>
      </c>
      <c r="F717" s="1" t="n">
        <f aca="false">IFERROR(D717*E717,0)</f>
        <v>2021.7789574953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29358.285692</v>
      </c>
      <c r="F718" s="1" t="n">
        <f aca="false">IFERROR(D718*E718,0)</f>
        <v>2175.92114511772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29358.285692</v>
      </c>
      <c r="F719" s="1" t="n">
        <f aca="false">IFERROR(D719*E719,0)</f>
        <v>558.106219895855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29358.285692</v>
      </c>
      <c r="F720" s="1" t="n">
        <f aca="false">IFERROR(D720*E720,0)</f>
        <v>969.453406806136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29358.285692</v>
      </c>
      <c r="F721" s="1" t="n">
        <f aca="false">IFERROR(D721*E721,0)</f>
        <v>715.5632932736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29358.285692</v>
      </c>
      <c r="F722" s="1" t="n">
        <f aca="false">IFERROR(D722*E722,0)</f>
        <v>722.494418034725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29358.285692</v>
      </c>
      <c r="F723" s="1" t="n">
        <f aca="false">IFERROR(D723*E723,0)</f>
        <v>21223.8574016929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29274.582976</v>
      </c>
      <c r="F724" s="1" t="n">
        <f aca="false">IFERROR(D724*E724,0)</f>
        <v>957.169067828777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29274.582976</v>
      </c>
      <c r="F725" s="1" t="n">
        <f aca="false">IFERROR(D725*E725,0)</f>
        <v>1965.77071762649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29274.582976</v>
      </c>
      <c r="F726" s="1" t="n">
        <f aca="false">IFERROR(D726*E726,0)</f>
        <v>2134.16157215193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29274.582976</v>
      </c>
      <c r="F727" s="1" t="n">
        <f aca="false">IFERROR(D727*E727,0)</f>
        <v>547.016020093404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29274.582976</v>
      </c>
      <c r="F728" s="1" t="n">
        <f aca="false">IFERROR(D728*E728,0)</f>
        <v>954.263272237311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29274.582976</v>
      </c>
      <c r="F729" s="1" t="n">
        <f aca="false">IFERROR(D729*E729,0)</f>
        <v>698.117390849616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29274.582976</v>
      </c>
      <c r="F730" s="1" t="n">
        <f aca="false">IFERROR(D730*E730,0)</f>
        <v>698.262680629189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29274.582976</v>
      </c>
      <c r="F731" s="1" t="n">
        <f aca="false">IFERROR(D731*E731,0)</f>
        <v>21319.8222545833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9882.542222</v>
      </c>
      <c r="F732" s="1" t="n">
        <f aca="false">IFERROR(D732*E732,0)</f>
        <v>324.378499397158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9882.542222</v>
      </c>
      <c r="F733" s="1" t="n">
        <f aca="false">IFERROR(D733*E733,0)</f>
        <v>692.248510974635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9882.542222</v>
      </c>
      <c r="F734" s="1" t="n">
        <f aca="false">IFERROR(D734*E734,0)</f>
        <v>740.233801729406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9882.542222</v>
      </c>
      <c r="F735" s="1" t="n">
        <f aca="false">IFERROR(D735*E735,0)</f>
        <v>188.532089617775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9882.542222</v>
      </c>
      <c r="F736" s="1" t="n">
        <f aca="false">IFERROR(D736*E736,0)</f>
        <v>330.370204163092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9882.542222</v>
      </c>
      <c r="F737" s="1" t="n">
        <f aca="false">IFERROR(D737*E737,0)</f>
        <v>244.316927093719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9882.542222</v>
      </c>
      <c r="F738" s="1" t="n">
        <f aca="false">IFERROR(D738*E738,0)</f>
        <v>247.002863712931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9882.542222</v>
      </c>
      <c r="F739" s="1" t="n">
        <f aca="false">IFERROR(D739*E739,0)</f>
        <v>7115.45932531128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13377.272728</v>
      </c>
      <c r="F740" s="1" t="n">
        <f aca="false">IFERROR(D740*E740,0)</f>
        <v>442.492277022834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13377.272728</v>
      </c>
      <c r="F741" s="1" t="n">
        <f aca="false">IFERROR(D741*E741,0)</f>
        <v>921.235278990284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13377.272728</v>
      </c>
      <c r="F742" s="1" t="n">
        <f aca="false">IFERROR(D742*E742,0)</f>
        <v>991.47105857048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13377.272728</v>
      </c>
      <c r="F743" s="1" t="n">
        <f aca="false">IFERROR(D743*E743,0)</f>
        <v>254.30432802057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13377.272728</v>
      </c>
      <c r="F744" s="1" t="n">
        <f aca="false">IFERROR(D744*E744,0)</f>
        <v>441.737053586488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13377.272728</v>
      </c>
      <c r="F745" s="1" t="n">
        <f aca="false">IFERROR(D745*E745,0)</f>
        <v>326.050554473458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13377.272728</v>
      </c>
      <c r="F746" s="1" t="n">
        <f aca="false">IFERROR(D746*E746,0)</f>
        <v>329.208761570906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13377.272728</v>
      </c>
      <c r="F747" s="1" t="n">
        <f aca="false">IFERROR(D747*E747,0)</f>
        <v>9670.77341576498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14339.651176</v>
      </c>
      <c r="F748" s="1" t="n">
        <f aca="false">IFERROR(D748*E748,0)</f>
        <v>468.852812023803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14339.651176</v>
      </c>
      <c r="F749" s="1" t="n">
        <f aca="false">IFERROR(D749*E749,0)</f>
        <v>962.898990085314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14339.651176</v>
      </c>
      <c r="F750" s="1" t="n">
        <f aca="false">IFERROR(D750*E750,0)</f>
        <v>1045.38235516358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14339.651176</v>
      </c>
      <c r="F751" s="1" t="n">
        <f aca="false">IFERROR(D751*E751,0)</f>
        <v>267.946393028175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14339.651176</v>
      </c>
      <c r="F752" s="1" t="n">
        <f aca="false">IFERROR(D752*E752,0)</f>
        <v>467.429458010373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14339.651176</v>
      </c>
      <c r="F753" s="1" t="n">
        <f aca="false">IFERROR(D753*E753,0)</f>
        <v>341.960801726529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14339.651176</v>
      </c>
      <c r="F754" s="1" t="n">
        <f aca="false">IFERROR(D754*E754,0)</f>
        <v>342.0319694272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14339.651176</v>
      </c>
      <c r="F755" s="1" t="n">
        <f aca="false">IFERROR(D755*E755,0)</f>
        <v>10443.148396535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15546.83</v>
      </c>
      <c r="F788" s="1" t="n">
        <f aca="false">IFERROR(D788*E788,0)</f>
        <v>514.256705911939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15546.83</v>
      </c>
      <c r="F789" s="1" t="n">
        <f aca="false">IFERROR(D789*E789,0)</f>
        <v>1070.64336383652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15546.83</v>
      </c>
      <c r="F790" s="1" t="n">
        <f aca="false">IFERROR(D790*E790,0)</f>
        <v>1152.27014586103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15546.83</v>
      </c>
      <c r="F791" s="1" t="n">
        <f aca="false">IFERROR(D791*E791,0)</f>
        <v>295.547996694775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15546.83</v>
      </c>
      <c r="F792" s="1" t="n">
        <f aca="false">IFERROR(D792*E792,0)</f>
        <v>513.378998578343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15546.83</v>
      </c>
      <c r="F793" s="1" t="n">
        <f aca="false">IFERROR(D793*E793,0)</f>
        <v>378.93019338647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15546.83</v>
      </c>
      <c r="F794" s="1" t="n">
        <f aca="false">IFERROR(D794*E794,0)</f>
        <v>382.60060587242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15546.83</v>
      </c>
      <c r="F795" s="1" t="n">
        <f aca="false">IFERROR(D795*E795,0)</f>
        <v>11239.2019898585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15993.41</v>
      </c>
      <c r="F796" s="1" t="n">
        <f aca="false">IFERROR(D796*E796,0)</f>
        <v>522.924523080435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15993.41</v>
      </c>
      <c r="F797" s="1" t="n">
        <f aca="false">IFERROR(D797*E797,0)</f>
        <v>1073.9479048692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15993.41</v>
      </c>
      <c r="F798" s="1" t="n">
        <f aca="false">IFERROR(D798*E798,0)</f>
        <v>1165.9438857815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15993.41</v>
      </c>
      <c r="F799" s="1" t="n">
        <f aca="false">IFERROR(D799*E799,0)</f>
        <v>298.848031177571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15993.41</v>
      </c>
      <c r="F800" s="1" t="n">
        <f aca="false">IFERROR(D800*E800,0)</f>
        <v>521.337016938722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15993.41</v>
      </c>
      <c r="F801" s="1" t="n">
        <f aca="false">IFERROR(D801*E801,0)</f>
        <v>381.398350546675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15993.41</v>
      </c>
      <c r="F802" s="1" t="n">
        <f aca="false">IFERROR(D802*E802,0)</f>
        <v>381.47772585376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15993.41</v>
      </c>
      <c r="F803" s="1" t="n">
        <f aca="false">IFERROR(D803*E803,0)</f>
        <v>11647.5325617521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61122.0895</v>
      </c>
      <c r="F828" s="1" t="n">
        <f aca="false">IFERROR(D828*E828,0)</f>
        <v>2006.23394533965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61122.0895</v>
      </c>
      <c r="F829" s="1" t="n">
        <f aca="false">IFERROR(D829*E829,0)</f>
        <v>4281.45658207676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61122.0895</v>
      </c>
      <c r="F830" s="1" t="n">
        <f aca="false">IFERROR(D830*E830,0)</f>
        <v>4578.23864182525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61122.0895</v>
      </c>
      <c r="F831" s="1" t="n">
        <f aca="false">IFERROR(D831*E831,0)</f>
        <v>1166.04361472767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61122.0895</v>
      </c>
      <c r="F832" s="1" t="n">
        <f aca="false">IFERROR(D832*E832,0)</f>
        <v>2043.29176980771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61122.0895</v>
      </c>
      <c r="F833" s="1" t="n">
        <f aca="false">IFERROR(D833*E833,0)</f>
        <v>1511.06473908544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61122.0895</v>
      </c>
      <c r="F834" s="1" t="n">
        <f aca="false">IFERROR(D834*E834,0)</f>
        <v>1527.67686729526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61122.0895</v>
      </c>
      <c r="F835" s="1" t="n">
        <f aca="false">IFERROR(D835*E835,0)</f>
        <v>44008.0833398423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57108.4266</v>
      </c>
      <c r="F836" s="1" t="n">
        <f aca="false">IFERROR(D836*E836,0)</f>
        <v>1889.02762448228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57108.4266</v>
      </c>
      <c r="F837" s="1" t="n">
        <f aca="false">IFERROR(D837*E837,0)</f>
        <v>3932.81189531469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57108.4266</v>
      </c>
      <c r="F838" s="1" t="n">
        <f aca="false">IFERROR(D838*E838,0)</f>
        <v>4232.65289761808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57108.4266</v>
      </c>
      <c r="F839" s="1" t="n">
        <f aca="false">IFERROR(D839*E839,0)</f>
        <v>1085.64132212294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57108.4266</v>
      </c>
      <c r="F840" s="1" t="n">
        <f aca="false">IFERROR(D840*E840,0)</f>
        <v>1885.80352768331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57108.4266</v>
      </c>
      <c r="F841" s="1" t="n">
        <f aca="false">IFERROR(D841*E841,0)</f>
        <v>1391.93051802426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57108.4266</v>
      </c>
      <c r="F842" s="1" t="n">
        <f aca="false">IFERROR(D842*E842,0)</f>
        <v>1405.41310463809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57108.4266</v>
      </c>
      <c r="F843" s="1" t="n">
        <f aca="false">IFERROR(D843*E843,0)</f>
        <v>41285.1457101164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60322.867</v>
      </c>
      <c r="F844" s="1" t="n">
        <f aca="false">IFERROR(D844*E844,0)</f>
        <v>1972.33150759091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60322.867</v>
      </c>
      <c r="F845" s="1" t="n">
        <f aca="false">IFERROR(D845*E845,0)</f>
        <v>4050.64439855875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60322.867</v>
      </c>
      <c r="F846" s="1" t="n">
        <f aca="false">IFERROR(D846*E846,0)</f>
        <v>4397.62864526455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60322.867</v>
      </c>
      <c r="F847" s="1" t="n">
        <f aca="false">IFERROR(D847*E847,0)</f>
        <v>1127.17488252577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60322.867</v>
      </c>
      <c r="F848" s="1" t="n">
        <f aca="false">IFERROR(D848*E848,0)</f>
        <v>1966.34385881255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60322.867</v>
      </c>
      <c r="F849" s="1" t="n">
        <f aca="false">IFERROR(D849*E849,0)</f>
        <v>1438.53261900035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60322.867</v>
      </c>
      <c r="F850" s="1" t="n">
        <f aca="false">IFERROR(D850*E850,0)</f>
        <v>1438.83200143927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60322.867</v>
      </c>
      <c r="F851" s="1" t="n">
        <f aca="false">IFERROR(D851*E851,0)</f>
        <v>43931.3790868078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25901.077777</v>
      </c>
      <c r="F852" s="1" t="n">
        <f aca="false">IFERROR(D852*E852,0)</f>
        <v>850.161077315591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25901.077777</v>
      </c>
      <c r="F853" s="1" t="n">
        <f aca="false">IFERROR(D853*E853,0)</f>
        <v>1814.30871945598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25901.077777</v>
      </c>
      <c r="F854" s="1" t="n">
        <f aca="false">IFERROR(D854*E854,0)</f>
        <v>1940.07299347289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25901.077777</v>
      </c>
      <c r="F855" s="1" t="n">
        <f aca="false">IFERROR(D855*E855,0)</f>
        <v>494.122282197756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25901.077777</v>
      </c>
      <c r="F856" s="1" t="n">
        <f aca="false">IFERROR(D856*E856,0)</f>
        <v>865.864689571738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25901.077777</v>
      </c>
      <c r="F857" s="1" t="n">
        <f aca="false">IFERROR(D857*E857,0)</f>
        <v>640.328327341201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25901.077777</v>
      </c>
      <c r="F858" s="1" t="n">
        <f aca="false">IFERROR(D858*E858,0)</f>
        <v>647.367877662923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25901.077777</v>
      </c>
      <c r="F859" s="1" t="n">
        <f aca="false">IFERROR(D859*E859,0)</f>
        <v>18648.8518099819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34992.370912</v>
      </c>
      <c r="F860" s="1" t="n">
        <f aca="false">IFERROR(D860*E860,0)</f>
        <v>1157.47463613186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34992.370912</v>
      </c>
      <c r="F861" s="1" t="n">
        <f aca="false">IFERROR(D861*E861,0)</f>
        <v>2409.77419202751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34992.370912</v>
      </c>
      <c r="F862" s="1" t="n">
        <f aca="false">IFERROR(D862*E862,0)</f>
        <v>2593.49747406985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34992.370912</v>
      </c>
      <c r="F863" s="1" t="n">
        <f aca="false">IFERROR(D863*E863,0)</f>
        <v>665.211179555068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34992.370912</v>
      </c>
      <c r="F864" s="1" t="n">
        <f aca="false">IFERROR(D864*E864,0)</f>
        <v>1155.49911697011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34992.370912</v>
      </c>
      <c r="F865" s="1" t="n">
        <f aca="false">IFERROR(D865*E865,0)</f>
        <v>852.8854999209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34992.370912</v>
      </c>
      <c r="F866" s="1" t="n">
        <f aca="false">IFERROR(D866*E866,0)</f>
        <v>861.146761870018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34992.370912</v>
      </c>
      <c r="F867" s="1" t="n">
        <f aca="false">IFERROR(D867*E867,0)</f>
        <v>25296.8820514547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29475.712744</v>
      </c>
      <c r="F868" s="1" t="n">
        <f aca="false">IFERROR(D868*E868,0)</f>
        <v>963.745256897192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29475.712744</v>
      </c>
      <c r="F869" s="1" t="n">
        <f aca="false">IFERROR(D869*E869,0)</f>
        <v>1979.276461114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29475.712744</v>
      </c>
      <c r="F870" s="1" t="n">
        <f aca="false">IFERROR(D870*E870,0)</f>
        <v>2148.82423779035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29475.712744</v>
      </c>
      <c r="F871" s="1" t="n">
        <f aca="false">IFERROR(D871*E871,0)</f>
        <v>550.7742702213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29475.712744</v>
      </c>
      <c r="F872" s="1" t="n">
        <f aca="false">IFERROR(D872*E872,0)</f>
        <v>960.81949716162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29475.712744</v>
      </c>
      <c r="F873" s="1" t="n">
        <f aca="false">IFERROR(D873*E873,0)</f>
        <v>702.913776471009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29475.712744</v>
      </c>
      <c r="F874" s="1" t="n">
        <f aca="false">IFERROR(D874*E874,0)</f>
        <v>703.060064457787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29475.712744</v>
      </c>
      <c r="F875" s="1" t="n">
        <f aca="false">IFERROR(D875*E875,0)</f>
        <v>21466.2991798867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28475.231466</v>
      </c>
      <c r="F876" s="1" t="n">
        <f aca="false">IFERROR(D876*E876,0)</f>
        <v>934.653517833238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28475.231466</v>
      </c>
      <c r="F877" s="1" t="n">
        <f aca="false">IFERROR(D877*E877,0)</f>
        <v>1994.62204554157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28475.231466</v>
      </c>
      <c r="F878" s="1" t="n">
        <f aca="false">IFERROR(D878*E878,0)</f>
        <v>2132.88528090257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28475.231466</v>
      </c>
      <c r="F879" s="1" t="n">
        <f aca="false">IFERROR(D879*E879,0)</f>
        <v>543.23014969607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28475.231466</v>
      </c>
      <c r="F880" s="1" t="n">
        <f aca="false">IFERROR(D880*E880,0)</f>
        <v>951.917818481113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28475.231466</v>
      </c>
      <c r="F881" s="1" t="n">
        <f aca="false">IFERROR(D881*E881,0)</f>
        <v>703.966741934907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28475.231466</v>
      </c>
      <c r="F882" s="1" t="n">
        <f aca="false">IFERROR(D882*E882,0)</f>
        <v>711.705911190851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28475.231466</v>
      </c>
      <c r="F883" s="1" t="n">
        <f aca="false">IFERROR(D883*E883,0)</f>
        <v>20502.2500004197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32247.512921</v>
      </c>
      <c r="F884" s="1" t="n">
        <f aca="false">IFERROR(D884*E884,0)</f>
        <v>1066.68045952816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32247.512921</v>
      </c>
      <c r="F885" s="1" t="n">
        <f aca="false">IFERROR(D885*E885,0)</f>
        <v>2220.74761923178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32247.512921</v>
      </c>
      <c r="F886" s="1" t="n">
        <f aca="false">IFERROR(D886*E886,0)</f>
        <v>2390.05935082174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32247.512921</v>
      </c>
      <c r="F887" s="1" t="n">
        <f aca="false">IFERROR(D887*E887,0)</f>
        <v>613.03094214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32247.512921</v>
      </c>
      <c r="F888" s="1" t="n">
        <f aca="false">IFERROR(D888*E888,0)</f>
        <v>1064.8599032745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32247.512921</v>
      </c>
      <c r="F889" s="1" t="n">
        <f aca="false">IFERROR(D889*E889,0)</f>
        <v>785.983786237273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32247.512921</v>
      </c>
      <c r="F890" s="1" t="n">
        <f aca="false">IFERROR(D890*E890,0)</f>
        <v>793.597021479833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32247.512921</v>
      </c>
      <c r="F891" s="1" t="n">
        <f aca="false">IFERROR(D891*E891,0)</f>
        <v>23312.5538382867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34449.863444</v>
      </c>
      <c r="F892" s="1" t="n">
        <f aca="false">IFERROR(D892*E892,0)</f>
        <v>1126.38132903739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34449.863444</v>
      </c>
      <c r="F893" s="1" t="n">
        <f aca="false">IFERROR(D893*E893,0)</f>
        <v>2313.28770216695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34449.863444</v>
      </c>
      <c r="F894" s="1" t="n">
        <f aca="false">IFERROR(D894*E894,0)</f>
        <v>2511.44738042352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34449.863444</v>
      </c>
      <c r="F895" s="1" t="n">
        <f aca="false">IFERROR(D895*E895,0)</f>
        <v>643.719748607432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34449.863444</v>
      </c>
      <c r="F896" s="1" t="n">
        <f aca="false">IFERROR(D896*E896,0)</f>
        <v>1122.96183502088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34449.863444</v>
      </c>
      <c r="F897" s="1" t="n">
        <f aca="false">IFERROR(D897*E897,0)</f>
        <v>821.533437465793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34449.863444</v>
      </c>
      <c r="F898" s="1" t="n">
        <f aca="false">IFERROR(D898*E898,0)</f>
        <v>821.704412166618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34449.863444</v>
      </c>
      <c r="F899" s="1" t="n">
        <f aca="false">IFERROR(D899*E899,0)</f>
        <v>25088.8275991114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63973.3607</v>
      </c>
      <c r="E19" s="21" t="n">
        <f aca="false">IFERROR(D19/IF(B19="Clientes",SUMIFS(PARÂMETROS!$B$8:$B$33,PARÂMETROS!$G$8:$G$33,F19),SUMIFS(PARÂMETROS!$C$8:$C$33,PARÂMETROS!$G$8:$G$33,F19)),0)</f>
        <v>0.328332866461715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33312.8607</v>
      </c>
      <c r="E39" s="21" t="n">
        <f aca="false">IFERROR(D39/IF(B39="Clientes",SUMIFS(PARÂMETROS!$B$8:$B$33,PARÂMETROS!$G$8:$G$33,F39),SUMIFS(PARÂMETROS!$C$8:$C$33,PARÂMETROS!$G$8:$G$33,F39)),0)</f>
        <v>31.756778551001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2417020.68144119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56447.5492</v>
      </c>
      <c r="E56" s="21" t="n">
        <f aca="false">IFERROR(D56/IF(B56="Clientes",SUMIFS(PARÂMETROS!$B$8:$B$33,PARÂMETROS!$G$8:$G$33,F56),SUMIFS(PARÂMETROS!$C$8:$C$33,PARÂMETROS!$G$8:$G$33,F56)),0)</f>
        <v>0.295031800007317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23028.1392</v>
      </c>
      <c r="E76" s="21" t="n">
        <f aca="false">IFERROR(D76/IF(B76="Clientes",SUMIFS(PARÂMETROS!$B$8:$B$33,PARÂMETROS!$G$8:$G$33,F76),SUMIFS(PARÂMETROS!$C$8:$C$33,PARÂMETROS!$G$8:$G$33,F76)),0)</f>
        <v>21.8690780626781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2083127.79567533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85756.759</v>
      </c>
      <c r="E92" s="21" t="n">
        <f aca="false">IFERROR(D92/IF(B92="Clientes",SUMIFS(PARÂMETROS!$B$8:$B$33,PARÂMETROS!$G$8:$G$33,F92),SUMIFS(PARÂMETROS!$C$8:$C$33,PARÂMETROS!$G$8:$G$33,F92)),0)</f>
        <v>0.425610865994015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23131.4345</v>
      </c>
      <c r="E112" s="21" t="n">
        <f aca="false">IFERROR(D112/IF(B112="Clientes",SUMIFS(PARÂMETROS!$B$8:$B$33,PARÂMETROS!$G$8:$G$33,F112),SUMIFS(PARÂMETROS!$C$8:$C$33,PARÂMETROS!$G$8:$G$33,F112)),0)</f>
        <v>21.2214995412844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2545053.27136245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2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1</v>
      </c>
      <c r="E6" s="39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49.638</v>
      </c>
      <c r="F7" s="37" t="n">
        <v>49.638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1</v>
      </c>
      <c r="E32" s="39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24.819</v>
      </c>
      <c r="F33" s="37" t="n">
        <v>24.819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</v>
      </c>
      <c r="E44" s="39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107.549</v>
      </c>
      <c r="F45" s="37" t="n">
        <v>107.549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719.456231</v>
      </c>
      <c r="F53" s="37" t="n">
        <f aca="false">IFERROR(D53*E53,0)</f>
        <v>719.456231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5</v>
      </c>
      <c r="E79" s="36" t="n">
        <v>21.2582</v>
      </c>
      <c r="F79" s="37" t="n">
        <v>106.291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5</v>
      </c>
      <c r="E80" s="39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1</v>
      </c>
      <c r="E89" s="36" t="n">
        <v>51.3</v>
      </c>
      <c r="F89" s="37" t="n">
        <v>51.3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0.1212</v>
      </c>
      <c r="F91" s="37" t="n">
        <v>0.1212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37.43</v>
      </c>
      <c r="F103" s="37" t="n">
        <v>37.43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0.0242</v>
      </c>
      <c r="F105" s="37" t="n">
        <v>0.0242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1</v>
      </c>
      <c r="E111" s="36" t="n">
        <v>75.54</v>
      </c>
      <c r="F111" s="37" t="n">
        <v>75.54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0.1697</v>
      </c>
      <c r="F113" s="37" t="n">
        <v>0.1697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1</v>
      </c>
      <c r="E127" s="36" t="n">
        <v>78.93</v>
      </c>
      <c r="F127" s="37" t="n">
        <v>78.93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0.0485</v>
      </c>
      <c r="F129" s="37" t="n">
        <v>0.0485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10</v>
      </c>
      <c r="E141" s="36" t="n">
        <v>21.2582</v>
      </c>
      <c r="F141" s="37" t="n">
        <v>212.582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10</v>
      </c>
      <c r="E142" s="39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/>
      <c r="E155" s="36"/>
      <c r="F155" s="37" t="n">
        <v>0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16</v>
      </c>
      <c r="E156" s="39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16</v>
      </c>
      <c r="E157" s="36" t="n">
        <v>3.3247</v>
      </c>
      <c r="F157" s="37" t="n">
        <v>53.1952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1</v>
      </c>
      <c r="E170" s="39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66.184</v>
      </c>
      <c r="F171" s="37" t="n">
        <v>66.184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15</v>
      </c>
      <c r="E184" s="39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15</v>
      </c>
      <c r="E185" s="36" t="n">
        <v>3.3247</v>
      </c>
      <c r="F185" s="37" t="n">
        <v>49.8705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1</v>
      </c>
      <c r="E209" s="36" t="n">
        <v>213.49</v>
      </c>
      <c r="F209" s="37" t="n">
        <v>213.49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0.1212</v>
      </c>
      <c r="F211" s="37" t="n">
        <v>0.1212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1</v>
      </c>
      <c r="E219" s="36" t="n">
        <v>1287.462295</v>
      </c>
      <c r="F219" s="37" t="n">
        <v>1287.462295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1.0427</v>
      </c>
      <c r="F221" s="37" t="n">
        <v>1.0427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2379.739841</v>
      </c>
      <c r="F229" s="37" t="n">
        <f aca="false">IFERROR(D229*E229,0)</f>
        <v>2379.739841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4</v>
      </c>
      <c r="E245" s="36" t="n">
        <v>21.2582</v>
      </c>
      <c r="F245" s="37" t="n">
        <v>85.0328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4</v>
      </c>
      <c r="E246" s="39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1</v>
      </c>
      <c r="E255" s="36" t="n">
        <v>59.24</v>
      </c>
      <c r="F255" s="37" t="n">
        <v>59.24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0.1455</v>
      </c>
      <c r="F257" s="37" t="n">
        <v>0.1455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5.882352</v>
      </c>
      <c r="F267" s="37" t="n">
        <f aca="false">IFERROR(D267*E267,0)</f>
        <v>5.882352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</v>
      </c>
      <c r="E271" s="36" t="n">
        <v>359.291803</v>
      </c>
      <c r="F271" s="37" t="n">
        <v>359.291803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0.291</v>
      </c>
      <c r="F273" s="37" t="n">
        <v>0.291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2.518032</v>
      </c>
      <c r="F281" s="37" t="n">
        <f aca="false">IFERROR(D281*E281,0)</f>
        <v>2.518032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9</v>
      </c>
      <c r="E286" s="39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9</v>
      </c>
      <c r="E287" s="36" t="n">
        <v>3.3247</v>
      </c>
      <c r="F287" s="37" t="n">
        <v>29.9223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1</v>
      </c>
      <c r="E306" s="39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66.184</v>
      </c>
      <c r="F307" s="37" t="n">
        <v>66.184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1.678688</v>
      </c>
      <c r="F313" s="37" t="n">
        <f aca="false">IFERROR(D313*E313,0)</f>
        <v>1.678688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1</v>
      </c>
      <c r="E317" s="36" t="n">
        <v>988.052459</v>
      </c>
      <c r="F317" s="37" t="n">
        <v>988.052459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0.8002</v>
      </c>
      <c r="F319" s="37" t="n">
        <v>0.8002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1826.311971</v>
      </c>
      <c r="F323" s="37" t="n">
        <f aca="false">IFERROR(D323*E323,0)</f>
        <v>1826.311971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</v>
      </c>
      <c r="E328" s="39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107.549</v>
      </c>
      <c r="F329" s="37" t="n">
        <v>107.549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2.727868</v>
      </c>
      <c r="F407" s="37" t="n">
        <f aca="false">IFERROR(D407*E407,0)</f>
        <v>2.727868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1</v>
      </c>
      <c r="E420" s="39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1</v>
      </c>
      <c r="E423" s="36" t="n">
        <v>71.13</v>
      </c>
      <c r="F423" s="37" t="n">
        <v>71.13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</v>
      </c>
      <c r="E426" s="39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1</v>
      </c>
      <c r="E430" s="39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1</v>
      </c>
      <c r="E441" s="36" t="n">
        <v>66.76</v>
      </c>
      <c r="F441" s="37" t="n">
        <v>66.76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</v>
      </c>
      <c r="E442" s="39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1</v>
      </c>
      <c r="E443" s="36" t="n">
        <v>68.12</v>
      </c>
      <c r="F443" s="37" t="n">
        <v>68.12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14</v>
      </c>
      <c r="E510" s="39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14</v>
      </c>
      <c r="E511" s="36" t="n">
        <v>3.3247</v>
      </c>
      <c r="F511" s="37" t="n">
        <v>46.5458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5</v>
      </c>
      <c r="E512" s="39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5</v>
      </c>
      <c r="E513" s="36" t="n">
        <v>3.3247</v>
      </c>
      <c r="F513" s="37" t="n">
        <v>16.6235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10.784312</v>
      </c>
      <c r="F531" s="37" t="n">
        <f aca="false">IFERROR(D531*E531,0)</f>
        <v>10.784312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6.862744</v>
      </c>
      <c r="F533" s="37" t="n">
        <f aca="false">IFERROR(D533*E533,0)</f>
        <v>6.862744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1.960784</v>
      </c>
      <c r="F535" s="37" t="n">
        <f aca="false">IFERROR(D535*E535,0)</f>
        <v>1.960784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0.980392</v>
      </c>
      <c r="F537" s="37" t="n">
        <f aca="false">IFERROR(D537*E537,0)</f>
        <v>0.980392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1</v>
      </c>
      <c r="E558" s="39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43.7861</v>
      </c>
      <c r="F559" s="37" t="n">
        <v>43.7861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1</v>
      </c>
      <c r="E584" s="39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35.0289</v>
      </c>
      <c r="F585" s="37" t="n">
        <v>35.0289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</v>
      </c>
      <c r="E596" s="39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96.3294</v>
      </c>
      <c r="F597" s="37" t="n">
        <v>96.3294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608.770657</v>
      </c>
      <c r="F605" s="37" t="n">
        <f aca="false">IFERROR(D605*E605,0)</f>
        <v>608.770657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4</v>
      </c>
      <c r="E631" s="36" t="n">
        <v>23.6877</v>
      </c>
      <c r="F631" s="37" t="n">
        <v>94.7508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4</v>
      </c>
      <c r="E632" s="39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7</v>
      </c>
      <c r="E640" s="39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1</v>
      </c>
      <c r="E642" s="39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35.0289</v>
      </c>
      <c r="F643" s="37" t="n">
        <v>35.0289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8.7572</v>
      </c>
      <c r="F657" s="37" t="n">
        <v>8.7572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1</v>
      </c>
      <c r="E664" s="39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61.3005</v>
      </c>
      <c r="F665" s="37" t="n">
        <v>61.3005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1</v>
      </c>
      <c r="E678" s="39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17.5144</v>
      </c>
      <c r="F679" s="37" t="n">
        <v>17.5144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7</v>
      </c>
      <c r="E692" s="39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12</v>
      </c>
      <c r="E693" s="36" t="n">
        <v>0.3124</v>
      </c>
      <c r="F693" s="37" t="n">
        <v>3.7488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15</v>
      </c>
      <c r="E705" s="36" t="n">
        <v>0.3124</v>
      </c>
      <c r="F705" s="37" t="n">
        <v>4.686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</v>
      </c>
      <c r="E707" s="36" t="n">
        <v>624.39</v>
      </c>
      <c r="F707" s="37" t="n">
        <v>624.39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12</v>
      </c>
      <c r="E708" s="39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4</v>
      </c>
      <c r="E709" s="36" t="n">
        <v>0.3124</v>
      </c>
      <c r="F709" s="37" t="n">
        <v>1.2496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6</v>
      </c>
      <c r="E722" s="39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1</v>
      </c>
      <c r="E724" s="39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61.3005</v>
      </c>
      <c r="F725" s="37" t="n">
        <v>61.3005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15</v>
      </c>
      <c r="E738" s="39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1</v>
      </c>
      <c r="E762" s="39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43.7861</v>
      </c>
      <c r="F763" s="37" t="n">
        <v>43.7861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1</v>
      </c>
      <c r="E772" s="39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385.3175</v>
      </c>
      <c r="F773" s="37" t="n">
        <v>385.3175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9.232784</v>
      </c>
      <c r="F783" s="37" t="n">
        <f aca="false">IFERROR(D783*E783,0)</f>
        <v>9.232784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1</v>
      </c>
      <c r="E798" s="39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4</v>
      </c>
      <c r="E800" s="39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1</v>
      </c>
      <c r="E809" s="36" t="n">
        <v>52.2</v>
      </c>
      <c r="F809" s="37" t="n">
        <v>52.2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4.545456</v>
      </c>
      <c r="F821" s="37" t="n">
        <f aca="false">IFERROR(D821*E821,0)</f>
        <v>4.545456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</v>
      </c>
      <c r="E825" s="36" t="n">
        <v>861.934098</v>
      </c>
      <c r="F825" s="37" t="n">
        <v>861.934098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0.35</v>
      </c>
      <c r="F827" s="37" t="n">
        <v>0.35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2.937704</v>
      </c>
      <c r="F835" s="37" t="n">
        <f aca="false">IFERROR(D835*E835,0)</f>
        <v>2.937704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6</v>
      </c>
      <c r="E840" s="39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1</v>
      </c>
      <c r="E855" s="36" t="n">
        <v>492.53377</v>
      </c>
      <c r="F855" s="37" t="n">
        <v>492.53377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442.742296</v>
      </c>
      <c r="F861" s="37" t="n">
        <f aca="false">IFERROR(D861*E861,0)</f>
        <v>442.742296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1</v>
      </c>
      <c r="E866" s="39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280.2309</v>
      </c>
      <c r="F867" s="37" t="n">
        <v>280.2309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6.714752</v>
      </c>
      <c r="F873" s="37" t="n">
        <f aca="false">IFERROR(D873*E873,0)</f>
        <v>6.714752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</v>
      </c>
      <c r="E877" s="36" t="n">
        <v>800.367377</v>
      </c>
      <c r="F877" s="37" t="n">
        <v>800.367377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0.325</v>
      </c>
      <c r="F879" s="37" t="n">
        <v>0.325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1</v>
      </c>
      <c r="E897" s="36" t="n">
        <v>114.65</v>
      </c>
      <c r="F897" s="37" t="n">
        <v>114.65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1</v>
      </c>
      <c r="E899" s="36" t="n">
        <v>151.2</v>
      </c>
      <c r="F899" s="37" t="n">
        <v>151.2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</v>
      </c>
      <c r="E902" s="39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1</v>
      </c>
      <c r="E905" s="36" t="n">
        <v>106.53</v>
      </c>
      <c r="F905" s="37" t="n">
        <v>106.53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1</v>
      </c>
      <c r="E916" s="39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</v>
      </c>
      <c r="E917" s="36" t="n">
        <v>97.45</v>
      </c>
      <c r="F917" s="37" t="n">
        <v>97.45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1</v>
      </c>
      <c r="E918" s="39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2.727868</v>
      </c>
      <c r="F973" s="37" t="n">
        <f aca="false">IFERROR(D973*E973,0)</f>
        <v>2.727868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15</v>
      </c>
      <c r="E978" s="39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15</v>
      </c>
      <c r="E979" s="36" t="n">
        <v>0.3124</v>
      </c>
      <c r="F979" s="37" t="n">
        <v>4.686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7</v>
      </c>
      <c r="E980" s="39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7</v>
      </c>
      <c r="E981" s="36" t="n">
        <v>0.3124</v>
      </c>
      <c r="F981" s="37" t="n">
        <v>2.1868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5.68182</v>
      </c>
      <c r="F999" s="37" t="n">
        <f aca="false">IFERROR(D999*E999,0)</f>
        <v>5.68182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4.545456</v>
      </c>
      <c r="F1001" s="37" t="n">
        <f aca="false">IFERROR(D1001*E1001,0)</f>
        <v>4.545456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3.409092</v>
      </c>
      <c r="F1003" s="37" t="n">
        <f aca="false">IFERROR(D1003*E1003,0)</f>
        <v>3.409092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5.68182</v>
      </c>
      <c r="F1005" s="37" t="n">
        <f aca="false">IFERROR(D1005*E1005,0)</f>
        <v>5.68182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1</v>
      </c>
      <c r="E1027" s="36" t="n">
        <v>130.4</v>
      </c>
      <c r="F1027" s="37" t="n">
        <v>130.4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 t="n">
        <v>1</v>
      </c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1</v>
      </c>
      <c r="E1057" s="36" t="n">
        <v>65.2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 t="n">
        <v>1</v>
      </c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</v>
      </c>
      <c r="E1072" s="39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102.1295</v>
      </c>
      <c r="F1073" s="37" t="n">
        <v>102.1295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 t="n">
        <v>1</v>
      </c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550.095516</v>
      </c>
      <c r="F1081" s="37" t="n">
        <f aca="false">IFERROR(D1081*E1081,0)</f>
        <v>550.095516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258.620688</v>
      </c>
      <c r="F1083" s="37" t="n">
        <f aca="false">IFERROR(D1083*E1083,0)</f>
        <v>258.620688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95.568624</v>
      </c>
      <c r="F1085" s="37" t="n">
        <f aca="false">IFERROR(D1085*E1085,0)</f>
        <v>95.568624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4</v>
      </c>
      <c r="E1116" s="39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42.554</v>
      </c>
      <c r="F1129" s="37" t="n">
        <v>42.554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 t="n">
        <v>1</v>
      </c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8.5108</v>
      </c>
      <c r="F1145" s="37" t="n">
        <v>8.5108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 t="n">
        <v>1</v>
      </c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 t="n">
        <v>1</v>
      </c>
      <c r="E1155" s="36" t="n">
        <v>28.5</v>
      </c>
      <c r="F1155" s="37" t="n">
        <v>28.5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 t="n">
        <v>1</v>
      </c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 t="n">
        <v>1</v>
      </c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7</v>
      </c>
      <c r="E1188" s="39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12</v>
      </c>
      <c r="E1204" s="39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 t="n">
        <v>1</v>
      </c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4</v>
      </c>
      <c r="E1233" s="36" t="n">
        <v>0.6343</v>
      </c>
      <c r="F1233" s="37" t="n">
        <v>2.5372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13</v>
      </c>
      <c r="E1236" s="39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7</v>
      </c>
      <c r="E1237" s="36" t="n">
        <v>0.6343</v>
      </c>
      <c r="F1237" s="37" t="n">
        <v>4.4401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34.0432</v>
      </c>
      <c r="F1269" s="37" t="n">
        <v>34.0432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 t="n">
        <v>1</v>
      </c>
      <c r="E1270" s="39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1</v>
      </c>
      <c r="E1281" s="36" t="n">
        <v>1160.222241</v>
      </c>
      <c r="F1281" s="37" t="n">
        <v>1160.222241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 t="n">
        <v>1</v>
      </c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1879.493013</v>
      </c>
      <c r="F1291" s="37" t="n">
        <f aca="false">IFERROR(D1291*E1291,0)</f>
        <v>1879.493013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883.620684</v>
      </c>
      <c r="F1293" s="37" t="n">
        <f aca="false">IFERROR(D1293*E1293,0)</f>
        <v>883.620684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326.526132</v>
      </c>
      <c r="F1295" s="37" t="n">
        <f aca="false">IFERROR(D1295*E1295,0)</f>
        <v>326.526132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12</v>
      </c>
      <c r="E1318" s="39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4</v>
      </c>
      <c r="E1321" s="36" t="n">
        <v>24.8613</v>
      </c>
      <c r="F1321" s="37" t="n">
        <v>99.4452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13</v>
      </c>
      <c r="E1322" s="39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1</v>
      </c>
      <c r="E1336" s="39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34.0432</v>
      </c>
      <c r="F1337" s="37" t="n">
        <v>34.0432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 t="n">
        <v>1</v>
      </c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</v>
      </c>
      <c r="E1354" s="39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85.1079</v>
      </c>
      <c r="F1355" s="37" t="n">
        <v>85.1079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 t="n">
        <v>1</v>
      </c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458.41293</v>
      </c>
      <c r="F1365" s="37" t="n">
        <f aca="false">IFERROR(D1365*E1365,0)</f>
        <v>458.41293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215.51724</v>
      </c>
      <c r="F1367" s="37" t="n">
        <f aca="false">IFERROR(D1367*E1367,0)</f>
        <v>215.51724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79.64052</v>
      </c>
      <c r="F1369" s="37" t="n">
        <f aca="false">IFERROR(D1369*E1369,0)</f>
        <v>79.64052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4</v>
      </c>
      <c r="E1378" s="39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6</v>
      </c>
      <c r="E1381" s="36" t="n">
        <v>24.8613</v>
      </c>
      <c r="F1381" s="37" t="n">
        <v>149.1678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6</v>
      </c>
      <c r="E1382" s="39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1</v>
      </c>
      <c r="E1399" s="36" t="n">
        <v>254.682931</v>
      </c>
      <c r="F1399" s="37" t="n">
        <v>254.682931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 t="n">
        <v>1</v>
      </c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25.861806</v>
      </c>
      <c r="F1409" s="37" t="n">
        <f aca="false">IFERROR(D1409*E1409,0)</f>
        <v>25.861806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1</v>
      </c>
      <c r="E1420" s="39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263.8346</v>
      </c>
      <c r="F1421" s="37" t="n">
        <v>263.8346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 t="n">
        <v>1</v>
      </c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89.079554</v>
      </c>
      <c r="F1429" s="37" t="n">
        <f aca="false">IFERROR(D1429*E1429,0)</f>
        <v>89.079554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</v>
      </c>
      <c r="E1440" s="39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110.6403</v>
      </c>
      <c r="F1441" s="37" t="n">
        <v>110.6403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 t="n">
        <v>1</v>
      </c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595.936809</v>
      </c>
      <c r="F1447" s="37" t="n">
        <f aca="false">IFERROR(D1447*E1447,0)</f>
        <v>595.936809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280.172412</v>
      </c>
      <c r="F1449" s="37" t="n">
        <f aca="false">IFERROR(D1449*E1449,0)</f>
        <v>280.172412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103.532676</v>
      </c>
      <c r="F1451" s="37" t="n">
        <f aca="false">IFERROR(D1451*E1451,0)</f>
        <v>103.532676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1</v>
      </c>
      <c r="E1468" s="39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14</v>
      </c>
      <c r="E1541" s="36" t="n">
        <v>24.8613</v>
      </c>
      <c r="F1541" s="37" t="n">
        <v>348.0582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14</v>
      </c>
      <c r="E1542" s="39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7</v>
      </c>
      <c r="E1543" s="36" t="n">
        <v>24.8613</v>
      </c>
      <c r="F1543" s="37" t="n">
        <v>174.0291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7</v>
      </c>
      <c r="E1544" s="39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2.222222</v>
      </c>
      <c r="F1561" s="37" t="n">
        <f aca="false">IFERROR(D1561*E1561,0)</f>
        <v>2.222222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11.11111</v>
      </c>
      <c r="F1563" s="37" t="n">
        <f aca="false">IFERROR(D1563*E1563,0)</f>
        <v>11.11111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7.777777</v>
      </c>
      <c r="F1565" s="37" t="n">
        <f aca="false">IFERROR(D1565*E1565,0)</f>
        <v>7.777777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3.333333</v>
      </c>
      <c r="F1567" s="37" t="n">
        <f aca="false">IFERROR(D1567*E1567,0)</f>
        <v>3.333333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5.555555</v>
      </c>
      <c r="F1569" s="37" t="n">
        <f aca="false">IFERROR(D1569*E1569,0)</f>
        <v>5.555555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false" outlineLevel="0" collapsed="false">
      <c r="A1710" s="1" t="s">
        <v>51</v>
      </c>
      <c r="B1710" s="1" t="s">
        <v>145</v>
      </c>
      <c r="C1710" s="1" t="s">
        <v>174</v>
      </c>
      <c r="D1710" s="42" t="n">
        <v>1</v>
      </c>
      <c r="E1710" s="43" t="n">
        <v>719.456231</v>
      </c>
      <c r="F1710" s="43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false" outlineLevel="0" collapsed="false">
      <c r="A1711" s="1" t="s">
        <v>51</v>
      </c>
      <c r="B1711" s="1" t="s">
        <v>145</v>
      </c>
      <c r="C1711" s="1" t="s">
        <v>174</v>
      </c>
      <c r="D1711" s="42" t="n">
        <v>1</v>
      </c>
      <c r="E1711" s="43" t="n">
        <v>719.456231</v>
      </c>
      <c r="F1711" s="43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false" outlineLevel="0" collapsed="false">
      <c r="A1712" s="1" t="s">
        <v>38</v>
      </c>
      <c r="B1712" s="1" t="s">
        <v>145</v>
      </c>
      <c r="C1712" s="1" t="s">
        <v>226</v>
      </c>
      <c r="D1712" s="42" t="n">
        <v>1</v>
      </c>
      <c r="E1712" s="43" t="n">
        <v>1262.295078</v>
      </c>
      <c r="F1712" s="43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false" outlineLevel="0" collapsed="false">
      <c r="A1713" s="1" t="s">
        <v>37</v>
      </c>
      <c r="B1713" s="1" t="s">
        <v>145</v>
      </c>
      <c r="C1713" s="1" t="s">
        <v>226</v>
      </c>
      <c r="D1713" s="42" t="n">
        <v>1</v>
      </c>
      <c r="E1713" s="43" t="n">
        <v>5049.180312</v>
      </c>
      <c r="F1713" s="43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false" outlineLevel="0" collapsed="false">
      <c r="A1714" s="1" t="s">
        <v>39</v>
      </c>
      <c r="B1714" s="1" t="s">
        <v>145</v>
      </c>
      <c r="C1714" s="1" t="s">
        <v>226</v>
      </c>
      <c r="D1714" s="42" t="n">
        <v>1</v>
      </c>
      <c r="E1714" s="43" t="n">
        <v>1606.557372</v>
      </c>
      <c r="F1714" s="43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false" outlineLevel="0" collapsed="false">
      <c r="A1715" s="1" t="s">
        <v>52</v>
      </c>
      <c r="B1715" s="1" t="s">
        <v>145</v>
      </c>
      <c r="C1715" s="1" t="s">
        <v>226</v>
      </c>
      <c r="D1715" s="42" t="n">
        <v>1</v>
      </c>
      <c r="E1715" s="43" t="n">
        <v>918.032784</v>
      </c>
      <c r="F1715" s="43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false" outlineLevel="0" collapsed="false">
      <c r="A1716" s="1" t="s">
        <v>53</v>
      </c>
      <c r="B1716" s="1" t="s">
        <v>145</v>
      </c>
      <c r="C1716" s="1" t="s">
        <v>226</v>
      </c>
      <c r="D1716" s="42" t="n">
        <v>1</v>
      </c>
      <c r="E1716" s="43" t="n">
        <v>3672.131136</v>
      </c>
      <c r="F1716" s="43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false" outlineLevel="0" collapsed="false">
      <c r="A1717" s="1" t="s">
        <v>51</v>
      </c>
      <c r="B1717" s="1" t="s">
        <v>145</v>
      </c>
      <c r="C1717" s="1" t="s">
        <v>226</v>
      </c>
      <c r="D1717" s="42" t="n">
        <v>1</v>
      </c>
      <c r="E1717" s="43" t="n">
        <v>1491.803274</v>
      </c>
      <c r="F1717" s="43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false" outlineLevel="0" collapsed="false">
      <c r="A1718" s="1" t="s">
        <v>38</v>
      </c>
      <c r="B1718" s="1" t="s">
        <v>145</v>
      </c>
      <c r="C1718" s="1" t="s">
        <v>228</v>
      </c>
      <c r="D1718" s="42" t="n">
        <v>1</v>
      </c>
      <c r="E1718" s="43" t="n">
        <v>499.778686</v>
      </c>
      <c r="F1718" s="43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false" outlineLevel="0" collapsed="false">
      <c r="A1719" s="1" t="s">
        <v>37</v>
      </c>
      <c r="B1719" s="1" t="s">
        <v>145</v>
      </c>
      <c r="C1719" s="1" t="s">
        <v>228</v>
      </c>
      <c r="D1719" s="42" t="n">
        <v>1</v>
      </c>
      <c r="E1719" s="43" t="n">
        <v>1999.114744</v>
      </c>
      <c r="F1719" s="43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false" outlineLevel="0" collapsed="false">
      <c r="A1720" s="1" t="s">
        <v>39</v>
      </c>
      <c r="B1720" s="1" t="s">
        <v>145</v>
      </c>
      <c r="C1720" s="1" t="s">
        <v>228</v>
      </c>
      <c r="D1720" s="42" t="n">
        <v>1</v>
      </c>
      <c r="E1720" s="43" t="n">
        <v>636.081964</v>
      </c>
      <c r="F1720" s="43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false" outlineLevel="0" collapsed="false">
      <c r="A1721" s="1" t="s">
        <v>52</v>
      </c>
      <c r="B1721" s="1" t="s">
        <v>145</v>
      </c>
      <c r="C1721" s="1" t="s">
        <v>228</v>
      </c>
      <c r="D1721" s="42" t="n">
        <v>1</v>
      </c>
      <c r="E1721" s="43" t="n">
        <v>363.475408</v>
      </c>
      <c r="F1721" s="43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false" outlineLevel="0" collapsed="false">
      <c r="A1722" s="1" t="s">
        <v>53</v>
      </c>
      <c r="B1722" s="1" t="s">
        <v>145</v>
      </c>
      <c r="C1722" s="1" t="s">
        <v>228</v>
      </c>
      <c r="D1722" s="42" t="n">
        <v>1</v>
      </c>
      <c r="E1722" s="43" t="n">
        <v>1453.901632</v>
      </c>
      <c r="F1722" s="43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false" outlineLevel="0" collapsed="false">
      <c r="A1723" s="1" t="s">
        <v>51</v>
      </c>
      <c r="B1723" s="1" t="s">
        <v>145</v>
      </c>
      <c r="C1723" s="1" t="s">
        <v>228</v>
      </c>
      <c r="D1723" s="42" t="n">
        <v>1</v>
      </c>
      <c r="E1723" s="43" t="n">
        <v>590.647538</v>
      </c>
      <c r="F1723" s="43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75254.1715700606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75254.1715700606</v>
      </c>
      <c r="F4" s="11" t="n">
        <f aca="false">IFERROR(B4/B$12,0)</f>
        <v>0.0318296902709905</v>
      </c>
      <c r="G4" s="44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149043.379493243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149043.379493243</v>
      </c>
      <c r="F5" s="16" t="n">
        <f aca="false">IFERROR(B5/B$12,0)</f>
        <v>0.0630397558997112</v>
      </c>
      <c r="G5" s="45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170035.536241039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170035.536241039</v>
      </c>
      <c r="F6" s="11" t="n">
        <f aca="false">IFERROR(B6/B$12,0)</f>
        <v>0.071918650364457</v>
      </c>
      <c r="G6" s="44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43657.4667230283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43657.4667230283</v>
      </c>
      <c r="F7" s="16" t="n">
        <f aca="false">IFERROR(B7/B$12,0)</f>
        <v>0.018465469950943</v>
      </c>
      <c r="G7" s="45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80338.3616927303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80338.3616927303</v>
      </c>
      <c r="F8" s="11" t="n">
        <f aca="false">IFERROR(B8/B$12,0)</f>
        <v>0.0339801118822728</v>
      </c>
      <c r="G8" s="44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54063.5689092106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54063.5689092106</v>
      </c>
      <c r="F9" s="16" t="n">
        <f aca="false">IFERROR(B9/B$12,0)</f>
        <v>0.0228668606327353</v>
      </c>
      <c r="G9" s="45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57059.5784325219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57059.5784325219</v>
      </c>
      <c r="F10" s="11" t="n">
        <f aca="false">IFERROR(B10/B$12,0)</f>
        <v>0.0241340602202977</v>
      </c>
      <c r="G10" s="44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1734823.89844971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1734823.89844971</v>
      </c>
      <c r="F11" s="16" t="n">
        <f aca="false">IFERROR(B11/B$12,0)</f>
        <v>0.733765400778593</v>
      </c>
      <c r="G11" s="45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2364275.96151154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2364275.96151154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64869.7311820556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64869.7311820556</v>
      </c>
      <c r="F14" s="11" t="n">
        <f aca="false">IFERROR(B14/B$22,0)</f>
        <v>0.0316562817987725</v>
      </c>
      <c r="G14" s="44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131371.250839071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131371.250839071</v>
      </c>
      <c r="F15" s="16" t="n">
        <f aca="false">IFERROR(B15/B$22,0)</f>
        <v>0.0641088726751076</v>
      </c>
      <c r="G15" s="45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148834.52370791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148834.52370791</v>
      </c>
      <c r="F16" s="11" t="n">
        <f aca="false">IFERROR(B16/B$22,0)</f>
        <v>0.0726309102570634</v>
      </c>
      <c r="G16" s="44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37960.9765945629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37960.9765945629</v>
      </c>
      <c r="F17" s="16" t="n">
        <f aca="false">IFERROR(B17/B$22,0)</f>
        <v>0.0185248705449624</v>
      </c>
      <c r="G17" s="45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70565.2905838139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70565.2905838139</v>
      </c>
      <c r="F18" s="11" t="n">
        <f aca="false">IFERROR(B18/B$22,0)</f>
        <v>0.0344357018786508</v>
      </c>
      <c r="G18" s="44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47370.4611698346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47370.4611698346</v>
      </c>
      <c r="F19" s="16" t="n">
        <f aca="false">IFERROR(B19/B$22,0)</f>
        <v>0.0231166776924291</v>
      </c>
      <c r="G19" s="45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50728.8899733162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50728.8899733162</v>
      </c>
      <c r="F20" s="11" t="n">
        <f aca="false">IFERROR(B20/B$22,0)</f>
        <v>0.0247555833371242</v>
      </c>
      <c r="G20" s="44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1497488.72061941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1497488.72061941</v>
      </c>
      <c r="F21" s="16" t="n">
        <f aca="false">IFERROR(B21/B$22,0)</f>
        <v>0.73077110181589</v>
      </c>
      <c r="G21" s="45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2049189.84466997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2049189.84466997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78992.3566077386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78992.3566077386</v>
      </c>
      <c r="F24" s="11" t="n">
        <f aca="false">IFERROR(B24/B$32,0)</f>
        <v>0.0316523690902059</v>
      </c>
      <c r="G24" s="44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144972.322574529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144972.322574529</v>
      </c>
      <c r="F25" s="16" t="n">
        <f aca="false">IFERROR(B25/B$32,0)</f>
        <v>0.0580906515396177</v>
      </c>
      <c r="G25" s="45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175322.675355956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175322.675355956</v>
      </c>
      <c r="F26" s="11" t="n">
        <f aca="false">IFERROR(B26/B$32,0)</f>
        <v>0.0702520885382144</v>
      </c>
      <c r="G26" s="44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44679.0021159171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44679.0021159171</v>
      </c>
      <c r="F27" s="16" t="n">
        <f aca="false">IFERROR(B27/B$32,0)</f>
        <v>0.0179029506940492</v>
      </c>
      <c r="G27" s="45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82732.2844394778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82732.2844394778</v>
      </c>
      <c r="F28" s="11" t="n">
        <f aca="false">IFERROR(B28/B$32,0)</f>
        <v>0.0331509644123936</v>
      </c>
      <c r="G28" s="44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55933.5006457795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55933.5006457795</v>
      </c>
      <c r="F29" s="16" t="n">
        <f aca="false">IFERROR(B29/B$32,0)</f>
        <v>0.0224126470329161</v>
      </c>
      <c r="G29" s="45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59493.6300602784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59493.6300602784</v>
      </c>
      <c r="F30" s="11" t="n">
        <f aca="false">IFERROR(B30/B$32,0)</f>
        <v>0.0238391968293248</v>
      </c>
      <c r="G30" s="44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1853496.47949592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1853496.47949592</v>
      </c>
      <c r="F31" s="16" t="n">
        <f aca="false">IFERROR(B31/B$32,0)</f>
        <v>0.742699131863278</v>
      </c>
      <c r="G31" s="45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2495622.25129559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2495622.25129559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6" t="s">
        <v>248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249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250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251</v>
      </c>
      <c r="B5" s="50" t="s">
        <v>3</v>
      </c>
      <c r="C5" s="50" t="s">
        <v>252</v>
      </c>
      <c r="D5" s="50" t="s">
        <v>253</v>
      </c>
      <c r="E5" s="50" t="s">
        <v>254</v>
      </c>
      <c r="F5" s="50" t="s">
        <v>255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256</v>
      </c>
      <c r="B6" s="51" t="s">
        <v>257</v>
      </c>
      <c r="C6" s="51" t="n">
        <v>39</v>
      </c>
      <c r="D6" s="51" t="n">
        <v>33</v>
      </c>
      <c r="E6" s="51" t="n">
        <v>2</v>
      </c>
      <c r="F6" s="51" t="s">
        <v>258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259</v>
      </c>
      <c r="B7" s="51" t="s">
        <v>257</v>
      </c>
      <c r="C7" s="51" t="n">
        <v>9</v>
      </c>
      <c r="D7" s="51" t="n">
        <v>9</v>
      </c>
      <c r="E7" s="51" t="n">
        <v>0</v>
      </c>
      <c r="F7" s="51" t="s">
        <v>260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261</v>
      </c>
      <c r="B8" s="51" t="s">
        <v>257</v>
      </c>
      <c r="C8" s="51" t="n">
        <v>7</v>
      </c>
      <c r="D8" s="51" t="n">
        <v>6</v>
      </c>
      <c r="E8" s="51" t="n">
        <v>1</v>
      </c>
      <c r="F8" s="51" t="s">
        <v>260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262</v>
      </c>
      <c r="B9" s="51" t="s">
        <v>257</v>
      </c>
      <c r="C9" s="51" t="n">
        <v>11</v>
      </c>
      <c r="D9" s="51" t="n">
        <v>8</v>
      </c>
      <c r="E9" s="51" t="n">
        <v>1</v>
      </c>
      <c r="F9" s="51" t="s">
        <v>263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262</v>
      </c>
      <c r="B10" s="51" t="s">
        <v>264</v>
      </c>
      <c r="C10" s="51" t="n">
        <v>2</v>
      </c>
      <c r="D10" s="51" t="n">
        <v>1</v>
      </c>
      <c r="E10" s="51" t="n">
        <v>1</v>
      </c>
      <c r="F10" s="51" t="s">
        <v>260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265</v>
      </c>
      <c r="B11" s="51" t="s">
        <v>257</v>
      </c>
      <c r="C11" s="51" t="n">
        <v>18</v>
      </c>
      <c r="D11" s="51" t="n">
        <v>14</v>
      </c>
      <c r="E11" s="51" t="n">
        <v>2</v>
      </c>
      <c r="F11" s="51" t="s">
        <v>263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265</v>
      </c>
      <c r="B12" s="51" t="s">
        <v>266</v>
      </c>
      <c r="C12" s="51" t="n">
        <v>2</v>
      </c>
      <c r="D12" s="51" t="n">
        <v>1</v>
      </c>
      <c r="E12" s="51" t="n">
        <v>1</v>
      </c>
      <c r="F12" s="51" t="s">
        <v>260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265</v>
      </c>
      <c r="B13" s="51" t="s">
        <v>267</v>
      </c>
      <c r="C13" s="51" t="n">
        <v>5</v>
      </c>
      <c r="D13" s="51" t="n">
        <v>5</v>
      </c>
      <c r="E13" s="51" t="n">
        <v>0</v>
      </c>
      <c r="F13" s="51" t="s">
        <v>260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268</v>
      </c>
      <c r="B14" s="51" t="s">
        <v>269</v>
      </c>
      <c r="C14" s="51" t="n">
        <v>8</v>
      </c>
      <c r="D14" s="51" t="n">
        <v>7</v>
      </c>
      <c r="E14" s="51" t="n">
        <v>0</v>
      </c>
      <c r="F14" s="51" t="s">
        <v>270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268</v>
      </c>
      <c r="B15" s="51" t="s">
        <v>271</v>
      </c>
      <c r="C15" s="51" t="n">
        <v>2</v>
      </c>
      <c r="D15" s="51" t="n">
        <v>1</v>
      </c>
      <c r="E15" s="51" t="n">
        <v>0</v>
      </c>
      <c r="F15" s="51" t="s">
        <v>270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268</v>
      </c>
      <c r="B16" s="51" t="s">
        <v>272</v>
      </c>
      <c r="C16" s="51" t="n">
        <v>11</v>
      </c>
      <c r="D16" s="51" t="n">
        <v>9</v>
      </c>
      <c r="E16" s="51" t="n">
        <v>1</v>
      </c>
      <c r="F16" s="51" t="s">
        <v>273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274</v>
      </c>
      <c r="B17" s="51" t="s">
        <v>275</v>
      </c>
      <c r="C17" s="51" t="n">
        <v>1</v>
      </c>
      <c r="D17" s="51" t="n">
        <v>0</v>
      </c>
      <c r="E17" s="51" t="n">
        <v>0</v>
      </c>
      <c r="F17" s="51" t="s">
        <v>270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276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140</v>
      </c>
      <c r="D20" s="50" t="s">
        <v>277</v>
      </c>
      <c r="E20" s="50" t="s">
        <v>251</v>
      </c>
      <c r="F20" s="50" t="s">
        <v>142</v>
      </c>
      <c r="G20" s="50" t="s">
        <v>278</v>
      </c>
      <c r="H20" s="50" t="s">
        <v>279</v>
      </c>
      <c r="I20" s="50" t="s">
        <v>280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257</v>
      </c>
      <c r="C21" s="51" t="s">
        <v>281</v>
      </c>
      <c r="D21" s="51" t="s">
        <v>220</v>
      </c>
      <c r="E21" s="51" t="s">
        <v>256</v>
      </c>
      <c r="F21" s="51" t="n">
        <v>1</v>
      </c>
      <c r="G21" s="52" t="n">
        <v>59982.0585470518</v>
      </c>
      <c r="H21" s="52" t="n">
        <v>59982.0585470518</v>
      </c>
      <c r="I21" s="51" t="s">
        <v>282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257</v>
      </c>
      <c r="C22" s="51" t="s">
        <v>281</v>
      </c>
      <c r="D22" s="51" t="s">
        <v>283</v>
      </c>
      <c r="E22" s="51" t="s">
        <v>256</v>
      </c>
      <c r="F22" s="51" t="n">
        <v>1</v>
      </c>
      <c r="G22" s="52" t="n">
        <v>1236.86</v>
      </c>
      <c r="H22" s="52" t="n">
        <v>1236.86</v>
      </c>
      <c r="I22" s="51" t="s">
        <v>284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257</v>
      </c>
      <c r="C23" s="51" t="s">
        <v>281</v>
      </c>
      <c r="D23" s="51" t="s">
        <v>180</v>
      </c>
      <c r="E23" s="51" t="s">
        <v>256</v>
      </c>
      <c r="F23" s="51" t="n">
        <v>39</v>
      </c>
      <c r="G23" s="52" t="n">
        <v>28.31</v>
      </c>
      <c r="H23" s="52" t="n">
        <v>1104.09</v>
      </c>
      <c r="I23" s="51" t="s">
        <v>285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257</v>
      </c>
      <c r="C24" s="51" t="s">
        <v>281</v>
      </c>
      <c r="D24" s="51" t="s">
        <v>181</v>
      </c>
      <c r="E24" s="51" t="s">
        <v>256</v>
      </c>
      <c r="F24" s="51" t="n">
        <v>39</v>
      </c>
      <c r="G24" s="52" t="n">
        <v>47.79</v>
      </c>
      <c r="H24" s="52" t="n">
        <v>1863.81</v>
      </c>
      <c r="I24" s="51" t="s">
        <v>285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257</v>
      </c>
      <c r="C25" s="51" t="s">
        <v>44</v>
      </c>
      <c r="D25" s="51" t="s">
        <v>182</v>
      </c>
      <c r="E25" s="51" t="s">
        <v>256</v>
      </c>
      <c r="F25" s="51" t="n">
        <v>39</v>
      </c>
      <c r="G25" s="52" t="n">
        <v>64.54</v>
      </c>
      <c r="H25" s="52" t="n">
        <v>2517.06</v>
      </c>
      <c r="I25" s="51" t="s">
        <v>285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257</v>
      </c>
      <c r="C26" s="51" t="s">
        <v>44</v>
      </c>
      <c r="D26" s="51" t="s">
        <v>221</v>
      </c>
      <c r="E26" s="51" t="s">
        <v>256</v>
      </c>
      <c r="F26" s="51" t="n">
        <v>1</v>
      </c>
      <c r="G26" s="52" t="n">
        <v>142.07</v>
      </c>
      <c r="H26" s="52" t="n">
        <v>142.07</v>
      </c>
      <c r="I26" s="51" t="s">
        <v>284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257</v>
      </c>
      <c r="C27" s="51" t="s">
        <v>286</v>
      </c>
      <c r="D27" s="51" t="s">
        <v>157</v>
      </c>
      <c r="E27" s="51" t="s">
        <v>256</v>
      </c>
      <c r="F27" s="51" t="n">
        <v>39</v>
      </c>
      <c r="G27" s="52" t="n">
        <v>10.05</v>
      </c>
      <c r="H27" s="52" t="n">
        <v>391.95</v>
      </c>
      <c r="I27" s="51" t="s">
        <v>285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257</v>
      </c>
      <c r="C28" s="51" t="s">
        <v>286</v>
      </c>
      <c r="D28" s="51" t="s">
        <v>158</v>
      </c>
      <c r="E28" s="51" t="s">
        <v>256</v>
      </c>
      <c r="F28" s="51" t="n">
        <v>39</v>
      </c>
      <c r="G28" s="52" t="n">
        <v>2.07</v>
      </c>
      <c r="H28" s="52" t="n">
        <v>80.73</v>
      </c>
      <c r="I28" s="51" t="s">
        <v>285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257</v>
      </c>
      <c r="C29" s="51" t="s">
        <v>287</v>
      </c>
      <c r="D29" s="51" t="s">
        <v>183</v>
      </c>
      <c r="E29" s="51" t="s">
        <v>256</v>
      </c>
      <c r="F29" s="51" t="n">
        <v>1</v>
      </c>
      <c r="G29" s="52" t="n">
        <v>764.48</v>
      </c>
      <c r="H29" s="52" t="n">
        <v>764.48</v>
      </c>
      <c r="I29" s="51" t="s">
        <v>284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257</v>
      </c>
      <c r="C30" s="51" t="s">
        <v>287</v>
      </c>
      <c r="D30" s="51" t="s">
        <v>185</v>
      </c>
      <c r="E30" s="51" t="s">
        <v>256</v>
      </c>
      <c r="F30" s="51" t="n">
        <v>1</v>
      </c>
      <c r="G30" s="52" t="n">
        <v>1150.7</v>
      </c>
      <c r="H30" s="52" t="n">
        <v>1150.7</v>
      </c>
      <c r="I30" s="51" t="s">
        <v>284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257</v>
      </c>
      <c r="C31" s="51" t="s">
        <v>288</v>
      </c>
      <c r="D31" s="51" t="s">
        <v>179</v>
      </c>
      <c r="E31" s="51" t="s">
        <v>256</v>
      </c>
      <c r="F31" s="51" t="n">
        <v>42</v>
      </c>
      <c r="G31" s="52" t="n">
        <v>30</v>
      </c>
      <c r="H31" s="52" t="n">
        <f aca="false">F31*G31</f>
        <v>1260</v>
      </c>
      <c r="I31" s="51" t="s">
        <v>285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257</v>
      </c>
      <c r="C32" s="51" t="s">
        <v>289</v>
      </c>
      <c r="D32" s="51" t="s">
        <v>186</v>
      </c>
      <c r="E32" s="51" t="s">
        <v>256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290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257</v>
      </c>
      <c r="C33" s="51" t="s">
        <v>281</v>
      </c>
      <c r="D33" s="51" t="s">
        <v>220</v>
      </c>
      <c r="E33" s="51" t="s">
        <v>259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291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257</v>
      </c>
      <c r="C34" s="51" t="s">
        <v>281</v>
      </c>
      <c r="D34" s="51" t="s">
        <v>283</v>
      </c>
      <c r="E34" s="51" t="s">
        <v>259</v>
      </c>
      <c r="F34" s="51" t="n">
        <v>1</v>
      </c>
      <c r="G34" s="52" t="n">
        <v>285.43</v>
      </c>
      <c r="H34" s="52" t="n">
        <v>285.43</v>
      </c>
      <c r="I34" s="51" t="s">
        <v>292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257</v>
      </c>
      <c r="C35" s="51" t="s">
        <v>281</v>
      </c>
      <c r="D35" s="51" t="s">
        <v>180</v>
      </c>
      <c r="E35" s="51" t="s">
        <v>259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285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257</v>
      </c>
      <c r="C36" s="51" t="s">
        <v>281</v>
      </c>
      <c r="D36" s="51" t="s">
        <v>181</v>
      </c>
      <c r="E36" s="51" t="s">
        <v>259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285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257</v>
      </c>
      <c r="C37" s="51" t="s">
        <v>44</v>
      </c>
      <c r="D37" s="51" t="s">
        <v>182</v>
      </c>
      <c r="E37" s="51" t="s">
        <v>259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285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257</v>
      </c>
      <c r="C38" s="51" t="s">
        <v>44</v>
      </c>
      <c r="D38" s="51" t="s">
        <v>221</v>
      </c>
      <c r="E38" s="51" t="s">
        <v>259</v>
      </c>
      <c r="F38" s="51" t="n">
        <v>1</v>
      </c>
      <c r="G38" s="52" t="n">
        <v>32.79</v>
      </c>
      <c r="H38" s="52" t="n">
        <v>32.79</v>
      </c>
      <c r="I38" s="51" t="s">
        <v>292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257</v>
      </c>
      <c r="C39" s="51" t="s">
        <v>286</v>
      </c>
      <c r="D39" s="51" t="s">
        <v>157</v>
      </c>
      <c r="E39" s="51" t="s">
        <v>259</v>
      </c>
      <c r="F39" s="51" t="n">
        <v>9</v>
      </c>
      <c r="G39" s="52" t="n">
        <v>10.05</v>
      </c>
      <c r="H39" s="52" t="n">
        <f aca="false">F39*G39</f>
        <v>90.45</v>
      </c>
      <c r="I39" s="51" t="s">
        <v>285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257</v>
      </c>
      <c r="C40" s="51" t="s">
        <v>286</v>
      </c>
      <c r="D40" s="51" t="s">
        <v>158</v>
      </c>
      <c r="E40" s="51" t="s">
        <v>259</v>
      </c>
      <c r="F40" s="51" t="n">
        <v>9</v>
      </c>
      <c r="G40" s="52" t="n">
        <v>2.07</v>
      </c>
      <c r="H40" s="52" t="n">
        <f aca="false">F40*G40</f>
        <v>18.63</v>
      </c>
      <c r="I40" s="51" t="s">
        <v>285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257</v>
      </c>
      <c r="C41" s="51" t="s">
        <v>287</v>
      </c>
      <c r="D41" s="51" t="s">
        <v>183</v>
      </c>
      <c r="E41" s="51" t="s">
        <v>259</v>
      </c>
      <c r="F41" s="51" t="n">
        <v>1</v>
      </c>
      <c r="G41" s="52" t="n">
        <v>176.42</v>
      </c>
      <c r="H41" s="52" t="n">
        <v>176.42</v>
      </c>
      <c r="I41" s="51" t="s">
        <v>292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257</v>
      </c>
      <c r="C42" s="51" t="s">
        <v>287</v>
      </c>
      <c r="D42" s="51" t="s">
        <v>185</v>
      </c>
      <c r="E42" s="51" t="s">
        <v>259</v>
      </c>
      <c r="F42" s="51" t="n">
        <v>1</v>
      </c>
      <c r="G42" s="52" t="n">
        <v>265.55</v>
      </c>
      <c r="H42" s="52" t="n">
        <v>265.55</v>
      </c>
      <c r="I42" s="51" t="s">
        <v>292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257</v>
      </c>
      <c r="C43" s="51" t="s">
        <v>288</v>
      </c>
      <c r="D43" s="51" t="s">
        <v>179</v>
      </c>
      <c r="E43" s="51" t="s">
        <v>259</v>
      </c>
      <c r="F43" s="51" t="n">
        <v>9</v>
      </c>
      <c r="G43" s="52" t="n">
        <v>30</v>
      </c>
      <c r="H43" s="52" t="n">
        <f aca="false">F43*G43</f>
        <v>270</v>
      </c>
      <c r="I43" s="51" t="s">
        <v>285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257</v>
      </c>
      <c r="C44" s="51" t="s">
        <v>281</v>
      </c>
      <c r="D44" s="51" t="s">
        <v>220</v>
      </c>
      <c r="E44" s="51" t="s">
        <v>261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293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257</v>
      </c>
      <c r="C45" s="51" t="s">
        <v>281</v>
      </c>
      <c r="D45" s="51" t="s">
        <v>283</v>
      </c>
      <c r="E45" s="51" t="s">
        <v>261</v>
      </c>
      <c r="F45" s="51" t="n">
        <v>1</v>
      </c>
      <c r="G45" s="52" t="n">
        <v>222</v>
      </c>
      <c r="H45" s="52" t="n">
        <v>222</v>
      </c>
      <c r="I45" s="51" t="s">
        <v>294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257</v>
      </c>
      <c r="C46" s="51" t="s">
        <v>281</v>
      </c>
      <c r="D46" s="51" t="s">
        <v>180</v>
      </c>
      <c r="E46" s="51" t="s">
        <v>261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285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257</v>
      </c>
      <c r="C47" s="51" t="s">
        <v>281</v>
      </c>
      <c r="D47" s="51" t="s">
        <v>181</v>
      </c>
      <c r="E47" s="51" t="s">
        <v>261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285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257</v>
      </c>
      <c r="C48" s="51" t="s">
        <v>44</v>
      </c>
      <c r="D48" s="51" t="s">
        <v>182</v>
      </c>
      <c r="E48" s="51" t="s">
        <v>261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285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257</v>
      </c>
      <c r="C49" s="51" t="s">
        <v>44</v>
      </c>
      <c r="D49" s="51" t="s">
        <v>221</v>
      </c>
      <c r="E49" s="51" t="s">
        <v>261</v>
      </c>
      <c r="F49" s="51" t="n">
        <v>1</v>
      </c>
      <c r="G49" s="52" t="n">
        <v>25.5</v>
      </c>
      <c r="H49" s="52" t="n">
        <v>25.5</v>
      </c>
      <c r="I49" s="51" t="s">
        <v>294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257</v>
      </c>
      <c r="C50" s="51" t="s">
        <v>286</v>
      </c>
      <c r="D50" s="51" t="s">
        <v>157</v>
      </c>
      <c r="E50" s="51" t="s">
        <v>261</v>
      </c>
      <c r="F50" s="51" t="n">
        <v>7</v>
      </c>
      <c r="G50" s="52" t="n">
        <v>10.05</v>
      </c>
      <c r="H50" s="52" t="n">
        <f aca="false">F50*G50</f>
        <v>70.35</v>
      </c>
      <c r="I50" s="51" t="s">
        <v>285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257</v>
      </c>
      <c r="C51" s="51" t="s">
        <v>286</v>
      </c>
      <c r="D51" s="51" t="s">
        <v>158</v>
      </c>
      <c r="E51" s="51" t="s">
        <v>261</v>
      </c>
      <c r="F51" s="51" t="n">
        <v>7</v>
      </c>
      <c r="G51" s="52" t="n">
        <v>2.07</v>
      </c>
      <c r="H51" s="52" t="n">
        <f aca="false">F51*G51</f>
        <v>14.49</v>
      </c>
      <c r="I51" s="51" t="s">
        <v>285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257</v>
      </c>
      <c r="C52" s="51" t="s">
        <v>287</v>
      </c>
      <c r="D52" s="51" t="s">
        <v>183</v>
      </c>
      <c r="E52" s="51" t="s">
        <v>261</v>
      </c>
      <c r="F52" s="51" t="n">
        <v>1</v>
      </c>
      <c r="G52" s="52" t="n">
        <v>137.22</v>
      </c>
      <c r="H52" s="52" t="n">
        <v>137.22</v>
      </c>
      <c r="I52" s="51" t="s">
        <v>294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257</v>
      </c>
      <c r="C53" s="51" t="s">
        <v>287</v>
      </c>
      <c r="D53" s="51" t="s">
        <v>185</v>
      </c>
      <c r="E53" s="51" t="s">
        <v>261</v>
      </c>
      <c r="F53" s="51" t="n">
        <v>1</v>
      </c>
      <c r="G53" s="52" t="n">
        <v>206.54</v>
      </c>
      <c r="H53" s="52" t="n">
        <v>206.54</v>
      </c>
      <c r="I53" s="51" t="s">
        <v>294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257</v>
      </c>
      <c r="C54" s="51" t="s">
        <v>288</v>
      </c>
      <c r="D54" s="51" t="s">
        <v>179</v>
      </c>
      <c r="E54" s="51" t="s">
        <v>261</v>
      </c>
      <c r="F54" s="51" t="n">
        <v>7</v>
      </c>
      <c r="G54" s="52" t="n">
        <v>30</v>
      </c>
      <c r="H54" s="52" t="n">
        <f aca="false">F54*G54</f>
        <v>210</v>
      </c>
      <c r="I54" s="51" t="s">
        <v>285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257</v>
      </c>
      <c r="C55" s="51" t="s">
        <v>289</v>
      </c>
      <c r="D55" s="51" t="s">
        <v>186</v>
      </c>
      <c r="E55" s="51" t="s">
        <v>261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295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257</v>
      </c>
      <c r="C56" s="51" t="s">
        <v>281</v>
      </c>
      <c r="D56" s="51" t="s">
        <v>220</v>
      </c>
      <c r="E56" s="51" t="s">
        <v>262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296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257</v>
      </c>
      <c r="C57" s="51" t="s">
        <v>281</v>
      </c>
      <c r="D57" s="51" t="s">
        <v>283</v>
      </c>
      <c r="E57" s="51" t="s">
        <v>262</v>
      </c>
      <c r="F57" s="51" t="n">
        <v>1</v>
      </c>
      <c r="G57" s="52" t="n">
        <v>348.86</v>
      </c>
      <c r="H57" s="52" t="n">
        <v>348.86</v>
      </c>
      <c r="I57" s="51" t="s">
        <v>297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257</v>
      </c>
      <c r="C58" s="51" t="s">
        <v>281</v>
      </c>
      <c r="D58" s="51" t="s">
        <v>180</v>
      </c>
      <c r="E58" s="51" t="s">
        <v>262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285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257</v>
      </c>
      <c r="C59" s="51" t="s">
        <v>281</v>
      </c>
      <c r="D59" s="51" t="s">
        <v>181</v>
      </c>
      <c r="E59" s="51" t="s">
        <v>262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285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257</v>
      </c>
      <c r="C60" s="51" t="s">
        <v>44</v>
      </c>
      <c r="D60" s="51" t="s">
        <v>182</v>
      </c>
      <c r="E60" s="51" t="s">
        <v>262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285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257</v>
      </c>
      <c r="C61" s="51" t="s">
        <v>44</v>
      </c>
      <c r="D61" s="51" t="s">
        <v>221</v>
      </c>
      <c r="E61" s="51" t="s">
        <v>262</v>
      </c>
      <c r="F61" s="51" t="n">
        <v>1</v>
      </c>
      <c r="G61" s="52" t="n">
        <v>40.07</v>
      </c>
      <c r="H61" s="52" t="n">
        <v>40.07</v>
      </c>
      <c r="I61" s="51" t="s">
        <v>297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257</v>
      </c>
      <c r="C62" s="51" t="s">
        <v>286</v>
      </c>
      <c r="D62" s="51" t="s">
        <v>157</v>
      </c>
      <c r="E62" s="51" t="s">
        <v>262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285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257</v>
      </c>
      <c r="C63" s="51" t="s">
        <v>286</v>
      </c>
      <c r="D63" s="51" t="s">
        <v>158</v>
      </c>
      <c r="E63" s="51" t="s">
        <v>262</v>
      </c>
      <c r="F63" s="51" t="n">
        <v>11</v>
      </c>
      <c r="G63" s="52" t="n">
        <v>2.07</v>
      </c>
      <c r="H63" s="52" t="n">
        <f aca="false">F63*G63</f>
        <v>22.77</v>
      </c>
      <c r="I63" s="51" t="s">
        <v>285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257</v>
      </c>
      <c r="C64" s="51" t="s">
        <v>287</v>
      </c>
      <c r="D64" s="51" t="s">
        <v>183</v>
      </c>
      <c r="E64" s="51" t="s">
        <v>262</v>
      </c>
      <c r="F64" s="51" t="n">
        <v>1</v>
      </c>
      <c r="G64" s="52" t="n">
        <v>215.62</v>
      </c>
      <c r="H64" s="52" t="n">
        <v>215.62</v>
      </c>
      <c r="I64" s="51" t="s">
        <v>297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257</v>
      </c>
      <c r="C65" s="51" t="s">
        <v>287</v>
      </c>
      <c r="D65" s="51" t="s">
        <v>185</v>
      </c>
      <c r="E65" s="51" t="s">
        <v>262</v>
      </c>
      <c r="F65" s="51" t="n">
        <v>1</v>
      </c>
      <c r="G65" s="52" t="n">
        <v>324.56</v>
      </c>
      <c r="H65" s="52" t="n">
        <v>324.56</v>
      </c>
      <c r="I65" s="51" t="s">
        <v>297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257</v>
      </c>
      <c r="C66" s="51" t="s">
        <v>288</v>
      </c>
      <c r="D66" s="51" t="s">
        <v>179</v>
      </c>
      <c r="E66" s="51" t="s">
        <v>262</v>
      </c>
      <c r="F66" s="51" t="n">
        <v>11</v>
      </c>
      <c r="G66" s="52" t="n">
        <v>30</v>
      </c>
      <c r="H66" s="52" t="n">
        <f aca="false">F66*G66</f>
        <v>330</v>
      </c>
      <c r="I66" s="51" t="s">
        <v>285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257</v>
      </c>
      <c r="C67" s="51" t="s">
        <v>289</v>
      </c>
      <c r="D67" s="51" t="s">
        <v>186</v>
      </c>
      <c r="E67" s="51" t="s">
        <v>262</v>
      </c>
      <c r="F67" s="51" t="n">
        <v>1</v>
      </c>
      <c r="G67" s="52" t="n">
        <v>0</v>
      </c>
      <c r="H67" s="52" t="n">
        <f aca="false">F67*G67</f>
        <v>0</v>
      </c>
      <c r="I67" s="51" t="s">
        <v>298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264</v>
      </c>
      <c r="C68" s="51" t="s">
        <v>281</v>
      </c>
      <c r="D68" s="51" t="s">
        <v>220</v>
      </c>
      <c r="E68" s="51" t="s">
        <v>262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299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264</v>
      </c>
      <c r="C69" s="51" t="s">
        <v>281</v>
      </c>
      <c r="D69" s="51" t="s">
        <v>180</v>
      </c>
      <c r="E69" s="51" t="s">
        <v>262</v>
      </c>
      <c r="F69" s="51" t="n">
        <v>2</v>
      </c>
      <c r="G69" s="52" t="n">
        <v>28.31</v>
      </c>
      <c r="H69" s="52" t="n">
        <f aca="false">F69*G69</f>
        <v>56.62</v>
      </c>
      <c r="I69" s="51" t="s">
        <v>285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264</v>
      </c>
      <c r="C70" s="51" t="s">
        <v>281</v>
      </c>
      <c r="D70" s="51" t="s">
        <v>181</v>
      </c>
      <c r="E70" s="51" t="s">
        <v>262</v>
      </c>
      <c r="F70" s="51" t="n">
        <v>2</v>
      </c>
      <c r="G70" s="52" t="n">
        <v>47.79</v>
      </c>
      <c r="H70" s="52" t="n">
        <f aca="false">F70*G70</f>
        <v>95.58</v>
      </c>
      <c r="I70" s="51" t="s">
        <v>285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264</v>
      </c>
      <c r="C71" s="51" t="s">
        <v>44</v>
      </c>
      <c r="D71" s="51" t="s">
        <v>182</v>
      </c>
      <c r="E71" s="51" t="s">
        <v>262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285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264</v>
      </c>
      <c r="C72" s="51" t="s">
        <v>286</v>
      </c>
      <c r="D72" s="51" t="s">
        <v>157</v>
      </c>
      <c r="E72" s="51" t="s">
        <v>262</v>
      </c>
      <c r="F72" s="51" t="n">
        <v>2</v>
      </c>
      <c r="G72" s="52" t="n">
        <v>10.05</v>
      </c>
      <c r="H72" s="52" t="n">
        <f aca="false">F72*G72</f>
        <v>20.1</v>
      </c>
      <c r="I72" s="51" t="s">
        <v>285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264</v>
      </c>
      <c r="C73" s="51" t="s">
        <v>286</v>
      </c>
      <c r="D73" s="51" t="s">
        <v>158</v>
      </c>
      <c r="E73" s="51" t="s">
        <v>262</v>
      </c>
      <c r="F73" s="51" t="n">
        <v>2</v>
      </c>
      <c r="G73" s="52" t="n">
        <v>2.07</v>
      </c>
      <c r="H73" s="52" t="n">
        <f aca="false">F73*G73</f>
        <v>4.14</v>
      </c>
      <c r="I73" s="51" t="s">
        <v>285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264</v>
      </c>
      <c r="C74" s="51" t="s">
        <v>288</v>
      </c>
      <c r="D74" s="51" t="s">
        <v>179</v>
      </c>
      <c r="E74" s="51" t="s">
        <v>262</v>
      </c>
      <c r="F74" s="51" t="n">
        <v>2</v>
      </c>
      <c r="G74" s="52" t="n">
        <v>30</v>
      </c>
      <c r="H74" s="52" t="n">
        <f aca="false">F74*G74</f>
        <v>60</v>
      </c>
      <c r="I74" s="51" t="s">
        <v>285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264</v>
      </c>
      <c r="C75" s="51" t="s">
        <v>289</v>
      </c>
      <c r="D75" s="51" t="s">
        <v>186</v>
      </c>
      <c r="E75" s="51" t="s">
        <v>262</v>
      </c>
      <c r="F75" s="51" t="n">
        <v>1</v>
      </c>
      <c r="G75" s="52" t="n">
        <v>696.8</v>
      </c>
      <c r="H75" s="52" t="n">
        <f aca="false">F75*G75</f>
        <v>696.8</v>
      </c>
      <c r="I75" s="51" t="s">
        <v>295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257</v>
      </c>
      <c r="C76" s="51" t="s">
        <v>281</v>
      </c>
      <c r="D76" s="51" t="s">
        <v>220</v>
      </c>
      <c r="E76" s="51" t="s">
        <v>265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300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257</v>
      </c>
      <c r="C77" s="51" t="s">
        <v>281</v>
      </c>
      <c r="D77" s="51" t="s">
        <v>283</v>
      </c>
      <c r="E77" s="51" t="s">
        <v>265</v>
      </c>
      <c r="F77" s="51" t="n">
        <v>1</v>
      </c>
      <c r="G77" s="52" t="n">
        <v>570.86</v>
      </c>
      <c r="H77" s="52" t="n">
        <v>570.86</v>
      </c>
      <c r="I77" s="51" t="s">
        <v>301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257</v>
      </c>
      <c r="C78" s="51" t="s">
        <v>281</v>
      </c>
      <c r="D78" s="51" t="s">
        <v>180</v>
      </c>
      <c r="E78" s="51" t="s">
        <v>265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285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257</v>
      </c>
      <c r="C79" s="51" t="s">
        <v>281</v>
      </c>
      <c r="D79" s="51" t="s">
        <v>181</v>
      </c>
      <c r="E79" s="51" t="s">
        <v>265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285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257</v>
      </c>
      <c r="C80" s="51" t="s">
        <v>44</v>
      </c>
      <c r="D80" s="51" t="s">
        <v>182</v>
      </c>
      <c r="E80" s="51" t="s">
        <v>265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285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257</v>
      </c>
      <c r="C81" s="51" t="s">
        <v>44</v>
      </c>
      <c r="D81" s="51" t="s">
        <v>221</v>
      </c>
      <c r="E81" s="51" t="s">
        <v>265</v>
      </c>
      <c r="F81" s="51" t="n">
        <v>1</v>
      </c>
      <c r="G81" s="52" t="n">
        <v>65.57</v>
      </c>
      <c r="H81" s="52" t="n">
        <v>65.57</v>
      </c>
      <c r="I81" s="51" t="s">
        <v>301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257</v>
      </c>
      <c r="C82" s="51" t="s">
        <v>286</v>
      </c>
      <c r="D82" s="51" t="s">
        <v>157</v>
      </c>
      <c r="E82" s="51" t="s">
        <v>265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285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257</v>
      </c>
      <c r="C83" s="51" t="s">
        <v>286</v>
      </c>
      <c r="D83" s="51" t="s">
        <v>158</v>
      </c>
      <c r="E83" s="51" t="s">
        <v>265</v>
      </c>
      <c r="F83" s="51" t="n">
        <v>18</v>
      </c>
      <c r="G83" s="52" t="n">
        <v>2.07</v>
      </c>
      <c r="H83" s="52" t="n">
        <f aca="false">F83*G83</f>
        <v>37.26</v>
      </c>
      <c r="I83" s="51" t="s">
        <v>285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257</v>
      </c>
      <c r="C84" s="51" t="s">
        <v>287</v>
      </c>
      <c r="D84" s="51" t="s">
        <v>183</v>
      </c>
      <c r="E84" s="51" t="s">
        <v>265</v>
      </c>
      <c r="F84" s="51" t="n">
        <v>1</v>
      </c>
      <c r="G84" s="52" t="n">
        <v>352.84</v>
      </c>
      <c r="H84" s="52" t="n">
        <v>352.84</v>
      </c>
      <c r="I84" s="51" t="s">
        <v>301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257</v>
      </c>
      <c r="C85" s="51" t="s">
        <v>287</v>
      </c>
      <c r="D85" s="51" t="s">
        <v>185</v>
      </c>
      <c r="E85" s="51" t="s">
        <v>265</v>
      </c>
      <c r="F85" s="51" t="n">
        <v>1</v>
      </c>
      <c r="G85" s="52" t="n">
        <v>531.09</v>
      </c>
      <c r="H85" s="52" t="n">
        <v>531.09</v>
      </c>
      <c r="I85" s="51" t="s">
        <v>301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257</v>
      </c>
      <c r="C86" s="51" t="s">
        <v>288</v>
      </c>
      <c r="D86" s="51" t="s">
        <v>179</v>
      </c>
      <c r="E86" s="51" t="s">
        <v>265</v>
      </c>
      <c r="F86" s="51" t="n">
        <v>18</v>
      </c>
      <c r="G86" s="52" t="n">
        <v>30</v>
      </c>
      <c r="H86" s="52" t="n">
        <f aca="false">F86*G86</f>
        <v>540</v>
      </c>
      <c r="I86" s="51" t="s">
        <v>285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257</v>
      </c>
      <c r="C87" s="51" t="s">
        <v>289</v>
      </c>
      <c r="D87" s="51" t="s">
        <v>186</v>
      </c>
      <c r="E87" s="51" t="s">
        <v>265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302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266</v>
      </c>
      <c r="C88" s="51" t="s">
        <v>281</v>
      </c>
      <c r="D88" s="51" t="s">
        <v>220</v>
      </c>
      <c r="E88" s="51" t="s">
        <v>265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299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266</v>
      </c>
      <c r="C89" s="51" t="s">
        <v>281</v>
      </c>
      <c r="D89" s="51" t="s">
        <v>180</v>
      </c>
      <c r="E89" s="51" t="s">
        <v>265</v>
      </c>
      <c r="F89" s="51" t="n">
        <v>2</v>
      </c>
      <c r="G89" s="52" t="n">
        <v>28.31</v>
      </c>
      <c r="H89" s="52" t="n">
        <f aca="false">F89*G89</f>
        <v>56.62</v>
      </c>
      <c r="I89" s="51" t="s">
        <v>285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266</v>
      </c>
      <c r="C90" s="51" t="s">
        <v>281</v>
      </c>
      <c r="D90" s="51" t="s">
        <v>181</v>
      </c>
      <c r="E90" s="51" t="s">
        <v>265</v>
      </c>
      <c r="F90" s="51" t="n">
        <v>2</v>
      </c>
      <c r="G90" s="52" t="n">
        <v>47.79</v>
      </c>
      <c r="H90" s="52" t="n">
        <f aca="false">F90*G90</f>
        <v>95.58</v>
      </c>
      <c r="I90" s="51" t="s">
        <v>285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266</v>
      </c>
      <c r="C91" s="51" t="s">
        <v>44</v>
      </c>
      <c r="D91" s="51" t="s">
        <v>182</v>
      </c>
      <c r="E91" s="51" t="s">
        <v>265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285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266</v>
      </c>
      <c r="C92" s="51" t="s">
        <v>286</v>
      </c>
      <c r="D92" s="51" t="s">
        <v>157</v>
      </c>
      <c r="E92" s="51" t="s">
        <v>265</v>
      </c>
      <c r="F92" s="51" t="n">
        <v>2</v>
      </c>
      <c r="G92" s="52" t="n">
        <v>10.05</v>
      </c>
      <c r="H92" s="52" t="n">
        <f aca="false">F92*G92</f>
        <v>20.1</v>
      </c>
      <c r="I92" s="51" t="s">
        <v>285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266</v>
      </c>
      <c r="C93" s="51" t="s">
        <v>286</v>
      </c>
      <c r="D93" s="51" t="s">
        <v>158</v>
      </c>
      <c r="E93" s="51" t="s">
        <v>265</v>
      </c>
      <c r="F93" s="51" t="n">
        <v>2</v>
      </c>
      <c r="G93" s="52" t="n">
        <v>2.07</v>
      </c>
      <c r="H93" s="52" t="n">
        <f aca="false">F93*G93</f>
        <v>4.14</v>
      </c>
      <c r="I93" s="51" t="s">
        <v>285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266</v>
      </c>
      <c r="C94" s="51" t="s">
        <v>288</v>
      </c>
      <c r="D94" s="51" t="s">
        <v>179</v>
      </c>
      <c r="E94" s="51" t="s">
        <v>265</v>
      </c>
      <c r="F94" s="51" t="n">
        <v>2</v>
      </c>
      <c r="G94" s="52" t="n">
        <v>30</v>
      </c>
      <c r="H94" s="52" t="n">
        <f aca="false">F94*G94</f>
        <v>60</v>
      </c>
      <c r="I94" s="51" t="s">
        <v>285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266</v>
      </c>
      <c r="C95" s="51" t="s">
        <v>289</v>
      </c>
      <c r="D95" s="51" t="s">
        <v>186</v>
      </c>
      <c r="E95" s="51" t="s">
        <v>265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295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267</v>
      </c>
      <c r="C96" s="51" t="s">
        <v>281</v>
      </c>
      <c r="D96" s="51" t="s">
        <v>220</v>
      </c>
      <c r="E96" s="51" t="s">
        <v>265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303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267</v>
      </c>
      <c r="C97" s="51" t="s">
        <v>281</v>
      </c>
      <c r="D97" s="51" t="s">
        <v>180</v>
      </c>
      <c r="E97" s="51" t="s">
        <v>265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285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267</v>
      </c>
      <c r="C98" s="51" t="s">
        <v>281</v>
      </c>
      <c r="D98" s="51" t="s">
        <v>181</v>
      </c>
      <c r="E98" s="51" t="s">
        <v>265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285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267</v>
      </c>
      <c r="C99" s="51" t="s">
        <v>44</v>
      </c>
      <c r="D99" s="51" t="s">
        <v>182</v>
      </c>
      <c r="E99" s="51" t="s">
        <v>265</v>
      </c>
      <c r="F99" s="51" t="n">
        <v>5</v>
      </c>
      <c r="G99" s="52" t="n">
        <v>64.54</v>
      </c>
      <c r="H99" s="52" t="n">
        <f aca="false">F99*G99</f>
        <v>322.7</v>
      </c>
      <c r="I99" s="51" t="s">
        <v>285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267</v>
      </c>
      <c r="C100" s="51" t="s">
        <v>286</v>
      </c>
      <c r="D100" s="51" t="s">
        <v>157</v>
      </c>
      <c r="E100" s="51" t="s">
        <v>265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285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267</v>
      </c>
      <c r="C101" s="51" t="s">
        <v>286</v>
      </c>
      <c r="D101" s="51" t="s">
        <v>158</v>
      </c>
      <c r="E101" s="51" t="s">
        <v>265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285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267</v>
      </c>
      <c r="C102" s="51" t="s">
        <v>287</v>
      </c>
      <c r="D102" s="51" t="s">
        <v>185</v>
      </c>
      <c r="E102" s="51" t="s">
        <v>265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304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267</v>
      </c>
      <c r="C103" s="51" t="s">
        <v>288</v>
      </c>
      <c r="D103" s="51" t="s">
        <v>179</v>
      </c>
      <c r="E103" s="51" t="s">
        <v>265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285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267</v>
      </c>
      <c r="C104" s="51" t="s">
        <v>289</v>
      </c>
      <c r="D104" s="51" t="s">
        <v>186</v>
      </c>
      <c r="E104" s="51" t="s">
        <v>265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295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269</v>
      </c>
      <c r="C105" s="51" t="s">
        <v>281</v>
      </c>
      <c r="D105" s="51" t="s">
        <v>220</v>
      </c>
      <c r="E105" s="51" t="s">
        <v>268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305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269</v>
      </c>
      <c r="C106" s="51" t="s">
        <v>281</v>
      </c>
      <c r="D106" s="51" t="s">
        <v>180</v>
      </c>
      <c r="E106" s="51" t="s">
        <v>268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285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269</v>
      </c>
      <c r="C107" s="51" t="s">
        <v>281</v>
      </c>
      <c r="D107" s="51" t="s">
        <v>181</v>
      </c>
      <c r="E107" s="51" t="s">
        <v>268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285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269</v>
      </c>
      <c r="C108" s="51" t="s">
        <v>44</v>
      </c>
      <c r="D108" s="51" t="s">
        <v>182</v>
      </c>
      <c r="E108" s="51" t="s">
        <v>268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285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269</v>
      </c>
      <c r="C109" s="51" t="s">
        <v>44</v>
      </c>
      <c r="D109" s="51" t="s">
        <v>221</v>
      </c>
      <c r="E109" s="51" t="s">
        <v>268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306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269</v>
      </c>
      <c r="C110" s="51" t="s">
        <v>286</v>
      </c>
      <c r="D110" s="51" t="s">
        <v>157</v>
      </c>
      <c r="E110" s="51" t="s">
        <v>268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285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269</v>
      </c>
      <c r="C111" s="51" t="s">
        <v>286</v>
      </c>
      <c r="D111" s="51" t="s">
        <v>158</v>
      </c>
      <c r="E111" s="51" t="s">
        <v>268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285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269</v>
      </c>
      <c r="C112" s="51" t="s">
        <v>287</v>
      </c>
      <c r="D112" s="51" t="s">
        <v>183</v>
      </c>
      <c r="E112" s="51" t="s">
        <v>268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306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269</v>
      </c>
      <c r="C113" s="51" t="s">
        <v>287</v>
      </c>
      <c r="D113" s="51" t="s">
        <v>185</v>
      </c>
      <c r="E113" s="51" t="s">
        <v>268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306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269</v>
      </c>
      <c r="C114" s="51" t="s">
        <v>288</v>
      </c>
      <c r="D114" s="51" t="s">
        <v>179</v>
      </c>
      <c r="E114" s="51" t="s">
        <v>268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285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272</v>
      </c>
      <c r="C115" s="51" t="s">
        <v>281</v>
      </c>
      <c r="D115" s="51" t="s">
        <v>220</v>
      </c>
      <c r="E115" s="51" t="s">
        <v>268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307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272</v>
      </c>
      <c r="C116" s="51" t="s">
        <v>281</v>
      </c>
      <c r="D116" s="51" t="s">
        <v>283</v>
      </c>
      <c r="E116" s="51" t="s">
        <v>268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297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272</v>
      </c>
      <c r="C117" s="51" t="s">
        <v>281</v>
      </c>
      <c r="D117" s="51" t="s">
        <v>180</v>
      </c>
      <c r="E117" s="51" t="s">
        <v>268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285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272</v>
      </c>
      <c r="C118" s="51" t="s">
        <v>281</v>
      </c>
      <c r="D118" s="51" t="s">
        <v>181</v>
      </c>
      <c r="E118" s="51" t="s">
        <v>268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285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272</v>
      </c>
      <c r="C119" s="51" t="s">
        <v>44</v>
      </c>
      <c r="D119" s="51" t="s">
        <v>182</v>
      </c>
      <c r="E119" s="51" t="s">
        <v>268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285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272</v>
      </c>
      <c r="C120" s="51" t="s">
        <v>44</v>
      </c>
      <c r="D120" s="51" t="s">
        <v>221</v>
      </c>
      <c r="E120" s="51" t="s">
        <v>268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297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272</v>
      </c>
      <c r="C121" s="51" t="s">
        <v>286</v>
      </c>
      <c r="D121" s="51" t="s">
        <v>157</v>
      </c>
      <c r="E121" s="51" t="s">
        <v>268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285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272</v>
      </c>
      <c r="C122" s="51" t="s">
        <v>286</v>
      </c>
      <c r="D122" s="51" t="s">
        <v>158</v>
      </c>
      <c r="E122" s="51" t="s">
        <v>268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285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272</v>
      </c>
      <c r="C123" s="51" t="s">
        <v>288</v>
      </c>
      <c r="D123" s="51" t="s">
        <v>179</v>
      </c>
      <c r="E123" s="51" t="s">
        <v>268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285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272</v>
      </c>
      <c r="C124" s="51" t="s">
        <v>289</v>
      </c>
      <c r="D124" s="51" t="s">
        <v>186</v>
      </c>
      <c r="E124" s="51" t="s">
        <v>268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295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275</v>
      </c>
      <c r="C125" s="51" t="s">
        <v>281</v>
      </c>
      <c r="D125" s="51" t="s">
        <v>220</v>
      </c>
      <c r="E125" s="51" t="s">
        <v>274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308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275</v>
      </c>
      <c r="C126" s="51" t="s">
        <v>281</v>
      </c>
      <c r="D126" s="51" t="s">
        <v>180</v>
      </c>
      <c r="E126" s="51" t="s">
        <v>274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285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275</v>
      </c>
      <c r="C127" s="51" t="s">
        <v>281</v>
      </c>
      <c r="D127" s="51" t="s">
        <v>181</v>
      </c>
      <c r="E127" s="51" t="s">
        <v>274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285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275</v>
      </c>
      <c r="C128" s="51" t="s">
        <v>44</v>
      </c>
      <c r="D128" s="51" t="s">
        <v>182</v>
      </c>
      <c r="E128" s="51" t="s">
        <v>274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285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275</v>
      </c>
      <c r="C129" s="51" t="s">
        <v>286</v>
      </c>
      <c r="D129" s="51" t="s">
        <v>157</v>
      </c>
      <c r="E129" s="51" t="s">
        <v>274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285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275</v>
      </c>
      <c r="C130" s="51" t="s">
        <v>286</v>
      </c>
      <c r="D130" s="51" t="s">
        <v>158</v>
      </c>
      <c r="E130" s="51" t="s">
        <v>274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285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275</v>
      </c>
      <c r="C131" s="51" t="s">
        <v>288</v>
      </c>
      <c r="D131" s="51" t="s">
        <v>179</v>
      </c>
      <c r="E131" s="51" t="s">
        <v>274</v>
      </c>
      <c r="F131" s="51" t="n">
        <v>1</v>
      </c>
      <c r="G131" s="52" t="n">
        <v>30</v>
      </c>
      <c r="H131" s="52" t="n">
        <f aca="false">F131*G131</f>
        <v>30</v>
      </c>
      <c r="I131" s="51" t="s">
        <v>285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257</v>
      </c>
      <c r="C132" s="51" t="s">
        <v>281</v>
      </c>
      <c r="D132" s="51" t="s">
        <v>220</v>
      </c>
      <c r="E132" s="51" t="s">
        <v>256</v>
      </c>
      <c r="F132" s="51" t="n">
        <v>1</v>
      </c>
      <c r="G132" s="52" t="n">
        <v>70601.0801777777</v>
      </c>
      <c r="H132" s="52" t="n">
        <v>70601.0801777777</v>
      </c>
      <c r="I132" s="51" t="s">
        <v>309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257</v>
      </c>
      <c r="C133" s="51" t="s">
        <v>281</v>
      </c>
      <c r="D133" s="51" t="s">
        <v>283</v>
      </c>
      <c r="E133" s="51" t="s">
        <v>256</v>
      </c>
      <c r="F133" s="51" t="n">
        <v>1</v>
      </c>
      <c r="G133" s="52" t="n">
        <v>2724.43</v>
      </c>
      <c r="H133" s="52" t="n">
        <v>2724.43</v>
      </c>
      <c r="I133" s="51" t="s">
        <v>284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257</v>
      </c>
      <c r="C134" s="51" t="s">
        <v>281</v>
      </c>
      <c r="D134" s="51" t="s">
        <v>180</v>
      </c>
      <c r="E134" s="51" t="s">
        <v>256</v>
      </c>
      <c r="F134" s="51" t="n">
        <v>39</v>
      </c>
      <c r="G134" s="52" t="n">
        <v>28.31</v>
      </c>
      <c r="H134" s="52" t="n">
        <v>1104.09</v>
      </c>
      <c r="I134" s="51" t="s">
        <v>285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257</v>
      </c>
      <c r="C135" s="51" t="s">
        <v>281</v>
      </c>
      <c r="D135" s="51" t="s">
        <v>181</v>
      </c>
      <c r="E135" s="51" t="s">
        <v>256</v>
      </c>
      <c r="F135" s="51" t="n">
        <v>39</v>
      </c>
      <c r="G135" s="52" t="n">
        <v>47.79</v>
      </c>
      <c r="H135" s="52" t="n">
        <v>1863.81</v>
      </c>
      <c r="I135" s="51" t="s">
        <v>285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257</v>
      </c>
      <c r="C136" s="51" t="s">
        <v>44</v>
      </c>
      <c r="D136" s="51" t="s">
        <v>221</v>
      </c>
      <c r="E136" s="51" t="s">
        <v>256</v>
      </c>
      <c r="F136" s="51" t="n">
        <v>1</v>
      </c>
      <c r="G136" s="52" t="n">
        <v>373.29</v>
      </c>
      <c r="H136" s="52" t="n">
        <v>373.29</v>
      </c>
      <c r="I136" s="51" t="s">
        <v>284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257</v>
      </c>
      <c r="C137" s="51" t="s">
        <v>44</v>
      </c>
      <c r="D137" s="51" t="s">
        <v>182</v>
      </c>
      <c r="E137" s="51" t="s">
        <v>256</v>
      </c>
      <c r="F137" s="51" t="n">
        <v>39</v>
      </c>
      <c r="G137" s="52" t="n">
        <v>64.57</v>
      </c>
      <c r="H137" s="52" t="n">
        <v>2518.23</v>
      </c>
      <c r="I137" s="51" t="s">
        <v>285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257</v>
      </c>
      <c r="C138" s="51" t="s">
        <v>286</v>
      </c>
      <c r="D138" s="51" t="s">
        <v>157</v>
      </c>
      <c r="E138" s="51" t="s">
        <v>256</v>
      </c>
      <c r="F138" s="51" t="n">
        <v>39</v>
      </c>
      <c r="G138" s="52" t="n">
        <v>10.05</v>
      </c>
      <c r="H138" s="52" t="n">
        <v>391.95</v>
      </c>
      <c r="I138" s="51" t="s">
        <v>285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257</v>
      </c>
      <c r="C139" s="51" t="s">
        <v>286</v>
      </c>
      <c r="D139" s="51" t="s">
        <v>158</v>
      </c>
      <c r="E139" s="51" t="s">
        <v>256</v>
      </c>
      <c r="F139" s="51" t="n">
        <v>39</v>
      </c>
      <c r="G139" s="52" t="n">
        <v>2.07</v>
      </c>
      <c r="H139" s="52" t="n">
        <v>80.73</v>
      </c>
      <c r="I139" s="51" t="s">
        <v>285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257</v>
      </c>
      <c r="C140" s="51" t="s">
        <v>287</v>
      </c>
      <c r="D140" s="51" t="s">
        <v>183</v>
      </c>
      <c r="E140" s="51" t="s">
        <v>256</v>
      </c>
      <c r="F140" s="51" t="n">
        <v>1</v>
      </c>
      <c r="G140" s="52" t="n">
        <v>71.78</v>
      </c>
      <c r="H140" s="52" t="n">
        <v>71.78</v>
      </c>
      <c r="I140" s="51" t="s">
        <v>284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257</v>
      </c>
      <c r="C141" s="51" t="s">
        <v>287</v>
      </c>
      <c r="D141" s="51" t="s">
        <v>184</v>
      </c>
      <c r="E141" s="51" t="s">
        <v>256</v>
      </c>
      <c r="F141" s="51" t="n">
        <v>1</v>
      </c>
      <c r="G141" s="52" t="n">
        <v>-105.55</v>
      </c>
      <c r="H141" s="52" t="n">
        <v>-105.55</v>
      </c>
      <c r="I141" s="51" t="s">
        <v>284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257</v>
      </c>
      <c r="C142" s="51" t="s">
        <v>287</v>
      </c>
      <c r="D142" s="51" t="s">
        <v>185</v>
      </c>
      <c r="E142" s="51" t="s">
        <v>256</v>
      </c>
      <c r="F142" s="51" t="n">
        <v>1</v>
      </c>
      <c r="G142" s="52" t="n">
        <v>111.85</v>
      </c>
      <c r="H142" s="52" t="n">
        <v>111.85</v>
      </c>
      <c r="I142" s="51" t="s">
        <v>284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257</v>
      </c>
      <c r="C143" s="51" t="s">
        <v>288</v>
      </c>
      <c r="D143" s="51" t="s">
        <v>179</v>
      </c>
      <c r="E143" s="51" t="s">
        <v>256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285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257</v>
      </c>
      <c r="C144" s="51" t="s">
        <v>310</v>
      </c>
      <c r="D144" s="51" t="s">
        <v>311</v>
      </c>
      <c r="E144" s="51" t="s">
        <v>256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312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257</v>
      </c>
      <c r="C145" s="51" t="s">
        <v>289</v>
      </c>
      <c r="D145" s="51" t="s">
        <v>186</v>
      </c>
      <c r="E145" s="51" t="s">
        <v>256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313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257</v>
      </c>
      <c r="C146" s="51" t="s">
        <v>281</v>
      </c>
      <c r="D146" s="51" t="s">
        <v>220</v>
      </c>
      <c r="E146" s="51" t="s">
        <v>259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291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257</v>
      </c>
      <c r="C147" s="51" t="s">
        <v>281</v>
      </c>
      <c r="D147" s="51" t="s">
        <v>283</v>
      </c>
      <c r="E147" s="51" t="s">
        <v>259</v>
      </c>
      <c r="F147" s="51" t="n">
        <v>1</v>
      </c>
      <c r="G147" s="52" t="n">
        <v>628.71</v>
      </c>
      <c r="H147" s="52" t="n">
        <v>628.71</v>
      </c>
      <c r="I147" s="51" t="s">
        <v>292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257</v>
      </c>
      <c r="C148" s="51" t="s">
        <v>281</v>
      </c>
      <c r="D148" s="51" t="s">
        <v>180</v>
      </c>
      <c r="E148" s="51" t="s">
        <v>259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285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257</v>
      </c>
      <c r="C149" s="51" t="s">
        <v>281</v>
      </c>
      <c r="D149" s="51" t="s">
        <v>181</v>
      </c>
      <c r="E149" s="51" t="s">
        <v>259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285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257</v>
      </c>
      <c r="C150" s="51" t="s">
        <v>44</v>
      </c>
      <c r="D150" s="51" t="s">
        <v>221</v>
      </c>
      <c r="E150" s="51" t="s">
        <v>259</v>
      </c>
      <c r="F150" s="51" t="n">
        <v>1</v>
      </c>
      <c r="G150" s="52" t="n">
        <v>86.14</v>
      </c>
      <c r="H150" s="52" t="n">
        <v>86.14</v>
      </c>
      <c r="I150" s="51" t="s">
        <v>292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257</v>
      </c>
      <c r="C151" s="51" t="s">
        <v>44</v>
      </c>
      <c r="D151" s="51" t="s">
        <v>182</v>
      </c>
      <c r="E151" s="51" t="s">
        <v>259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285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257</v>
      </c>
      <c r="C152" s="51" t="s">
        <v>286</v>
      </c>
      <c r="D152" s="51" t="s">
        <v>157</v>
      </c>
      <c r="E152" s="51" t="s">
        <v>259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285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257</v>
      </c>
      <c r="C153" s="51" t="s">
        <v>286</v>
      </c>
      <c r="D153" s="51" t="s">
        <v>158</v>
      </c>
      <c r="E153" s="51" t="s">
        <v>259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285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257</v>
      </c>
      <c r="C154" s="51" t="s">
        <v>287</v>
      </c>
      <c r="D154" s="51" t="s">
        <v>183</v>
      </c>
      <c r="E154" s="51" t="s">
        <v>259</v>
      </c>
      <c r="F154" s="51" t="n">
        <v>1</v>
      </c>
      <c r="G154" s="52" t="n">
        <v>16.56</v>
      </c>
      <c r="H154" s="52" t="n">
        <v>16.56</v>
      </c>
      <c r="I154" s="51" t="s">
        <v>292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257</v>
      </c>
      <c r="C155" s="51" t="s">
        <v>287</v>
      </c>
      <c r="D155" s="51" t="s">
        <v>184</v>
      </c>
      <c r="E155" s="51" t="s">
        <v>259</v>
      </c>
      <c r="F155" s="51" t="n">
        <v>1</v>
      </c>
      <c r="G155" s="52" t="n">
        <v>-24.36</v>
      </c>
      <c r="H155" s="52" t="n">
        <v>-24.36</v>
      </c>
      <c r="I155" s="51" t="s">
        <v>292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257</v>
      </c>
      <c r="C156" s="51" t="s">
        <v>287</v>
      </c>
      <c r="D156" s="51" t="s">
        <v>185</v>
      </c>
      <c r="E156" s="51" t="s">
        <v>259</v>
      </c>
      <c r="F156" s="51" t="n">
        <v>1</v>
      </c>
      <c r="G156" s="52" t="n">
        <v>25.81</v>
      </c>
      <c r="H156" s="52" t="n">
        <v>25.81</v>
      </c>
      <c r="I156" s="51" t="s">
        <v>292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257</v>
      </c>
      <c r="C157" s="51" t="s">
        <v>288</v>
      </c>
      <c r="D157" s="51" t="s">
        <v>179</v>
      </c>
      <c r="E157" s="51" t="s">
        <v>259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285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257</v>
      </c>
      <c r="C158" s="51" t="s">
        <v>281</v>
      </c>
      <c r="D158" s="51" t="s">
        <v>220</v>
      </c>
      <c r="E158" s="51" t="s">
        <v>261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293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257</v>
      </c>
      <c r="C159" s="51" t="s">
        <v>281</v>
      </c>
      <c r="D159" s="51" t="s">
        <v>314</v>
      </c>
      <c r="E159" s="51" t="s">
        <v>261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315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257</v>
      </c>
      <c r="C160" s="51" t="s">
        <v>281</v>
      </c>
      <c r="D160" s="51" t="s">
        <v>283</v>
      </c>
      <c r="E160" s="51" t="s">
        <v>261</v>
      </c>
      <c r="F160" s="51" t="n">
        <v>1</v>
      </c>
      <c r="G160" s="52" t="n">
        <v>489</v>
      </c>
      <c r="H160" s="52" t="n">
        <v>489</v>
      </c>
      <c r="I160" s="51" t="s">
        <v>294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257</v>
      </c>
      <c r="C161" s="51" t="s">
        <v>281</v>
      </c>
      <c r="D161" s="51" t="s">
        <v>180</v>
      </c>
      <c r="E161" s="51" t="s">
        <v>261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285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257</v>
      </c>
      <c r="C162" s="51" t="s">
        <v>281</v>
      </c>
      <c r="D162" s="51" t="s">
        <v>181</v>
      </c>
      <c r="E162" s="51" t="s">
        <v>261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285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257</v>
      </c>
      <c r="C163" s="51" t="s">
        <v>44</v>
      </c>
      <c r="D163" s="51" t="s">
        <v>221</v>
      </c>
      <c r="E163" s="51" t="s">
        <v>261</v>
      </c>
      <c r="F163" s="51" t="n">
        <v>1</v>
      </c>
      <c r="G163" s="52" t="n">
        <v>67</v>
      </c>
      <c r="H163" s="52" t="n">
        <v>67</v>
      </c>
      <c r="I163" s="51" t="s">
        <v>294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257</v>
      </c>
      <c r="C164" s="51" t="s">
        <v>44</v>
      </c>
      <c r="D164" s="51" t="s">
        <v>182</v>
      </c>
      <c r="E164" s="51" t="s">
        <v>261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285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257</v>
      </c>
      <c r="C165" s="51" t="s">
        <v>286</v>
      </c>
      <c r="D165" s="51" t="s">
        <v>157</v>
      </c>
      <c r="E165" s="51" t="s">
        <v>261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285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257</v>
      </c>
      <c r="C166" s="51" t="s">
        <v>286</v>
      </c>
      <c r="D166" s="51" t="s">
        <v>158</v>
      </c>
      <c r="E166" s="51" t="s">
        <v>261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285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257</v>
      </c>
      <c r="C167" s="51" t="s">
        <v>287</v>
      </c>
      <c r="D167" s="51" t="s">
        <v>183</v>
      </c>
      <c r="E167" s="51" t="s">
        <v>261</v>
      </c>
      <c r="F167" s="51" t="n">
        <v>1</v>
      </c>
      <c r="G167" s="52" t="n">
        <v>12.88</v>
      </c>
      <c r="H167" s="52" t="n">
        <v>12.88</v>
      </c>
      <c r="I167" s="51" t="s">
        <v>294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257</v>
      </c>
      <c r="C168" s="51" t="s">
        <v>287</v>
      </c>
      <c r="D168" s="51" t="s">
        <v>184</v>
      </c>
      <c r="E168" s="51" t="s">
        <v>261</v>
      </c>
      <c r="F168" s="51" t="n">
        <v>1</v>
      </c>
      <c r="G168" s="52" t="n">
        <v>-18.95</v>
      </c>
      <c r="H168" s="52" t="n">
        <v>-18.95</v>
      </c>
      <c r="I168" s="51" t="s">
        <v>294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257</v>
      </c>
      <c r="C169" s="51" t="s">
        <v>287</v>
      </c>
      <c r="D169" s="51" t="s">
        <v>185</v>
      </c>
      <c r="E169" s="51" t="s">
        <v>261</v>
      </c>
      <c r="F169" s="51" t="n">
        <v>1</v>
      </c>
      <c r="G169" s="52" t="n">
        <v>20.07</v>
      </c>
      <c r="H169" s="52" t="n">
        <v>20.07</v>
      </c>
      <c r="I169" s="51" t="s">
        <v>294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257</v>
      </c>
      <c r="C170" s="51" t="s">
        <v>288</v>
      </c>
      <c r="D170" s="51" t="s">
        <v>179</v>
      </c>
      <c r="E170" s="51" t="s">
        <v>261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285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257</v>
      </c>
      <c r="C171" s="51" t="s">
        <v>310</v>
      </c>
      <c r="D171" s="51" t="s">
        <v>311</v>
      </c>
      <c r="E171" s="51" t="s">
        <v>261</v>
      </c>
      <c r="F171" s="51" t="n">
        <v>1</v>
      </c>
      <c r="G171" s="52" t="n">
        <v>50</v>
      </c>
      <c r="H171" s="52" t="n">
        <f aca="false">F171*G171</f>
        <v>50</v>
      </c>
      <c r="I171" s="51" t="s">
        <v>312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257</v>
      </c>
      <c r="C172" s="51" t="s">
        <v>289</v>
      </c>
      <c r="D172" s="51" t="s">
        <v>186</v>
      </c>
      <c r="E172" s="51" t="s">
        <v>261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295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257</v>
      </c>
      <c r="C173" s="51" t="s">
        <v>281</v>
      </c>
      <c r="D173" s="51" t="s">
        <v>220</v>
      </c>
      <c r="E173" s="51" t="s">
        <v>262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316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257</v>
      </c>
      <c r="C174" s="51" t="s">
        <v>281</v>
      </c>
      <c r="D174" s="51" t="s">
        <v>283</v>
      </c>
      <c r="E174" s="51" t="s">
        <v>262</v>
      </c>
      <c r="F174" s="51" t="n">
        <v>1</v>
      </c>
      <c r="G174" s="52" t="n">
        <v>768.43</v>
      </c>
      <c r="H174" s="52" t="n">
        <v>768.43</v>
      </c>
      <c r="I174" s="51" t="s">
        <v>297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257</v>
      </c>
      <c r="C175" s="51" t="s">
        <v>281</v>
      </c>
      <c r="D175" s="51" t="s">
        <v>180</v>
      </c>
      <c r="E175" s="51" t="s">
        <v>262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285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257</v>
      </c>
      <c r="C176" s="51" t="s">
        <v>281</v>
      </c>
      <c r="D176" s="51" t="s">
        <v>181</v>
      </c>
      <c r="E176" s="51" t="s">
        <v>262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285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257</v>
      </c>
      <c r="C177" s="51" t="s">
        <v>44</v>
      </c>
      <c r="D177" s="51" t="s">
        <v>221</v>
      </c>
      <c r="E177" s="51" t="s">
        <v>262</v>
      </c>
      <c r="F177" s="51" t="n">
        <v>1</v>
      </c>
      <c r="G177" s="52" t="n">
        <v>105.29</v>
      </c>
      <c r="H177" s="52" t="n">
        <v>105.29</v>
      </c>
      <c r="I177" s="51" t="s">
        <v>297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257</v>
      </c>
      <c r="C178" s="51" t="s">
        <v>44</v>
      </c>
      <c r="D178" s="51" t="s">
        <v>182</v>
      </c>
      <c r="E178" s="51" t="s">
        <v>262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285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257</v>
      </c>
      <c r="C179" s="51" t="s">
        <v>286</v>
      </c>
      <c r="D179" s="51" t="s">
        <v>157</v>
      </c>
      <c r="E179" s="51" t="s">
        <v>262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285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257</v>
      </c>
      <c r="C180" s="51" t="s">
        <v>286</v>
      </c>
      <c r="D180" s="51" t="s">
        <v>158</v>
      </c>
      <c r="E180" s="51" t="s">
        <v>262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285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257</v>
      </c>
      <c r="C181" s="51" t="s">
        <v>287</v>
      </c>
      <c r="D181" s="51" t="s">
        <v>183</v>
      </c>
      <c r="E181" s="51" t="s">
        <v>262</v>
      </c>
      <c r="F181" s="51" t="n">
        <v>1</v>
      </c>
      <c r="G181" s="52" t="n">
        <v>20.25</v>
      </c>
      <c r="H181" s="52" t="n">
        <v>20.25</v>
      </c>
      <c r="I181" s="51" t="s">
        <v>297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257</v>
      </c>
      <c r="C182" s="51" t="s">
        <v>287</v>
      </c>
      <c r="D182" s="51" t="s">
        <v>184</v>
      </c>
      <c r="E182" s="51" t="s">
        <v>262</v>
      </c>
      <c r="F182" s="51" t="n">
        <v>1</v>
      </c>
      <c r="G182" s="52" t="n">
        <v>-29.77</v>
      </c>
      <c r="H182" s="52" t="n">
        <v>-29.77</v>
      </c>
      <c r="I182" s="51" t="s">
        <v>297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257</v>
      </c>
      <c r="C183" s="51" t="s">
        <v>287</v>
      </c>
      <c r="D183" s="51" t="s">
        <v>185</v>
      </c>
      <c r="E183" s="51" t="s">
        <v>262</v>
      </c>
      <c r="F183" s="51" t="n">
        <v>1</v>
      </c>
      <c r="G183" s="52" t="n">
        <v>31.55</v>
      </c>
      <c r="H183" s="52" t="n">
        <v>31.55</v>
      </c>
      <c r="I183" s="51" t="s">
        <v>297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257</v>
      </c>
      <c r="C184" s="51" t="s">
        <v>288</v>
      </c>
      <c r="D184" s="51" t="s">
        <v>179</v>
      </c>
      <c r="E184" s="51" t="s">
        <v>262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285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257</v>
      </c>
      <c r="C185" s="51" t="s">
        <v>310</v>
      </c>
      <c r="D185" s="51" t="s">
        <v>311</v>
      </c>
      <c r="E185" s="51" t="s">
        <v>262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312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257</v>
      </c>
      <c r="C186" s="51" t="s">
        <v>289</v>
      </c>
      <c r="D186" s="51" t="s">
        <v>186</v>
      </c>
      <c r="E186" s="51" t="s">
        <v>262</v>
      </c>
      <c r="F186" s="51" t="n">
        <v>1</v>
      </c>
      <c r="G186" s="52" t="n">
        <v>0</v>
      </c>
      <c r="H186" s="52" t="n">
        <f aca="false">F186*G186</f>
        <v>0</v>
      </c>
      <c r="I186" s="51" t="s">
        <v>317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264</v>
      </c>
      <c r="C187" s="51" t="s">
        <v>281</v>
      </c>
      <c r="D187" s="51" t="s">
        <v>220</v>
      </c>
      <c r="E187" s="51" t="s">
        <v>262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299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264</v>
      </c>
      <c r="C188" s="51" t="s">
        <v>281</v>
      </c>
      <c r="D188" s="51" t="s">
        <v>314</v>
      </c>
      <c r="E188" s="51" t="s">
        <v>262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315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264</v>
      </c>
      <c r="C189" s="51" t="s">
        <v>281</v>
      </c>
      <c r="D189" s="51" t="s">
        <v>180</v>
      </c>
      <c r="E189" s="51" t="s">
        <v>262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285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264</v>
      </c>
      <c r="C190" s="51" t="s">
        <v>281</v>
      </c>
      <c r="D190" s="51" t="s">
        <v>181</v>
      </c>
      <c r="E190" s="51" t="s">
        <v>262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285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264</v>
      </c>
      <c r="C191" s="51" t="s">
        <v>44</v>
      </c>
      <c r="D191" s="51" t="s">
        <v>182</v>
      </c>
      <c r="E191" s="51" t="s">
        <v>262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285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264</v>
      </c>
      <c r="C192" s="51" t="s">
        <v>286</v>
      </c>
      <c r="D192" s="51" t="s">
        <v>157</v>
      </c>
      <c r="E192" s="51" t="s">
        <v>262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285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264</v>
      </c>
      <c r="C193" s="51" t="s">
        <v>286</v>
      </c>
      <c r="D193" s="51" t="s">
        <v>158</v>
      </c>
      <c r="E193" s="51" t="s">
        <v>262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285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264</v>
      </c>
      <c r="C194" s="51" t="s">
        <v>287</v>
      </c>
      <c r="D194" s="51" t="s">
        <v>318</v>
      </c>
      <c r="E194" s="51" t="s">
        <v>262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319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264</v>
      </c>
      <c r="C195" s="51" t="s">
        <v>288</v>
      </c>
      <c r="D195" s="51" t="s">
        <v>179</v>
      </c>
      <c r="E195" s="51" t="s">
        <v>262</v>
      </c>
      <c r="F195" s="51" t="n">
        <v>2</v>
      </c>
      <c r="G195" s="52" t="n">
        <v>30</v>
      </c>
      <c r="H195" s="52" t="n">
        <f aca="false">F195*G195</f>
        <v>60</v>
      </c>
      <c r="I195" s="51" t="s">
        <v>285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264</v>
      </c>
      <c r="C196" s="51" t="s">
        <v>310</v>
      </c>
      <c r="D196" s="51" t="s">
        <v>320</v>
      </c>
      <c r="E196" s="51" t="s">
        <v>262</v>
      </c>
      <c r="F196" s="51" t="n">
        <v>1</v>
      </c>
      <c r="G196" s="52" t="n">
        <v>50</v>
      </c>
      <c r="H196" s="52" t="n">
        <f aca="false">F196*G196</f>
        <v>50</v>
      </c>
      <c r="I196" s="51" t="s">
        <v>312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264</v>
      </c>
      <c r="C197" s="51" t="s">
        <v>289</v>
      </c>
      <c r="D197" s="51" t="s">
        <v>186</v>
      </c>
      <c r="E197" s="51" t="s">
        <v>262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295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257</v>
      </c>
      <c r="C198" s="51" t="s">
        <v>281</v>
      </c>
      <c r="D198" s="51" t="s">
        <v>220</v>
      </c>
      <c r="E198" s="51" t="s">
        <v>265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321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257</v>
      </c>
      <c r="C199" s="51" t="s">
        <v>281</v>
      </c>
      <c r="D199" s="51" t="s">
        <v>314</v>
      </c>
      <c r="E199" s="51" t="s">
        <v>265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315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257</v>
      </c>
      <c r="C200" s="51" t="s">
        <v>281</v>
      </c>
      <c r="D200" s="51" t="s">
        <v>283</v>
      </c>
      <c r="E200" s="51" t="s">
        <v>265</v>
      </c>
      <c r="F200" s="51" t="n">
        <v>1</v>
      </c>
      <c r="G200" s="52" t="n">
        <v>1257.43</v>
      </c>
      <c r="H200" s="52" t="n">
        <v>1257.43</v>
      </c>
      <c r="I200" s="51" t="s">
        <v>301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257</v>
      </c>
      <c r="C201" s="51" t="s">
        <v>281</v>
      </c>
      <c r="D201" s="51" t="s">
        <v>180</v>
      </c>
      <c r="E201" s="51" t="s">
        <v>265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285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257</v>
      </c>
      <c r="C202" s="51" t="s">
        <v>281</v>
      </c>
      <c r="D202" s="51" t="s">
        <v>181</v>
      </c>
      <c r="E202" s="51" t="s">
        <v>265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285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257</v>
      </c>
      <c r="C203" s="51" t="s">
        <v>44</v>
      </c>
      <c r="D203" s="51" t="s">
        <v>221</v>
      </c>
      <c r="E203" s="51" t="s">
        <v>265</v>
      </c>
      <c r="F203" s="51" t="n">
        <v>1</v>
      </c>
      <c r="G203" s="52" t="n">
        <v>172.29</v>
      </c>
      <c r="H203" s="52" t="n">
        <v>172.29</v>
      </c>
      <c r="I203" s="51" t="s">
        <v>301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257</v>
      </c>
      <c r="C204" s="51" t="s">
        <v>44</v>
      </c>
      <c r="D204" s="51" t="s">
        <v>182</v>
      </c>
      <c r="E204" s="51" t="s">
        <v>265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285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257</v>
      </c>
      <c r="C205" s="51" t="s">
        <v>286</v>
      </c>
      <c r="D205" s="51" t="s">
        <v>157</v>
      </c>
      <c r="E205" s="51" t="s">
        <v>265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285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257</v>
      </c>
      <c r="C206" s="51" t="s">
        <v>286</v>
      </c>
      <c r="D206" s="51" t="s">
        <v>158</v>
      </c>
      <c r="E206" s="51" t="s">
        <v>265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285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257</v>
      </c>
      <c r="C207" s="51" t="s">
        <v>287</v>
      </c>
      <c r="D207" s="51" t="s">
        <v>183</v>
      </c>
      <c r="E207" s="51" t="s">
        <v>265</v>
      </c>
      <c r="F207" s="51" t="n">
        <v>1</v>
      </c>
      <c r="G207" s="52" t="n">
        <v>33.13</v>
      </c>
      <c r="H207" s="52" t="n">
        <v>33.13</v>
      </c>
      <c r="I207" s="51" t="s">
        <v>301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257</v>
      </c>
      <c r="C208" s="51" t="s">
        <v>287</v>
      </c>
      <c r="D208" s="51" t="s">
        <v>184</v>
      </c>
      <c r="E208" s="51" t="s">
        <v>265</v>
      </c>
      <c r="F208" s="51" t="n">
        <v>1</v>
      </c>
      <c r="G208" s="52" t="n">
        <v>-48.72</v>
      </c>
      <c r="H208" s="52" t="n">
        <v>-48.72</v>
      </c>
      <c r="I208" s="51" t="s">
        <v>301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257</v>
      </c>
      <c r="C209" s="51" t="s">
        <v>287</v>
      </c>
      <c r="D209" s="51" t="s">
        <v>185</v>
      </c>
      <c r="E209" s="51" t="s">
        <v>265</v>
      </c>
      <c r="F209" s="51" t="n">
        <v>1</v>
      </c>
      <c r="G209" s="52" t="n">
        <v>51.62</v>
      </c>
      <c r="H209" s="52" t="n">
        <v>51.62</v>
      </c>
      <c r="I209" s="51" t="s">
        <v>301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257</v>
      </c>
      <c r="C210" s="51" t="s">
        <v>288</v>
      </c>
      <c r="D210" s="51" t="s">
        <v>179</v>
      </c>
      <c r="E210" s="51" t="s">
        <v>265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285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257</v>
      </c>
      <c r="C211" s="51" t="s">
        <v>310</v>
      </c>
      <c r="D211" s="51" t="s">
        <v>311</v>
      </c>
      <c r="E211" s="51" t="s">
        <v>265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312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257</v>
      </c>
      <c r="C212" s="51" t="s">
        <v>289</v>
      </c>
      <c r="D212" s="51" t="s">
        <v>186</v>
      </c>
      <c r="E212" s="51" t="s">
        <v>265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322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266</v>
      </c>
      <c r="C213" s="51" t="s">
        <v>281</v>
      </c>
      <c r="D213" s="51" t="s">
        <v>220</v>
      </c>
      <c r="E213" s="51" t="s">
        <v>265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299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266</v>
      </c>
      <c r="C214" s="51" t="s">
        <v>281</v>
      </c>
      <c r="D214" s="51" t="s">
        <v>314</v>
      </c>
      <c r="E214" s="51" t="s">
        <v>265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315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266</v>
      </c>
      <c r="C215" s="51" t="s">
        <v>281</v>
      </c>
      <c r="D215" s="51" t="s">
        <v>180</v>
      </c>
      <c r="E215" s="51" t="s">
        <v>265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285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266</v>
      </c>
      <c r="C216" s="51" t="s">
        <v>281</v>
      </c>
      <c r="D216" s="51" t="s">
        <v>181</v>
      </c>
      <c r="E216" s="51" t="s">
        <v>265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285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266</v>
      </c>
      <c r="C217" s="51" t="s">
        <v>44</v>
      </c>
      <c r="D217" s="51" t="s">
        <v>182</v>
      </c>
      <c r="E217" s="51" t="s">
        <v>265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285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266</v>
      </c>
      <c r="C218" s="51" t="s">
        <v>286</v>
      </c>
      <c r="D218" s="51" t="s">
        <v>157</v>
      </c>
      <c r="E218" s="51" t="s">
        <v>265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285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266</v>
      </c>
      <c r="C219" s="51" t="s">
        <v>286</v>
      </c>
      <c r="D219" s="51" t="s">
        <v>158</v>
      </c>
      <c r="E219" s="51" t="s">
        <v>265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285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266</v>
      </c>
      <c r="C220" s="51" t="s">
        <v>288</v>
      </c>
      <c r="D220" s="51" t="s">
        <v>179</v>
      </c>
      <c r="E220" s="51" t="s">
        <v>265</v>
      </c>
      <c r="F220" s="51" t="n">
        <v>2</v>
      </c>
      <c r="G220" s="52" t="n">
        <v>30</v>
      </c>
      <c r="H220" s="52" t="n">
        <f aca="false">F220*G220</f>
        <v>60</v>
      </c>
      <c r="I220" s="51" t="s">
        <v>285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266</v>
      </c>
      <c r="C221" s="51" t="s">
        <v>289</v>
      </c>
      <c r="D221" s="51" t="s">
        <v>186</v>
      </c>
      <c r="E221" s="51" t="s">
        <v>265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295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267</v>
      </c>
      <c r="C222" s="51" t="s">
        <v>281</v>
      </c>
      <c r="D222" s="51" t="s">
        <v>220</v>
      </c>
      <c r="E222" s="51" t="s">
        <v>265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303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267</v>
      </c>
      <c r="C223" s="51" t="s">
        <v>281</v>
      </c>
      <c r="D223" s="51" t="s">
        <v>180</v>
      </c>
      <c r="E223" s="51" t="s">
        <v>265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285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267</v>
      </c>
      <c r="C224" s="51" t="s">
        <v>281</v>
      </c>
      <c r="D224" s="51" t="s">
        <v>181</v>
      </c>
      <c r="E224" s="51" t="s">
        <v>265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285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267</v>
      </c>
      <c r="C225" s="51" t="s">
        <v>44</v>
      </c>
      <c r="D225" s="51" t="s">
        <v>182</v>
      </c>
      <c r="E225" s="51" t="s">
        <v>265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285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267</v>
      </c>
      <c r="C226" s="51" t="s">
        <v>286</v>
      </c>
      <c r="D226" s="51" t="s">
        <v>157</v>
      </c>
      <c r="E226" s="51" t="s">
        <v>265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285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267</v>
      </c>
      <c r="C227" s="51" t="s">
        <v>286</v>
      </c>
      <c r="D227" s="51" t="s">
        <v>158</v>
      </c>
      <c r="E227" s="51" t="s">
        <v>265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285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267</v>
      </c>
      <c r="C228" s="51" t="s">
        <v>288</v>
      </c>
      <c r="D228" s="51" t="s">
        <v>179</v>
      </c>
      <c r="E228" s="51" t="s">
        <v>265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285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267</v>
      </c>
      <c r="C229" s="51" t="s">
        <v>289</v>
      </c>
      <c r="D229" s="51" t="s">
        <v>186</v>
      </c>
      <c r="E229" s="51" t="s">
        <v>265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295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269</v>
      </c>
      <c r="C230" s="51" t="s">
        <v>281</v>
      </c>
      <c r="D230" s="51" t="s">
        <v>220</v>
      </c>
      <c r="E230" s="51" t="s">
        <v>268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305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269</v>
      </c>
      <c r="C231" s="51" t="s">
        <v>281</v>
      </c>
      <c r="D231" s="51" t="s">
        <v>180</v>
      </c>
      <c r="E231" s="51" t="s">
        <v>268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285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269</v>
      </c>
      <c r="C232" s="51" t="s">
        <v>281</v>
      </c>
      <c r="D232" s="51" t="s">
        <v>181</v>
      </c>
      <c r="E232" s="51" t="s">
        <v>268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285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269</v>
      </c>
      <c r="C233" s="51" t="s">
        <v>44</v>
      </c>
      <c r="D233" s="51" t="s">
        <v>182</v>
      </c>
      <c r="E233" s="51" t="s">
        <v>268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285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269</v>
      </c>
      <c r="C234" s="51" t="s">
        <v>286</v>
      </c>
      <c r="D234" s="51" t="s">
        <v>157</v>
      </c>
      <c r="E234" s="51" t="s">
        <v>268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285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269</v>
      </c>
      <c r="C235" s="51" t="s">
        <v>286</v>
      </c>
      <c r="D235" s="51" t="s">
        <v>158</v>
      </c>
      <c r="E235" s="51" t="s">
        <v>268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285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269</v>
      </c>
      <c r="C236" s="51" t="s">
        <v>287</v>
      </c>
      <c r="D236" s="51" t="s">
        <v>183</v>
      </c>
      <c r="E236" s="51" t="s">
        <v>268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306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269</v>
      </c>
      <c r="C237" s="51" t="s">
        <v>287</v>
      </c>
      <c r="D237" s="51" t="s">
        <v>185</v>
      </c>
      <c r="E237" s="51" t="s">
        <v>268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306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269</v>
      </c>
      <c r="C238" s="51" t="s">
        <v>288</v>
      </c>
      <c r="D238" s="51" t="s">
        <v>179</v>
      </c>
      <c r="E238" s="51" t="s">
        <v>268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285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272</v>
      </c>
      <c r="C239" s="51" t="s">
        <v>281</v>
      </c>
      <c r="D239" s="51" t="s">
        <v>220</v>
      </c>
      <c r="E239" s="51" t="s">
        <v>268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307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272</v>
      </c>
      <c r="C240" s="51" t="s">
        <v>281</v>
      </c>
      <c r="D240" s="51" t="s">
        <v>314</v>
      </c>
      <c r="E240" s="51" t="s">
        <v>268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315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272</v>
      </c>
      <c r="C241" s="51" t="s">
        <v>281</v>
      </c>
      <c r="D241" s="51" t="s">
        <v>283</v>
      </c>
      <c r="E241" s="51" t="s">
        <v>268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297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272</v>
      </c>
      <c r="C242" s="51" t="s">
        <v>281</v>
      </c>
      <c r="D242" s="51" t="s">
        <v>180</v>
      </c>
      <c r="E242" s="51" t="s">
        <v>268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285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272</v>
      </c>
      <c r="C243" s="51" t="s">
        <v>281</v>
      </c>
      <c r="D243" s="51" t="s">
        <v>181</v>
      </c>
      <c r="E243" s="51" t="s">
        <v>268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285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272</v>
      </c>
      <c r="C244" s="51" t="s">
        <v>44</v>
      </c>
      <c r="D244" s="51" t="s">
        <v>182</v>
      </c>
      <c r="E244" s="51" t="s">
        <v>268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285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272</v>
      </c>
      <c r="C245" s="51" t="s">
        <v>286</v>
      </c>
      <c r="D245" s="51" t="s">
        <v>157</v>
      </c>
      <c r="E245" s="51" t="s">
        <v>268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285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272</v>
      </c>
      <c r="C246" s="51" t="s">
        <v>286</v>
      </c>
      <c r="D246" s="51" t="s">
        <v>158</v>
      </c>
      <c r="E246" s="51" t="s">
        <v>268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285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272</v>
      </c>
      <c r="C247" s="51" t="s">
        <v>287</v>
      </c>
      <c r="D247" s="51" t="s">
        <v>318</v>
      </c>
      <c r="E247" s="51" t="s">
        <v>268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297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272</v>
      </c>
      <c r="C248" s="51" t="s">
        <v>288</v>
      </c>
      <c r="D248" s="51" t="s">
        <v>179</v>
      </c>
      <c r="E248" s="51" t="s">
        <v>268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285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272</v>
      </c>
      <c r="C249" s="51" t="s">
        <v>310</v>
      </c>
      <c r="D249" s="51" t="s">
        <v>323</v>
      </c>
      <c r="E249" s="51" t="s">
        <v>268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312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272</v>
      </c>
      <c r="C250" s="51" t="s">
        <v>289</v>
      </c>
      <c r="D250" s="51" t="s">
        <v>186</v>
      </c>
      <c r="E250" s="51" t="s">
        <v>268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295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275</v>
      </c>
      <c r="C251" s="51" t="s">
        <v>281</v>
      </c>
      <c r="D251" s="51" t="s">
        <v>220</v>
      </c>
      <c r="E251" s="51" t="s">
        <v>274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308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275</v>
      </c>
      <c r="C252" s="51" t="s">
        <v>281</v>
      </c>
      <c r="D252" s="51" t="s">
        <v>180</v>
      </c>
      <c r="E252" s="51" t="s">
        <v>274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285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275</v>
      </c>
      <c r="C253" s="51" t="s">
        <v>281</v>
      </c>
      <c r="D253" s="51" t="s">
        <v>181</v>
      </c>
      <c r="E253" s="51" t="s">
        <v>274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285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275</v>
      </c>
      <c r="C254" s="51" t="s">
        <v>44</v>
      </c>
      <c r="D254" s="51" t="s">
        <v>182</v>
      </c>
      <c r="E254" s="51" t="s">
        <v>274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285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275</v>
      </c>
      <c r="C255" s="51" t="s">
        <v>286</v>
      </c>
      <c r="D255" s="51" t="s">
        <v>157</v>
      </c>
      <c r="E255" s="51" t="s">
        <v>274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285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275</v>
      </c>
      <c r="C256" s="51" t="s">
        <v>286</v>
      </c>
      <c r="D256" s="51" t="s">
        <v>158</v>
      </c>
      <c r="E256" s="51" t="s">
        <v>274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285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275</v>
      </c>
      <c r="C257" s="51" t="s">
        <v>288</v>
      </c>
      <c r="D257" s="51" t="s">
        <v>179</v>
      </c>
      <c r="E257" s="51" t="s">
        <v>274</v>
      </c>
      <c r="F257" s="51" t="n">
        <v>1</v>
      </c>
      <c r="G257" s="52" t="n">
        <v>30</v>
      </c>
      <c r="H257" s="52" t="n">
        <f aca="false">F257*G257</f>
        <v>30</v>
      </c>
      <c r="I257" s="51" t="s">
        <v>285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257</v>
      </c>
      <c r="C258" s="51" t="s">
        <v>281</v>
      </c>
      <c r="D258" s="51" t="s">
        <v>220</v>
      </c>
      <c r="E258" s="51" t="s">
        <v>256</v>
      </c>
      <c r="F258" s="51" t="n">
        <v>1</v>
      </c>
      <c r="G258" s="52" t="n">
        <v>81072.3365155553</v>
      </c>
      <c r="H258" s="52" t="n">
        <v>81072.3365155553</v>
      </c>
      <c r="I258" s="51" t="s">
        <v>324</v>
      </c>
    </row>
    <row r="259" customFormat="false" ht="14.25" hidden="false" customHeight="true" outlineLevel="0" collapsed="false">
      <c r="A259" s="51" t="s">
        <v>21</v>
      </c>
      <c r="B259" s="51" t="s">
        <v>257</v>
      </c>
      <c r="C259" s="51" t="s">
        <v>281</v>
      </c>
      <c r="D259" s="51" t="s">
        <v>283</v>
      </c>
      <c r="E259" s="51" t="s">
        <v>256</v>
      </c>
      <c r="F259" s="51" t="n">
        <v>1</v>
      </c>
      <c r="G259" s="52" t="n">
        <v>3360.29</v>
      </c>
      <c r="H259" s="52" t="n">
        <v>3360.29</v>
      </c>
      <c r="I259" s="51" t="s">
        <v>325</v>
      </c>
    </row>
    <row r="260" customFormat="false" ht="14.25" hidden="false" customHeight="true" outlineLevel="0" collapsed="false">
      <c r="A260" s="51" t="s">
        <v>21</v>
      </c>
      <c r="B260" s="51" t="s">
        <v>257</v>
      </c>
      <c r="C260" s="51" t="s">
        <v>281</v>
      </c>
      <c r="D260" s="51" t="s">
        <v>180</v>
      </c>
      <c r="E260" s="51" t="s">
        <v>256</v>
      </c>
      <c r="F260" s="51" t="n">
        <v>47</v>
      </c>
      <c r="G260" s="52" t="n">
        <v>26</v>
      </c>
      <c r="H260" s="52" t="n">
        <v>1222</v>
      </c>
      <c r="I260" s="51" t="s">
        <v>326</v>
      </c>
    </row>
    <row r="261" customFormat="false" ht="14.25" hidden="false" customHeight="true" outlineLevel="0" collapsed="false">
      <c r="A261" s="51" t="s">
        <v>21</v>
      </c>
      <c r="B261" s="51" t="s">
        <v>257</v>
      </c>
      <c r="C261" s="51" t="s">
        <v>281</v>
      </c>
      <c r="D261" s="51" t="s">
        <v>181</v>
      </c>
      <c r="E261" s="51" t="s">
        <v>256</v>
      </c>
      <c r="F261" s="51" t="n">
        <v>47</v>
      </c>
      <c r="G261" s="52" t="n">
        <v>42.77</v>
      </c>
      <c r="H261" s="52" t="n">
        <v>2010.19</v>
      </c>
      <c r="I261" s="51" t="s">
        <v>326</v>
      </c>
    </row>
    <row r="262" customFormat="false" ht="14.25" hidden="false" customHeight="true" outlineLevel="0" collapsed="false">
      <c r="A262" s="51" t="s">
        <v>21</v>
      </c>
      <c r="B262" s="51" t="s">
        <v>257</v>
      </c>
      <c r="C262" s="51" t="s">
        <v>44</v>
      </c>
      <c r="D262" s="51" t="s">
        <v>182</v>
      </c>
      <c r="E262" s="51" t="s">
        <v>256</v>
      </c>
      <c r="F262" s="51" t="n">
        <v>47</v>
      </c>
      <c r="G262" s="52" t="n">
        <v>63.75</v>
      </c>
      <c r="H262" s="52" t="n">
        <v>2996.25</v>
      </c>
      <c r="I262" s="51" t="s">
        <v>326</v>
      </c>
    </row>
    <row r="263" customFormat="false" ht="14.25" hidden="false" customHeight="true" outlineLevel="0" collapsed="false">
      <c r="A263" s="51" t="s">
        <v>21</v>
      </c>
      <c r="B263" s="51" t="s">
        <v>257</v>
      </c>
      <c r="C263" s="51" t="s">
        <v>44</v>
      </c>
      <c r="D263" s="51" t="s">
        <v>221</v>
      </c>
      <c r="E263" s="51" t="s">
        <v>256</v>
      </c>
      <c r="F263" s="51" t="n">
        <v>1</v>
      </c>
      <c r="G263" s="52" t="n">
        <v>451.39</v>
      </c>
      <c r="H263" s="52" t="n">
        <v>451.39</v>
      </c>
      <c r="I263" s="51" t="s">
        <v>325</v>
      </c>
    </row>
    <row r="264" customFormat="false" ht="14.25" hidden="false" customHeight="true" outlineLevel="0" collapsed="false">
      <c r="A264" s="51" t="s">
        <v>21</v>
      </c>
      <c r="B264" s="51" t="s">
        <v>257</v>
      </c>
      <c r="C264" s="51" t="s">
        <v>287</v>
      </c>
      <c r="D264" s="51" t="s">
        <v>183</v>
      </c>
      <c r="E264" s="51" t="s">
        <v>256</v>
      </c>
      <c r="F264" s="51" t="n">
        <v>1</v>
      </c>
      <c r="G264" s="52" t="n">
        <v>865.91</v>
      </c>
      <c r="H264" s="52" t="n">
        <v>865.91</v>
      </c>
      <c r="I264" s="51" t="s">
        <v>325</v>
      </c>
    </row>
    <row r="265" customFormat="false" ht="14.25" hidden="false" customHeight="true" outlineLevel="0" collapsed="false">
      <c r="A265" s="51" t="s">
        <v>21</v>
      </c>
      <c r="B265" s="51" t="s">
        <v>257</v>
      </c>
      <c r="C265" s="51" t="s">
        <v>287</v>
      </c>
      <c r="D265" s="51" t="s">
        <v>185</v>
      </c>
      <c r="E265" s="51" t="s">
        <v>256</v>
      </c>
      <c r="F265" s="51" t="n">
        <v>1</v>
      </c>
      <c r="G265" s="52" t="n">
        <v>251.02</v>
      </c>
      <c r="H265" s="52" t="n">
        <v>251.02</v>
      </c>
      <c r="I265" s="51" t="s">
        <v>325</v>
      </c>
    </row>
    <row r="266" customFormat="false" ht="14.25" hidden="false" customHeight="true" outlineLevel="0" collapsed="false">
      <c r="A266" s="51" t="s">
        <v>21</v>
      </c>
      <c r="B266" s="51" t="s">
        <v>257</v>
      </c>
      <c r="C266" s="51" t="s">
        <v>288</v>
      </c>
      <c r="D266" s="51" t="s">
        <v>179</v>
      </c>
      <c r="E266" s="51" t="s">
        <v>256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326</v>
      </c>
    </row>
    <row r="267" customFormat="false" ht="15" hidden="false" customHeight="true" outlineLevel="0" collapsed="false">
      <c r="A267" s="51" t="s">
        <v>21</v>
      </c>
      <c r="B267" s="51" t="s">
        <v>257</v>
      </c>
      <c r="C267" s="51" t="s">
        <v>286</v>
      </c>
      <c r="D267" s="51" t="s">
        <v>157</v>
      </c>
      <c r="E267" s="51" t="s">
        <v>256</v>
      </c>
      <c r="F267" s="51" t="n">
        <v>47</v>
      </c>
      <c r="G267" s="52" t="n">
        <v>9.85</v>
      </c>
      <c r="H267" s="52" t="n">
        <v>462.95</v>
      </c>
      <c r="I267" s="51" t="s">
        <v>326</v>
      </c>
    </row>
    <row r="268" customFormat="false" ht="14.25" hidden="false" customHeight="true" outlineLevel="0" collapsed="false">
      <c r="A268" s="51" t="s">
        <v>21</v>
      </c>
      <c r="B268" s="51" t="s">
        <v>257</v>
      </c>
      <c r="C268" s="51" t="s">
        <v>286</v>
      </c>
      <c r="D268" s="51" t="s">
        <v>158</v>
      </c>
      <c r="E268" s="51" t="s">
        <v>256</v>
      </c>
      <c r="F268" s="51" t="n">
        <v>47</v>
      </c>
      <c r="G268" s="52" t="n">
        <v>2.04</v>
      </c>
      <c r="H268" s="52" t="n">
        <v>95.88</v>
      </c>
      <c r="I268" s="51" t="s">
        <v>326</v>
      </c>
    </row>
    <row r="269" customFormat="false" ht="14.25" hidden="false" customHeight="true" outlineLevel="0" collapsed="false">
      <c r="A269" s="51" t="s">
        <v>21</v>
      </c>
      <c r="B269" s="51" t="s">
        <v>257</v>
      </c>
      <c r="C269" s="51" t="s">
        <v>289</v>
      </c>
      <c r="D269" s="51" t="s">
        <v>186</v>
      </c>
      <c r="E269" s="51" t="s">
        <v>256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327</v>
      </c>
    </row>
    <row r="270" customFormat="false" ht="14.25" hidden="false" customHeight="true" outlineLevel="0" collapsed="false">
      <c r="A270" s="51" t="s">
        <v>21</v>
      </c>
      <c r="B270" s="51" t="s">
        <v>257</v>
      </c>
      <c r="C270" s="51" t="s">
        <v>281</v>
      </c>
      <c r="D270" s="51" t="s">
        <v>314</v>
      </c>
      <c r="E270" s="51" t="s">
        <v>256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328</v>
      </c>
    </row>
    <row r="271" customFormat="false" ht="14.25" hidden="false" customHeight="true" outlineLevel="0" collapsed="false">
      <c r="A271" s="51" t="s">
        <v>21</v>
      </c>
      <c r="B271" s="51" t="s">
        <v>257</v>
      </c>
      <c r="C271" s="51" t="s">
        <v>281</v>
      </c>
      <c r="D271" s="51" t="s">
        <v>220</v>
      </c>
      <c r="E271" s="51" t="s">
        <v>259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329</v>
      </c>
    </row>
    <row r="272" customFormat="false" ht="14.25" hidden="false" customHeight="true" outlineLevel="0" collapsed="false">
      <c r="A272" s="51" t="s">
        <v>21</v>
      </c>
      <c r="B272" s="51" t="s">
        <v>257</v>
      </c>
      <c r="C272" s="51" t="s">
        <v>281</v>
      </c>
      <c r="D272" s="51" t="s">
        <v>283</v>
      </c>
      <c r="E272" s="51" t="s">
        <v>259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330</v>
      </c>
    </row>
    <row r="273" customFormat="false" ht="14.25" hidden="false" customHeight="true" outlineLevel="0" collapsed="false">
      <c r="A273" s="51" t="s">
        <v>21</v>
      </c>
      <c r="B273" s="51" t="s">
        <v>257</v>
      </c>
      <c r="C273" s="51" t="s">
        <v>281</v>
      </c>
      <c r="D273" s="51" t="s">
        <v>180</v>
      </c>
      <c r="E273" s="51" t="s">
        <v>259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326</v>
      </c>
    </row>
    <row r="274" customFormat="false" ht="14.25" hidden="false" customHeight="true" outlineLevel="0" collapsed="false">
      <c r="A274" s="51" t="s">
        <v>21</v>
      </c>
      <c r="B274" s="51" t="s">
        <v>257</v>
      </c>
      <c r="C274" s="51" t="s">
        <v>281</v>
      </c>
      <c r="D274" s="51" t="s">
        <v>181</v>
      </c>
      <c r="E274" s="51" t="s">
        <v>259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326</v>
      </c>
    </row>
    <row r="275" customFormat="false" ht="14.25" hidden="false" customHeight="true" outlineLevel="0" collapsed="false">
      <c r="A275" s="51" t="s">
        <v>21</v>
      </c>
      <c r="B275" s="51" t="s">
        <v>257</v>
      </c>
      <c r="C275" s="51" t="s">
        <v>44</v>
      </c>
      <c r="D275" s="51" t="s">
        <v>182</v>
      </c>
      <c r="E275" s="51" t="s">
        <v>259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326</v>
      </c>
    </row>
    <row r="276" customFormat="false" ht="14.25" hidden="false" customHeight="true" outlineLevel="0" collapsed="false">
      <c r="A276" s="51" t="s">
        <v>21</v>
      </c>
      <c r="B276" s="51" t="s">
        <v>257</v>
      </c>
      <c r="C276" s="51" t="s">
        <v>44</v>
      </c>
      <c r="D276" s="51" t="s">
        <v>221</v>
      </c>
      <c r="E276" s="51" t="s">
        <v>259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330</v>
      </c>
    </row>
    <row r="277" customFormat="false" ht="14.25" hidden="false" customHeight="true" outlineLevel="0" collapsed="false">
      <c r="A277" s="51" t="s">
        <v>21</v>
      </c>
      <c r="B277" s="51" t="s">
        <v>257</v>
      </c>
      <c r="C277" s="51" t="s">
        <v>287</v>
      </c>
      <c r="D277" s="51" t="s">
        <v>183</v>
      </c>
      <c r="E277" s="51" t="s">
        <v>259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330</v>
      </c>
    </row>
    <row r="278" customFormat="false" ht="15" hidden="false" customHeight="true" outlineLevel="0" collapsed="false">
      <c r="A278" s="51" t="s">
        <v>21</v>
      </c>
      <c r="B278" s="51" t="s">
        <v>257</v>
      </c>
      <c r="C278" s="51" t="s">
        <v>287</v>
      </c>
      <c r="D278" s="51" t="s">
        <v>185</v>
      </c>
      <c r="E278" s="51" t="s">
        <v>259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330</v>
      </c>
    </row>
    <row r="279" customFormat="false" ht="14.25" hidden="false" customHeight="true" outlineLevel="0" collapsed="false">
      <c r="A279" s="51" t="s">
        <v>21</v>
      </c>
      <c r="B279" s="51" t="s">
        <v>257</v>
      </c>
      <c r="C279" s="51" t="s">
        <v>288</v>
      </c>
      <c r="D279" s="51" t="s">
        <v>179</v>
      </c>
      <c r="E279" s="51" t="s">
        <v>259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326</v>
      </c>
    </row>
    <row r="280" customFormat="false" ht="14.25" hidden="false" customHeight="true" outlineLevel="0" collapsed="false">
      <c r="A280" s="51" t="s">
        <v>21</v>
      </c>
      <c r="B280" s="51" t="s">
        <v>257</v>
      </c>
      <c r="C280" s="51" t="s">
        <v>286</v>
      </c>
      <c r="D280" s="51" t="s">
        <v>157</v>
      </c>
      <c r="E280" s="51" t="s">
        <v>259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326</v>
      </c>
    </row>
    <row r="281" customFormat="false" ht="14.25" hidden="false" customHeight="true" outlineLevel="0" collapsed="false">
      <c r="A281" s="51" t="s">
        <v>21</v>
      </c>
      <c r="B281" s="51" t="s">
        <v>257</v>
      </c>
      <c r="C281" s="51" t="s">
        <v>286</v>
      </c>
      <c r="D281" s="51" t="s">
        <v>158</v>
      </c>
      <c r="E281" s="51" t="s">
        <v>259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326</v>
      </c>
    </row>
    <row r="282" customFormat="false" ht="14.25" hidden="false" customHeight="true" outlineLevel="0" collapsed="false">
      <c r="A282" s="51" t="s">
        <v>21</v>
      </c>
      <c r="B282" s="51" t="s">
        <v>257</v>
      </c>
      <c r="C282" s="51" t="s">
        <v>281</v>
      </c>
      <c r="D282" s="51" t="s">
        <v>220</v>
      </c>
      <c r="E282" s="51" t="s">
        <v>261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331</v>
      </c>
    </row>
    <row r="283" customFormat="false" ht="14.25" hidden="false" customHeight="true" outlineLevel="0" collapsed="false">
      <c r="A283" s="51" t="s">
        <v>21</v>
      </c>
      <c r="B283" s="51" t="s">
        <v>257</v>
      </c>
      <c r="C283" s="51" t="s">
        <v>281</v>
      </c>
      <c r="D283" s="51" t="s">
        <v>283</v>
      </c>
      <c r="E283" s="51" t="s">
        <v>261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332</v>
      </c>
    </row>
    <row r="284" customFormat="false" ht="14.25" hidden="false" customHeight="true" outlineLevel="0" collapsed="false">
      <c r="A284" s="51" t="s">
        <v>21</v>
      </c>
      <c r="B284" s="51" t="s">
        <v>257</v>
      </c>
      <c r="C284" s="51" t="s">
        <v>281</v>
      </c>
      <c r="D284" s="51" t="s">
        <v>180</v>
      </c>
      <c r="E284" s="51" t="s">
        <v>261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326</v>
      </c>
    </row>
    <row r="285" customFormat="false" ht="14.25" hidden="false" customHeight="true" outlineLevel="0" collapsed="false">
      <c r="A285" s="51" t="s">
        <v>21</v>
      </c>
      <c r="B285" s="51" t="s">
        <v>257</v>
      </c>
      <c r="C285" s="51" t="s">
        <v>281</v>
      </c>
      <c r="D285" s="51" t="s">
        <v>181</v>
      </c>
      <c r="E285" s="51" t="s">
        <v>261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326</v>
      </c>
    </row>
    <row r="286" customFormat="false" ht="14.25" hidden="false" customHeight="true" outlineLevel="0" collapsed="false">
      <c r="A286" s="51" t="s">
        <v>21</v>
      </c>
      <c r="B286" s="51" t="s">
        <v>257</v>
      </c>
      <c r="C286" s="51" t="s">
        <v>44</v>
      </c>
      <c r="D286" s="51" t="s">
        <v>182</v>
      </c>
      <c r="E286" s="51" t="s">
        <v>261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326</v>
      </c>
    </row>
    <row r="287" customFormat="false" ht="14.25" hidden="false" customHeight="true" outlineLevel="0" collapsed="false">
      <c r="A287" s="51" t="s">
        <v>21</v>
      </c>
      <c r="B287" s="51" t="s">
        <v>257</v>
      </c>
      <c r="C287" s="51" t="s">
        <v>44</v>
      </c>
      <c r="D287" s="51" t="s">
        <v>221</v>
      </c>
      <c r="E287" s="51" t="s">
        <v>261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332</v>
      </c>
    </row>
    <row r="288" customFormat="false" ht="14.25" hidden="false" customHeight="true" outlineLevel="0" collapsed="false">
      <c r="A288" s="51" t="s">
        <v>21</v>
      </c>
      <c r="B288" s="51" t="s">
        <v>257</v>
      </c>
      <c r="C288" s="51" t="s">
        <v>287</v>
      </c>
      <c r="D288" s="51" t="s">
        <v>183</v>
      </c>
      <c r="E288" s="51" t="s">
        <v>261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332</v>
      </c>
    </row>
    <row r="289" customFormat="false" ht="14.25" hidden="false" customHeight="true" outlineLevel="0" collapsed="false">
      <c r="A289" s="51" t="s">
        <v>21</v>
      </c>
      <c r="B289" s="51" t="s">
        <v>257</v>
      </c>
      <c r="C289" s="51" t="s">
        <v>287</v>
      </c>
      <c r="D289" s="51" t="s">
        <v>185</v>
      </c>
      <c r="E289" s="51" t="s">
        <v>261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332</v>
      </c>
    </row>
    <row r="290" customFormat="false" ht="14.25" hidden="false" customHeight="true" outlineLevel="0" collapsed="false">
      <c r="A290" s="51" t="s">
        <v>21</v>
      </c>
      <c r="B290" s="51" t="s">
        <v>257</v>
      </c>
      <c r="C290" s="51" t="s">
        <v>288</v>
      </c>
      <c r="D290" s="51" t="s">
        <v>179</v>
      </c>
      <c r="E290" s="51" t="s">
        <v>261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326</v>
      </c>
    </row>
    <row r="291" customFormat="false" ht="14.25" hidden="false" customHeight="true" outlineLevel="0" collapsed="false">
      <c r="A291" s="51" t="s">
        <v>21</v>
      </c>
      <c r="B291" s="51" t="s">
        <v>257</v>
      </c>
      <c r="C291" s="51" t="s">
        <v>286</v>
      </c>
      <c r="D291" s="51" t="s">
        <v>157</v>
      </c>
      <c r="E291" s="51" t="s">
        <v>261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326</v>
      </c>
    </row>
    <row r="292" customFormat="false" ht="14.25" hidden="false" customHeight="true" outlineLevel="0" collapsed="false">
      <c r="A292" s="51" t="s">
        <v>21</v>
      </c>
      <c r="B292" s="51" t="s">
        <v>257</v>
      </c>
      <c r="C292" s="51" t="s">
        <v>286</v>
      </c>
      <c r="D292" s="51" t="s">
        <v>158</v>
      </c>
      <c r="E292" s="51" t="s">
        <v>261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326</v>
      </c>
    </row>
    <row r="293" customFormat="false" ht="14.25" hidden="false" customHeight="true" outlineLevel="0" collapsed="false">
      <c r="A293" s="51" t="s">
        <v>21</v>
      </c>
      <c r="B293" s="51" t="s">
        <v>257</v>
      </c>
      <c r="C293" s="51" t="s">
        <v>289</v>
      </c>
      <c r="D293" s="51" t="s">
        <v>186</v>
      </c>
      <c r="E293" s="51" t="s">
        <v>261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295</v>
      </c>
    </row>
    <row r="294" customFormat="false" ht="14.25" hidden="false" customHeight="true" outlineLevel="0" collapsed="false">
      <c r="A294" s="51" t="s">
        <v>21</v>
      </c>
      <c r="B294" s="51" t="s">
        <v>257</v>
      </c>
      <c r="C294" s="51" t="s">
        <v>281</v>
      </c>
      <c r="D294" s="51" t="s">
        <v>220</v>
      </c>
      <c r="E294" s="51" t="s">
        <v>262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333</v>
      </c>
    </row>
    <row r="295" customFormat="false" ht="15" hidden="false" customHeight="true" outlineLevel="0" collapsed="false">
      <c r="A295" s="51" t="s">
        <v>21</v>
      </c>
      <c r="B295" s="51" t="s">
        <v>257</v>
      </c>
      <c r="C295" s="51" t="s">
        <v>281</v>
      </c>
      <c r="D295" s="51" t="s">
        <v>283</v>
      </c>
      <c r="E295" s="51" t="s">
        <v>262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334</v>
      </c>
    </row>
    <row r="296" customFormat="false" ht="14.25" hidden="false" customHeight="true" outlineLevel="0" collapsed="false">
      <c r="A296" s="51" t="s">
        <v>21</v>
      </c>
      <c r="B296" s="51" t="s">
        <v>257</v>
      </c>
      <c r="C296" s="51" t="s">
        <v>281</v>
      </c>
      <c r="D296" s="51" t="s">
        <v>180</v>
      </c>
      <c r="E296" s="51" t="s">
        <v>262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326</v>
      </c>
    </row>
    <row r="297" customFormat="false" ht="14.25" hidden="false" customHeight="true" outlineLevel="0" collapsed="false">
      <c r="A297" s="51" t="s">
        <v>21</v>
      </c>
      <c r="B297" s="51" t="s">
        <v>257</v>
      </c>
      <c r="C297" s="51" t="s">
        <v>281</v>
      </c>
      <c r="D297" s="51" t="s">
        <v>181</v>
      </c>
      <c r="E297" s="51" t="s">
        <v>262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326</v>
      </c>
    </row>
    <row r="298" customFormat="false" ht="14.25" hidden="false" customHeight="true" outlineLevel="0" collapsed="false">
      <c r="A298" s="51" t="s">
        <v>21</v>
      </c>
      <c r="B298" s="51" t="s">
        <v>257</v>
      </c>
      <c r="C298" s="51" t="s">
        <v>44</v>
      </c>
      <c r="D298" s="51" t="s">
        <v>182</v>
      </c>
      <c r="E298" s="51" t="s">
        <v>262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326</v>
      </c>
    </row>
    <row r="299" customFormat="false" ht="14.25" hidden="false" customHeight="true" outlineLevel="0" collapsed="false">
      <c r="A299" s="51" t="s">
        <v>21</v>
      </c>
      <c r="B299" s="51" t="s">
        <v>257</v>
      </c>
      <c r="C299" s="51" t="s">
        <v>44</v>
      </c>
      <c r="D299" s="51" t="s">
        <v>221</v>
      </c>
      <c r="E299" s="51" t="s">
        <v>262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334</v>
      </c>
    </row>
    <row r="300" customFormat="false" ht="14.25" hidden="false" customHeight="true" outlineLevel="0" collapsed="false">
      <c r="A300" s="51" t="s">
        <v>21</v>
      </c>
      <c r="B300" s="51" t="s">
        <v>257</v>
      </c>
      <c r="C300" s="51" t="s">
        <v>287</v>
      </c>
      <c r="D300" s="51" t="s">
        <v>183</v>
      </c>
      <c r="E300" s="51" t="s">
        <v>262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334</v>
      </c>
    </row>
    <row r="301" customFormat="false" ht="14.25" hidden="false" customHeight="true" outlineLevel="0" collapsed="false">
      <c r="A301" s="51" t="s">
        <v>21</v>
      </c>
      <c r="B301" s="51" t="s">
        <v>257</v>
      </c>
      <c r="C301" s="51" t="s">
        <v>287</v>
      </c>
      <c r="D301" s="51" t="s">
        <v>185</v>
      </c>
      <c r="E301" s="51" t="s">
        <v>262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334</v>
      </c>
    </row>
    <row r="302" customFormat="false" ht="14.25" hidden="false" customHeight="true" outlineLevel="0" collapsed="false">
      <c r="A302" s="51" t="s">
        <v>21</v>
      </c>
      <c r="B302" s="51" t="s">
        <v>257</v>
      </c>
      <c r="C302" s="51" t="s">
        <v>288</v>
      </c>
      <c r="D302" s="51" t="s">
        <v>179</v>
      </c>
      <c r="E302" s="51" t="s">
        <v>262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326</v>
      </c>
    </row>
    <row r="303" customFormat="false" ht="14.25" hidden="false" customHeight="true" outlineLevel="0" collapsed="false">
      <c r="A303" s="51" t="s">
        <v>21</v>
      </c>
      <c r="B303" s="51" t="s">
        <v>257</v>
      </c>
      <c r="C303" s="51" t="s">
        <v>286</v>
      </c>
      <c r="D303" s="51" t="s">
        <v>157</v>
      </c>
      <c r="E303" s="51" t="s">
        <v>262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326</v>
      </c>
    </row>
    <row r="304" customFormat="false" ht="14.25" hidden="false" customHeight="true" outlineLevel="0" collapsed="false">
      <c r="A304" s="51" t="s">
        <v>21</v>
      </c>
      <c r="B304" s="51" t="s">
        <v>257</v>
      </c>
      <c r="C304" s="51" t="s">
        <v>286</v>
      </c>
      <c r="D304" s="51" t="s">
        <v>158</v>
      </c>
      <c r="E304" s="51" t="s">
        <v>262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326</v>
      </c>
    </row>
    <row r="305" customFormat="false" ht="14.25" hidden="false" customHeight="true" outlineLevel="0" collapsed="false">
      <c r="A305" s="51" t="s">
        <v>21</v>
      </c>
      <c r="B305" s="51" t="s">
        <v>257</v>
      </c>
      <c r="C305" s="51" t="s">
        <v>281</v>
      </c>
      <c r="D305" s="51" t="s">
        <v>314</v>
      </c>
      <c r="E305" s="51" t="s">
        <v>262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328</v>
      </c>
    </row>
    <row r="306" customFormat="false" ht="14.25" hidden="false" customHeight="true" outlineLevel="0" collapsed="false">
      <c r="A306" s="51" t="s">
        <v>21</v>
      </c>
      <c r="B306" s="51" t="s">
        <v>257</v>
      </c>
      <c r="C306" s="51" t="s">
        <v>281</v>
      </c>
      <c r="D306" s="51" t="s">
        <v>220</v>
      </c>
      <c r="E306" s="51" t="s">
        <v>265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335</v>
      </c>
    </row>
    <row r="307" customFormat="false" ht="14.25" hidden="false" customHeight="true" outlineLevel="0" collapsed="false">
      <c r="A307" s="51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2" t="n">
        <f aca="false">G307*F307</f>
        <v>1152.22</v>
      </c>
      <c r="I307" s="51" t="s">
        <v>336</v>
      </c>
    </row>
    <row r="308" customFormat="false" ht="14.25" hidden="false" customHeight="true" outlineLevel="0" collapsed="false">
      <c r="A308" s="51" t="s">
        <v>21</v>
      </c>
      <c r="B308" s="51" t="s">
        <v>257</v>
      </c>
      <c r="C308" s="51" t="s">
        <v>281</v>
      </c>
      <c r="D308" s="51" t="s">
        <v>180</v>
      </c>
      <c r="E308" s="51" t="s">
        <v>265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326</v>
      </c>
    </row>
    <row r="309" customFormat="false" ht="14.25" hidden="false" customHeight="true" outlineLevel="0" collapsed="false">
      <c r="A309" s="51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51" t="s">
        <v>21</v>
      </c>
      <c r="B310" s="51" t="s">
        <v>257</v>
      </c>
      <c r="C310" s="51" t="s">
        <v>44</v>
      </c>
      <c r="D310" s="51" t="s">
        <v>182</v>
      </c>
      <c r="E310" s="51" t="s">
        <v>265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326</v>
      </c>
    </row>
    <row r="311" customFormat="false" ht="14.25" hidden="false" customHeight="true" outlineLevel="0" collapsed="false">
      <c r="A311" s="51" t="s">
        <v>21</v>
      </c>
      <c r="B311" s="51" t="s">
        <v>257</v>
      </c>
      <c r="C311" s="51" t="s">
        <v>44</v>
      </c>
      <c r="D311" s="51" t="s">
        <v>221</v>
      </c>
      <c r="E311" s="51" t="s">
        <v>265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336</v>
      </c>
    </row>
    <row r="312" customFormat="false" ht="14.25" hidden="false" customHeight="true" outlineLevel="0" collapsed="false">
      <c r="A312" s="51" t="s">
        <v>21</v>
      </c>
      <c r="B312" s="51" t="s">
        <v>257</v>
      </c>
      <c r="C312" s="51" t="s">
        <v>287</v>
      </c>
      <c r="D312" s="51" t="s">
        <v>183</v>
      </c>
      <c r="E312" s="51" t="s">
        <v>265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336</v>
      </c>
    </row>
    <row r="313" customFormat="false" ht="14.25" hidden="false" customHeight="true" outlineLevel="0" collapsed="false">
      <c r="A313" s="51" t="s">
        <v>21</v>
      </c>
      <c r="B313" s="51" t="s">
        <v>257</v>
      </c>
      <c r="C313" s="51" t="s">
        <v>287</v>
      </c>
      <c r="D313" s="51" t="s">
        <v>185</v>
      </c>
      <c r="E313" s="51" t="s">
        <v>265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336</v>
      </c>
    </row>
    <row r="314" customFormat="false" ht="14.25" hidden="false" customHeight="true" outlineLevel="0" collapsed="false">
      <c r="A314" s="51" t="s">
        <v>21</v>
      </c>
      <c r="B314" s="51" t="s">
        <v>257</v>
      </c>
      <c r="C314" s="51" t="s">
        <v>288</v>
      </c>
      <c r="D314" s="51" t="s">
        <v>179</v>
      </c>
      <c r="E314" s="51" t="s">
        <v>265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326</v>
      </c>
    </row>
    <row r="315" customFormat="false" ht="14.25" hidden="false" customHeight="true" outlineLevel="0" collapsed="false">
      <c r="A315" s="51" t="s">
        <v>21</v>
      </c>
      <c r="B315" s="51" t="s">
        <v>257</v>
      </c>
      <c r="C315" s="51" t="s">
        <v>286</v>
      </c>
      <c r="D315" s="51" t="s">
        <v>157</v>
      </c>
      <c r="E315" s="51" t="s">
        <v>265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326</v>
      </c>
    </row>
    <row r="316" customFormat="false" ht="14.25" hidden="false" customHeight="true" outlineLevel="0" collapsed="false">
      <c r="A316" s="51" t="s">
        <v>21</v>
      </c>
      <c r="B316" s="51" t="s">
        <v>257</v>
      </c>
      <c r="C316" s="51" t="s">
        <v>286</v>
      </c>
      <c r="D316" s="51" t="s">
        <v>158</v>
      </c>
      <c r="E316" s="51" t="s">
        <v>265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326</v>
      </c>
    </row>
    <row r="317" customFormat="false" ht="14.25" hidden="false" customHeight="true" outlineLevel="0" collapsed="false">
      <c r="A317" s="51" t="s">
        <v>21</v>
      </c>
      <c r="B317" s="51" t="s">
        <v>257</v>
      </c>
      <c r="C317" s="51" t="s">
        <v>289</v>
      </c>
      <c r="D317" s="51" t="s">
        <v>186</v>
      </c>
      <c r="E317" s="51" t="s">
        <v>265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337</v>
      </c>
    </row>
    <row r="318" customFormat="false" ht="14.25" hidden="false" customHeight="true" outlineLevel="0" collapsed="false">
      <c r="A318" s="51" t="s">
        <v>21</v>
      </c>
      <c r="B318" s="51" t="s">
        <v>269</v>
      </c>
      <c r="C318" s="51" t="s">
        <v>281</v>
      </c>
      <c r="D318" s="51" t="s">
        <v>220</v>
      </c>
      <c r="E318" s="51" t="s">
        <v>268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338</v>
      </c>
    </row>
    <row r="319" customFormat="false" ht="14.25" hidden="false" customHeight="true" outlineLevel="0" collapsed="false">
      <c r="A319" s="51" t="s">
        <v>21</v>
      </c>
      <c r="B319" s="51" t="s">
        <v>269</v>
      </c>
      <c r="C319" s="51" t="s">
        <v>281</v>
      </c>
      <c r="D319" s="51" t="s">
        <v>180</v>
      </c>
      <c r="E319" s="51" t="s">
        <v>268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326</v>
      </c>
    </row>
    <row r="320" customFormat="false" ht="14.25" hidden="false" customHeight="true" outlineLevel="0" collapsed="false">
      <c r="A320" s="51" t="s">
        <v>21</v>
      </c>
      <c r="B320" s="51" t="s">
        <v>269</v>
      </c>
      <c r="C320" s="51" t="s">
        <v>281</v>
      </c>
      <c r="D320" s="51" t="s">
        <v>181</v>
      </c>
      <c r="E320" s="51" t="s">
        <v>268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326</v>
      </c>
    </row>
    <row r="321" customFormat="false" ht="14.25" hidden="false" customHeight="true" outlineLevel="0" collapsed="false">
      <c r="A321" s="51" t="s">
        <v>21</v>
      </c>
      <c r="B321" s="51" t="s">
        <v>269</v>
      </c>
      <c r="C321" s="51" t="s">
        <v>44</v>
      </c>
      <c r="D321" s="51" t="s">
        <v>182</v>
      </c>
      <c r="E321" s="51" t="s">
        <v>268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326</v>
      </c>
    </row>
    <row r="322" customFormat="false" ht="14.25" hidden="false" customHeight="true" outlineLevel="0" collapsed="false">
      <c r="A322" s="51" t="s">
        <v>21</v>
      </c>
      <c r="B322" s="51" t="s">
        <v>269</v>
      </c>
      <c r="C322" s="51" t="s">
        <v>44</v>
      </c>
      <c r="D322" s="51" t="s">
        <v>221</v>
      </c>
      <c r="E322" s="51" t="s">
        <v>268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339</v>
      </c>
    </row>
    <row r="323" customFormat="false" ht="14.25" hidden="false" customHeight="true" outlineLevel="0" collapsed="false">
      <c r="A323" s="51" t="s">
        <v>21</v>
      </c>
      <c r="B323" s="51" t="s">
        <v>269</v>
      </c>
      <c r="C323" s="51" t="s">
        <v>288</v>
      </c>
      <c r="D323" s="51" t="s">
        <v>179</v>
      </c>
      <c r="E323" s="51" t="s">
        <v>268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326</v>
      </c>
    </row>
    <row r="324" customFormat="false" ht="15" hidden="false" customHeight="true" outlineLevel="0" collapsed="false">
      <c r="A324" s="51" t="s">
        <v>21</v>
      </c>
      <c r="B324" s="51" t="s">
        <v>269</v>
      </c>
      <c r="C324" s="51" t="s">
        <v>286</v>
      </c>
      <c r="D324" s="51" t="s">
        <v>157</v>
      </c>
      <c r="E324" s="51" t="s">
        <v>268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326</v>
      </c>
    </row>
    <row r="325" customFormat="false" ht="14.25" hidden="false" customHeight="true" outlineLevel="0" collapsed="false">
      <c r="A325" s="51" t="s">
        <v>21</v>
      </c>
      <c r="B325" s="51" t="s">
        <v>269</v>
      </c>
      <c r="C325" s="51" t="s">
        <v>286</v>
      </c>
      <c r="D325" s="51" t="s">
        <v>158</v>
      </c>
      <c r="E325" s="51" t="s">
        <v>268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326</v>
      </c>
    </row>
    <row r="326" customFormat="false" ht="14.25" hidden="false" customHeight="true" outlineLevel="0" collapsed="false">
      <c r="A326" s="51" t="s">
        <v>21</v>
      </c>
      <c r="B326" s="51" t="s">
        <v>269</v>
      </c>
      <c r="C326" s="51" t="s">
        <v>289</v>
      </c>
      <c r="D326" s="51" t="s">
        <v>186</v>
      </c>
      <c r="E326" s="51" t="s">
        <v>268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295</v>
      </c>
    </row>
    <row r="327" customFormat="false" ht="14.25" hidden="false" customHeight="true" outlineLevel="0" collapsed="false">
      <c r="A327" s="51" t="s">
        <v>21</v>
      </c>
      <c r="B327" s="51" t="s">
        <v>269</v>
      </c>
      <c r="C327" s="51" t="s">
        <v>281</v>
      </c>
      <c r="D327" s="51" t="s">
        <v>314</v>
      </c>
      <c r="E327" s="51" t="s">
        <v>268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328</v>
      </c>
    </row>
    <row r="328" customFormat="false" ht="14.25" hidden="false" customHeight="true" outlineLevel="0" collapsed="false">
      <c r="A328" s="51" t="s">
        <v>21</v>
      </c>
      <c r="B328" s="51" t="s">
        <v>264</v>
      </c>
      <c r="C328" s="51" t="s">
        <v>281</v>
      </c>
      <c r="D328" s="51" t="s">
        <v>220</v>
      </c>
      <c r="E328" s="51" t="s">
        <v>262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340</v>
      </c>
    </row>
    <row r="329" customFormat="false" ht="14.25" hidden="false" customHeight="true" outlineLevel="0" collapsed="false">
      <c r="A329" s="51" t="s">
        <v>21</v>
      </c>
      <c r="B329" s="51" t="s">
        <v>264</v>
      </c>
      <c r="C329" s="51" t="s">
        <v>281</v>
      </c>
      <c r="D329" s="51" t="s">
        <v>180</v>
      </c>
      <c r="E329" s="51" t="s">
        <v>262</v>
      </c>
      <c r="F329" s="51" t="n">
        <v>2</v>
      </c>
      <c r="G329" s="52" t="n">
        <v>26</v>
      </c>
      <c r="H329" s="52" t="n">
        <f aca="false">G329*F329</f>
        <v>52</v>
      </c>
      <c r="I329" s="51" t="s">
        <v>326</v>
      </c>
    </row>
    <row r="330" customFormat="false" ht="14.25" hidden="false" customHeight="true" outlineLevel="0" collapsed="false">
      <c r="A330" s="51" t="s">
        <v>21</v>
      </c>
      <c r="B330" s="51" t="s">
        <v>264</v>
      </c>
      <c r="C330" s="51" t="s">
        <v>281</v>
      </c>
      <c r="D330" s="51" t="s">
        <v>181</v>
      </c>
      <c r="E330" s="51" t="s">
        <v>262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326</v>
      </c>
    </row>
    <row r="331" customFormat="false" ht="14.25" hidden="false" customHeight="true" outlineLevel="0" collapsed="false">
      <c r="A331" s="51" t="s">
        <v>21</v>
      </c>
      <c r="B331" s="51" t="s">
        <v>264</v>
      </c>
      <c r="C331" s="51" t="s">
        <v>44</v>
      </c>
      <c r="D331" s="51" t="s">
        <v>182</v>
      </c>
      <c r="E331" s="51" t="s">
        <v>262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326</v>
      </c>
    </row>
    <row r="332" customFormat="false" ht="14.25" hidden="false" customHeight="true" outlineLevel="0" collapsed="false">
      <c r="A332" s="51" t="s">
        <v>21</v>
      </c>
      <c r="B332" s="51" t="s">
        <v>264</v>
      </c>
      <c r="C332" s="51" t="s">
        <v>288</v>
      </c>
      <c r="D332" s="51" t="s">
        <v>179</v>
      </c>
      <c r="E332" s="51" t="s">
        <v>262</v>
      </c>
      <c r="F332" s="51" t="n">
        <v>2</v>
      </c>
      <c r="G332" s="52" t="n">
        <v>30</v>
      </c>
      <c r="H332" s="52" t="n">
        <f aca="false">G332*F332</f>
        <v>60</v>
      </c>
      <c r="I332" s="51" t="s">
        <v>326</v>
      </c>
    </row>
    <row r="333" customFormat="false" ht="14.25" hidden="false" customHeight="true" outlineLevel="0" collapsed="false">
      <c r="A333" s="51" t="s">
        <v>21</v>
      </c>
      <c r="B333" s="51" t="s">
        <v>264</v>
      </c>
      <c r="C333" s="51" t="s">
        <v>286</v>
      </c>
      <c r="D333" s="51" t="s">
        <v>157</v>
      </c>
      <c r="E333" s="51" t="s">
        <v>262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326</v>
      </c>
    </row>
    <row r="334" customFormat="false" ht="14.25" hidden="false" customHeight="true" outlineLevel="0" collapsed="false">
      <c r="A334" s="51" t="s">
        <v>21</v>
      </c>
      <c r="B334" s="51" t="s">
        <v>264</v>
      </c>
      <c r="C334" s="51" t="s">
        <v>286</v>
      </c>
      <c r="D334" s="51" t="s">
        <v>158</v>
      </c>
      <c r="E334" s="51" t="s">
        <v>262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326</v>
      </c>
    </row>
    <row r="335" customFormat="false" ht="14.25" hidden="false" customHeight="true" outlineLevel="0" collapsed="false">
      <c r="A335" s="51" t="s">
        <v>21</v>
      </c>
      <c r="B335" s="51" t="s">
        <v>264</v>
      </c>
      <c r="C335" s="51" t="s">
        <v>289</v>
      </c>
      <c r="D335" s="51" t="s">
        <v>186</v>
      </c>
      <c r="E335" s="51" t="s">
        <v>262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295</v>
      </c>
    </row>
    <row r="336" customFormat="false" ht="14.25" hidden="false" customHeight="true" outlineLevel="0" collapsed="false">
      <c r="A336" s="51" t="s">
        <v>21</v>
      </c>
      <c r="B336" s="51" t="s">
        <v>272</v>
      </c>
      <c r="C336" s="51" t="s">
        <v>281</v>
      </c>
      <c r="D336" s="51" t="s">
        <v>220</v>
      </c>
      <c r="E336" s="51" t="s">
        <v>268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341</v>
      </c>
    </row>
    <row r="337" customFormat="false" ht="14.25" hidden="false" customHeight="true" outlineLevel="0" collapsed="false">
      <c r="A337" s="51" t="s">
        <v>21</v>
      </c>
      <c r="B337" s="51" t="s">
        <v>272</v>
      </c>
      <c r="C337" s="51" t="s">
        <v>281</v>
      </c>
      <c r="D337" s="51" t="s">
        <v>283</v>
      </c>
      <c r="E337" s="51" t="s">
        <v>268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339</v>
      </c>
    </row>
    <row r="338" customFormat="false" ht="14.25" hidden="false" customHeight="true" outlineLevel="0" collapsed="false">
      <c r="A338" s="51" t="s">
        <v>21</v>
      </c>
      <c r="B338" s="51" t="s">
        <v>272</v>
      </c>
      <c r="C338" s="51" t="s">
        <v>281</v>
      </c>
      <c r="D338" s="51" t="s">
        <v>180</v>
      </c>
      <c r="E338" s="51" t="s">
        <v>268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326</v>
      </c>
    </row>
    <row r="339" customFormat="false" ht="14.25" hidden="false" customHeight="true" outlineLevel="0" collapsed="false">
      <c r="A339" s="51" t="s">
        <v>21</v>
      </c>
      <c r="B339" s="51" t="s">
        <v>272</v>
      </c>
      <c r="C339" s="51" t="s">
        <v>281</v>
      </c>
      <c r="D339" s="51" t="s">
        <v>181</v>
      </c>
      <c r="E339" s="51" t="s">
        <v>268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326</v>
      </c>
    </row>
    <row r="340" customFormat="false" ht="14.25" hidden="false" customHeight="true" outlineLevel="0" collapsed="false">
      <c r="A340" s="51" t="s">
        <v>21</v>
      </c>
      <c r="B340" s="51" t="s">
        <v>272</v>
      </c>
      <c r="C340" s="51" t="s">
        <v>44</v>
      </c>
      <c r="D340" s="51" t="s">
        <v>182</v>
      </c>
      <c r="E340" s="51" t="s">
        <v>268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326</v>
      </c>
    </row>
    <row r="341" customFormat="false" ht="14.25" hidden="false" customHeight="true" outlineLevel="0" collapsed="false">
      <c r="A341" s="51" t="s">
        <v>21</v>
      </c>
      <c r="B341" s="51" t="s">
        <v>272</v>
      </c>
      <c r="C341" s="51" t="s">
        <v>288</v>
      </c>
      <c r="D341" s="51" t="s">
        <v>179</v>
      </c>
      <c r="E341" s="51" t="s">
        <v>268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326</v>
      </c>
    </row>
    <row r="342" customFormat="false" ht="14.25" hidden="false" customHeight="true" outlineLevel="0" collapsed="false">
      <c r="A342" s="51" t="s">
        <v>21</v>
      </c>
      <c r="B342" s="51" t="s">
        <v>272</v>
      </c>
      <c r="C342" s="51" t="s">
        <v>286</v>
      </c>
      <c r="D342" s="51" t="s">
        <v>157</v>
      </c>
      <c r="E342" s="51" t="s">
        <v>268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326</v>
      </c>
    </row>
    <row r="343" customFormat="false" ht="14.25" hidden="false" customHeight="true" outlineLevel="0" collapsed="false">
      <c r="A343" s="51" t="s">
        <v>21</v>
      </c>
      <c r="B343" s="51" t="s">
        <v>272</v>
      </c>
      <c r="C343" s="51" t="s">
        <v>286</v>
      </c>
      <c r="D343" s="51" t="s">
        <v>158</v>
      </c>
      <c r="E343" s="51" t="s">
        <v>268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326</v>
      </c>
    </row>
    <row r="344" customFormat="false" ht="14.25" hidden="false" customHeight="true" outlineLevel="0" collapsed="false">
      <c r="A344" s="51" t="s">
        <v>21</v>
      </c>
      <c r="B344" s="51" t="s">
        <v>272</v>
      </c>
      <c r="C344" s="51" t="s">
        <v>289</v>
      </c>
      <c r="D344" s="51" t="s">
        <v>186</v>
      </c>
      <c r="E344" s="51" t="s">
        <v>268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295</v>
      </c>
    </row>
    <row r="345" customFormat="false" ht="14.25" hidden="false" customHeight="true" outlineLevel="0" collapsed="false">
      <c r="A345" s="51" t="s">
        <v>21</v>
      </c>
      <c r="B345" s="51" t="s">
        <v>272</v>
      </c>
      <c r="C345" s="51" t="s">
        <v>281</v>
      </c>
      <c r="D345" s="51" t="s">
        <v>314</v>
      </c>
      <c r="E345" s="51" t="s">
        <v>268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328</v>
      </c>
    </row>
    <row r="346" customFormat="false" ht="14.25" hidden="false" customHeight="true" outlineLevel="0" collapsed="false">
      <c r="A346" s="51" t="s">
        <v>21</v>
      </c>
      <c r="B346" s="51" t="s">
        <v>267</v>
      </c>
      <c r="C346" s="51" t="s">
        <v>281</v>
      </c>
      <c r="D346" s="51" t="s">
        <v>220</v>
      </c>
      <c r="E346" s="51" t="s">
        <v>265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342</v>
      </c>
    </row>
    <row r="347" customFormat="false" ht="14.25" hidden="false" customHeight="true" outlineLevel="0" collapsed="false">
      <c r="A347" s="51" t="s">
        <v>21</v>
      </c>
      <c r="B347" s="51" t="s">
        <v>267</v>
      </c>
      <c r="C347" s="51" t="s">
        <v>281</v>
      </c>
      <c r="D347" s="51" t="s">
        <v>180</v>
      </c>
      <c r="E347" s="51" t="s">
        <v>265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326</v>
      </c>
    </row>
    <row r="348" customFormat="false" ht="14.25" hidden="false" customHeight="true" outlineLevel="0" collapsed="false">
      <c r="A348" s="51" t="s">
        <v>21</v>
      </c>
      <c r="B348" s="51" t="s">
        <v>267</v>
      </c>
      <c r="C348" s="51" t="s">
        <v>281</v>
      </c>
      <c r="D348" s="51" t="s">
        <v>181</v>
      </c>
      <c r="E348" s="51" t="s">
        <v>265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326</v>
      </c>
    </row>
    <row r="349" customFormat="false" ht="15" hidden="false" customHeight="true" outlineLevel="0" collapsed="false">
      <c r="A349" s="51" t="s">
        <v>21</v>
      </c>
      <c r="B349" s="51" t="s">
        <v>267</v>
      </c>
      <c r="C349" s="51" t="s">
        <v>44</v>
      </c>
      <c r="D349" s="51" t="s">
        <v>182</v>
      </c>
      <c r="E349" s="51" t="s">
        <v>265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326</v>
      </c>
    </row>
    <row r="350" customFormat="false" ht="14.25" hidden="false" customHeight="true" outlineLevel="0" collapsed="false">
      <c r="A350" s="51" t="s">
        <v>21</v>
      </c>
      <c r="B350" s="51" t="s">
        <v>267</v>
      </c>
      <c r="C350" s="51" t="s">
        <v>288</v>
      </c>
      <c r="D350" s="51" t="s">
        <v>179</v>
      </c>
      <c r="E350" s="51" t="s">
        <v>265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326</v>
      </c>
    </row>
    <row r="351" customFormat="false" ht="14.25" hidden="false" customHeight="true" outlineLevel="0" collapsed="false">
      <c r="A351" s="51" t="s">
        <v>21</v>
      </c>
      <c r="B351" s="51" t="s">
        <v>267</v>
      </c>
      <c r="C351" s="51" t="s">
        <v>286</v>
      </c>
      <c r="D351" s="51" t="s">
        <v>157</v>
      </c>
      <c r="E351" s="51" t="s">
        <v>265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326</v>
      </c>
    </row>
    <row r="352" customFormat="false" ht="14.25" hidden="false" customHeight="true" outlineLevel="0" collapsed="false">
      <c r="A352" s="51" t="s">
        <v>21</v>
      </c>
      <c r="B352" s="51" t="s">
        <v>267</v>
      </c>
      <c r="C352" s="51" t="s">
        <v>286</v>
      </c>
      <c r="D352" s="51" t="s">
        <v>158</v>
      </c>
      <c r="E352" s="51" t="s">
        <v>265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326</v>
      </c>
    </row>
    <row r="353" customFormat="false" ht="14.25" hidden="false" customHeight="true" outlineLevel="0" collapsed="false">
      <c r="A353" s="51" t="s">
        <v>21</v>
      </c>
      <c r="B353" s="51" t="s">
        <v>267</v>
      </c>
      <c r="C353" s="51" t="s">
        <v>289</v>
      </c>
      <c r="D353" s="51" t="s">
        <v>186</v>
      </c>
      <c r="E353" s="51" t="s">
        <v>265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3" t="s">
        <v>359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360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251</v>
      </c>
      <c r="C393" s="50" t="s">
        <v>3</v>
      </c>
      <c r="D393" s="50" t="s">
        <v>361</v>
      </c>
      <c r="E393" s="50" t="s">
        <v>362</v>
      </c>
      <c r="F393" s="50" t="s">
        <v>363</v>
      </c>
      <c r="G393" s="50" t="s">
        <v>364</v>
      </c>
      <c r="H393" s="50" t="s">
        <v>365</v>
      </c>
      <c r="I393" s="50" t="s">
        <v>366</v>
      </c>
      <c r="J393" s="50" t="s">
        <v>367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256</v>
      </c>
      <c r="C394" s="51" t="s">
        <v>368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259</v>
      </c>
      <c r="C395" s="51" t="s">
        <v>368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261</v>
      </c>
      <c r="C396" s="51" t="s">
        <v>368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262</v>
      </c>
      <c r="C397" s="51" t="s">
        <v>368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265</v>
      </c>
      <c r="C398" s="51" t="s">
        <v>368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268</v>
      </c>
      <c r="C399" s="51" t="s">
        <v>368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274</v>
      </c>
      <c r="C400" s="51" t="s">
        <v>368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256</v>
      </c>
      <c r="C401" s="51" t="s">
        <v>368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259</v>
      </c>
      <c r="C402" s="51" t="s">
        <v>368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261</v>
      </c>
      <c r="C403" s="51" t="s">
        <v>368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262</v>
      </c>
      <c r="C404" s="51" t="s">
        <v>368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265</v>
      </c>
      <c r="C405" s="51" t="s">
        <v>368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268</v>
      </c>
      <c r="C406" s="51" t="s">
        <v>368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274</v>
      </c>
      <c r="C407" s="51" t="s">
        <v>368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256</v>
      </c>
      <c r="C408" s="51" t="s">
        <v>368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259</v>
      </c>
      <c r="C409" s="51" t="s">
        <v>368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261</v>
      </c>
      <c r="C410" s="51" t="s">
        <v>368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262</v>
      </c>
      <c r="C411" s="51" t="s">
        <v>368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265</v>
      </c>
      <c r="C412" s="51" t="s">
        <v>368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268</v>
      </c>
      <c r="C413" s="51" t="s">
        <v>368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274</v>
      </c>
      <c r="C414" s="51" t="s">
        <v>368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8" t="s">
        <v>369</v>
      </c>
      <c r="B1" s="58"/>
      <c r="C1" s="58"/>
      <c r="D1" s="58"/>
    </row>
    <row r="2" customFormat="false" ht="15" hidden="false" customHeight="true" outlineLevel="0" collapsed="false">
      <c r="A2" s="59" t="s">
        <v>370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140</v>
      </c>
      <c r="C4" s="60" t="s">
        <v>277</v>
      </c>
      <c r="D4" s="60" t="s">
        <v>279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176</v>
      </c>
      <c r="D5" s="61" t="n">
        <f aca="false">'CUSTOS MENSAIS'!F271</f>
        <v>359.291803</v>
      </c>
    </row>
    <row r="6" customFormat="false" ht="15" hidden="false" customHeight="true" outlineLevel="0" collapsed="false">
      <c r="A6" s="45" t="s">
        <v>11</v>
      </c>
      <c r="B6" s="45" t="s">
        <v>310</v>
      </c>
      <c r="C6" s="45" t="s">
        <v>178</v>
      </c>
      <c r="D6" s="62" t="n">
        <f aca="false">'CUSTOS MENSAIS'!F273</f>
        <v>0.291</v>
      </c>
    </row>
    <row r="7" customFormat="false" ht="15" hidden="false" customHeight="true" outlineLevel="0" collapsed="false">
      <c r="A7" s="44" t="s">
        <v>11</v>
      </c>
      <c r="B7" s="44" t="s">
        <v>281</v>
      </c>
      <c r="C7" s="44" t="s">
        <v>220</v>
      </c>
      <c r="D7" s="61" t="n">
        <f aca="false">'CUSTOS MENSAIS'!F274</f>
        <v>0</v>
      </c>
    </row>
    <row r="8" customFormat="false" ht="15" hidden="false" customHeight="true" outlineLevel="0" collapsed="false">
      <c r="A8" s="45" t="s">
        <v>11</v>
      </c>
      <c r="B8" s="45" t="s">
        <v>288</v>
      </c>
      <c r="C8" s="45" t="s">
        <v>179</v>
      </c>
      <c r="D8" s="62" t="n">
        <f aca="false">'CUSTOS MENSAIS'!F275</f>
        <v>38376.56</v>
      </c>
    </row>
    <row r="9" customFormat="false" ht="15" hidden="false" customHeight="true" outlineLevel="0" collapsed="false">
      <c r="A9" s="44" t="s">
        <v>11</v>
      </c>
      <c r="B9" s="44" t="s">
        <v>281</v>
      </c>
      <c r="C9" s="44" t="s">
        <v>180</v>
      </c>
      <c r="D9" s="61" t="n">
        <f aca="false">'CUSTOS MENSAIS'!F276</f>
        <v>0</v>
      </c>
    </row>
    <row r="10" customFormat="false" ht="15" hidden="false" customHeight="true" outlineLevel="0" collapsed="false">
      <c r="A10" s="45" t="s">
        <v>11</v>
      </c>
      <c r="B10" s="45" t="s">
        <v>281</v>
      </c>
      <c r="C10" s="45" t="s">
        <v>181</v>
      </c>
      <c r="D10" s="62" t="n">
        <f aca="false">'CUSTOS MENSAIS'!F277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182</v>
      </c>
      <c r="D11" s="61" t="n">
        <f aca="false">'CUSTOS MENSAIS'!F278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221</v>
      </c>
      <c r="D12" s="62" t="n">
        <f aca="false">'CUSTOS MENSAIS'!F279</f>
        <v>100</v>
      </c>
    </row>
    <row r="13" customFormat="false" ht="15" hidden="false" customHeight="true" outlineLevel="0" collapsed="false">
      <c r="A13" s="44" t="s">
        <v>11</v>
      </c>
      <c r="B13" s="44" t="s">
        <v>287</v>
      </c>
      <c r="C13" s="44" t="s">
        <v>183</v>
      </c>
      <c r="D13" s="61" t="n">
        <f aca="false">'CUSTOS MENSAIS'!F295</f>
        <v>35</v>
      </c>
    </row>
    <row r="14" customFormat="false" ht="15" hidden="false" customHeight="true" outlineLevel="0" collapsed="false">
      <c r="A14" s="45" t="s">
        <v>11</v>
      </c>
      <c r="B14" s="45" t="s">
        <v>287</v>
      </c>
      <c r="C14" s="45" t="s">
        <v>184</v>
      </c>
      <c r="D14" s="62" t="n">
        <f aca="false">'CUSTOS MENSAIS'!F296</f>
        <v>180</v>
      </c>
    </row>
    <row r="15" customFormat="false" ht="15" hidden="false" customHeight="true" outlineLevel="0" collapsed="false">
      <c r="A15" s="44" t="s">
        <v>11</v>
      </c>
      <c r="B15" s="44" t="s">
        <v>287</v>
      </c>
      <c r="C15" s="44" t="s">
        <v>185</v>
      </c>
      <c r="D15" s="61" t="n">
        <f aca="false">'CUSTOS MENSAIS'!F297</f>
        <v>0</v>
      </c>
    </row>
    <row r="16" customFormat="false" ht="15" hidden="false" customHeight="true" outlineLevel="0" collapsed="false">
      <c r="A16" s="45" t="s">
        <v>11</v>
      </c>
      <c r="B16" s="45" t="s">
        <v>289</v>
      </c>
      <c r="C16" s="45" t="s">
        <v>186</v>
      </c>
      <c r="D16" s="62" t="n">
        <f aca="false">'CUSTOS MENSAIS'!F298</f>
        <v>692.28</v>
      </c>
    </row>
    <row r="17" customFormat="false" ht="15" hidden="false" customHeight="true" outlineLevel="0" collapsed="false">
      <c r="A17" s="44" t="s">
        <v>11</v>
      </c>
      <c r="B17" s="44" t="s">
        <v>286</v>
      </c>
      <c r="C17" s="44" t="s">
        <v>157</v>
      </c>
      <c r="D17" s="61" t="n">
        <f aca="false">'CUSTOS MENSAIS'!F299</f>
        <v>7689.5</v>
      </c>
    </row>
    <row r="18" customFormat="false" ht="15" hidden="false" customHeight="true" outlineLevel="0" collapsed="false">
      <c r="A18" s="45" t="s">
        <v>11</v>
      </c>
      <c r="B18" s="45" t="s">
        <v>286</v>
      </c>
      <c r="C18" s="45" t="s">
        <v>158</v>
      </c>
      <c r="D18" s="62" t="n">
        <f aca="false">'CUSTOS MENSAIS'!F300</f>
        <v>350</v>
      </c>
    </row>
    <row r="19" customFormat="false" ht="15" hidden="false" customHeight="true" outlineLevel="0" collapsed="false">
      <c r="A19" s="44" t="s">
        <v>11</v>
      </c>
      <c r="B19" s="44" t="s">
        <v>281</v>
      </c>
      <c r="C19" s="44" t="s">
        <v>187</v>
      </c>
      <c r="D19" s="61" t="n">
        <f aca="false">'CUSTOS MENSAIS'!F301</f>
        <v>5036.91</v>
      </c>
    </row>
    <row r="20" customFormat="false" ht="15" hidden="false" customHeight="true" outlineLevel="0" collapsed="false">
      <c r="A20" s="45" t="s">
        <v>11</v>
      </c>
      <c r="B20" s="45" t="s">
        <v>310</v>
      </c>
      <c r="C20" s="45" t="s">
        <v>188</v>
      </c>
      <c r="D20" s="62" t="n">
        <f aca="false">'CUSTOS MENSAIS'!F302</f>
        <v>570</v>
      </c>
    </row>
    <row r="21" customFormat="false" ht="15" hidden="false" customHeight="true" outlineLevel="0" collapsed="false">
      <c r="A21" s="44" t="s">
        <v>11</v>
      </c>
      <c r="B21" s="44" t="s">
        <v>310</v>
      </c>
      <c r="C21" s="44" t="s">
        <v>189</v>
      </c>
      <c r="D21" s="61" t="n">
        <f aca="false">'CUSTOS MENSAIS'!F303</f>
        <v>89.28</v>
      </c>
    </row>
    <row r="22" customFormat="false" ht="15" hidden="false" customHeight="true" outlineLevel="0" collapsed="false">
      <c r="A22" s="45" t="s">
        <v>11</v>
      </c>
      <c r="B22" s="45" t="s">
        <v>310</v>
      </c>
      <c r="C22" s="45" t="s">
        <v>190</v>
      </c>
      <c r="D22" s="62" t="n">
        <f aca="false">'CUSTOS MENSAIS'!F304</f>
        <v>18.45</v>
      </c>
    </row>
    <row r="23" customFormat="false" ht="15" hidden="false" customHeight="true" outlineLevel="0" collapsed="false">
      <c r="A23" s="44" t="s">
        <v>11</v>
      </c>
      <c r="B23" s="44" t="s">
        <v>310</v>
      </c>
      <c r="C23" s="44" t="s">
        <v>191</v>
      </c>
      <c r="D23" s="61" t="n">
        <f aca="false">'CUSTOS MENSAIS'!F305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371</v>
      </c>
      <c r="D24" s="64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176</v>
      </c>
      <c r="D26" s="61" t="n">
        <f aca="false">'CUSTOS MENSAIS'!F306</f>
        <v>239.527869</v>
      </c>
    </row>
    <row r="27" customFormat="false" ht="15" hidden="false" customHeight="true" outlineLevel="0" collapsed="false">
      <c r="A27" s="45" t="s">
        <v>20</v>
      </c>
      <c r="B27" s="45" t="s">
        <v>310</v>
      </c>
      <c r="C27" s="45" t="s">
        <v>178</v>
      </c>
      <c r="D27" s="62" t="n">
        <f aca="false">'CUSTOS MENSAIS'!F308</f>
        <v>0.194</v>
      </c>
    </row>
    <row r="28" customFormat="false" ht="15" hidden="false" customHeight="true" outlineLevel="0" collapsed="false">
      <c r="A28" s="44" t="s">
        <v>20</v>
      </c>
      <c r="B28" s="44" t="s">
        <v>281</v>
      </c>
      <c r="C28" s="44" t="s">
        <v>220</v>
      </c>
      <c r="D28" s="61" t="n">
        <f aca="false">'CUSTOS MENSAIS'!F309</f>
        <v>0</v>
      </c>
    </row>
    <row r="29" customFormat="false" ht="15" hidden="false" customHeight="true" outlineLevel="0" collapsed="false">
      <c r="A29" s="45" t="s">
        <v>20</v>
      </c>
      <c r="B29" s="45" t="s">
        <v>288</v>
      </c>
      <c r="C29" s="45" t="s">
        <v>179</v>
      </c>
      <c r="D29" s="62" t="n">
        <f aca="false">'CUSTOS MENSAIS'!F310</f>
        <v>26304.95</v>
      </c>
    </row>
    <row r="30" customFormat="false" ht="15" hidden="false" customHeight="true" outlineLevel="0" collapsed="false">
      <c r="A30" s="44" t="s">
        <v>20</v>
      </c>
      <c r="B30" s="44" t="s">
        <v>281</v>
      </c>
      <c r="C30" s="44" t="s">
        <v>180</v>
      </c>
      <c r="D30" s="61" t="n">
        <f aca="false">'CUSTOS MENSAIS'!F329</f>
        <v>107.549</v>
      </c>
    </row>
    <row r="31" customFormat="false" ht="15" hidden="false" customHeight="true" outlineLevel="0" collapsed="false">
      <c r="A31" s="45" t="s">
        <v>20</v>
      </c>
      <c r="B31" s="45" t="s">
        <v>281</v>
      </c>
      <c r="C31" s="45" t="s">
        <v>181</v>
      </c>
      <c r="D31" s="62" t="n">
        <f aca="false">'CUSTOS MENSAIS'!F330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182</v>
      </c>
      <c r="D32" s="61" t="n">
        <f aca="false">'CUSTOS MENSAIS'!F331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221</v>
      </c>
      <c r="D33" s="62" t="n">
        <f aca="false">'CUSTOS MENSAIS'!F332</f>
        <v>130589.439786667</v>
      </c>
    </row>
    <row r="34" customFormat="false" ht="15" hidden="false" customHeight="true" outlineLevel="0" collapsed="false">
      <c r="A34" s="44" t="s">
        <v>20</v>
      </c>
      <c r="B34" s="44" t="s">
        <v>287</v>
      </c>
      <c r="C34" s="44" t="s">
        <v>183</v>
      </c>
      <c r="D34" s="61" t="n">
        <f aca="false">'CUSTOS MENSAIS'!F333</f>
        <v>700</v>
      </c>
    </row>
    <row r="35" customFormat="false" ht="15" hidden="false" customHeight="true" outlineLevel="0" collapsed="false">
      <c r="A35" s="45" t="s">
        <v>20</v>
      </c>
      <c r="B35" s="45" t="s">
        <v>287</v>
      </c>
      <c r="C35" s="45" t="s">
        <v>184</v>
      </c>
      <c r="D35" s="62" t="n">
        <f aca="false">'CUSTOS MENSAIS'!F334</f>
        <v>128.96</v>
      </c>
    </row>
    <row r="36" customFormat="false" ht="15" hidden="false" customHeight="true" outlineLevel="0" collapsed="false">
      <c r="A36" s="44" t="s">
        <v>20</v>
      </c>
      <c r="B36" s="44" t="s">
        <v>287</v>
      </c>
      <c r="C36" s="44" t="s">
        <v>185</v>
      </c>
      <c r="D36" s="61" t="n">
        <f aca="false">'CUSTOS MENSAIS'!F335</f>
        <v>26.65</v>
      </c>
    </row>
    <row r="37" customFormat="false" ht="15" hidden="false" customHeight="true" outlineLevel="0" collapsed="false">
      <c r="A37" s="45" t="s">
        <v>20</v>
      </c>
      <c r="B37" s="45" t="s">
        <v>289</v>
      </c>
      <c r="C37" s="45" t="s">
        <v>186</v>
      </c>
      <c r="D37" s="62" t="n">
        <f aca="false">'CUSTOS MENSAIS'!F336</f>
        <v>21454</v>
      </c>
    </row>
    <row r="38" customFormat="false" ht="15" hidden="false" customHeight="true" outlineLevel="0" collapsed="false">
      <c r="A38" s="44" t="s">
        <v>20</v>
      </c>
      <c r="B38" s="44" t="s">
        <v>286</v>
      </c>
      <c r="C38" s="44" t="s">
        <v>157</v>
      </c>
      <c r="D38" s="61" t="n">
        <f aca="false">'CUSTOS MENSAIS'!F337</f>
        <v>178.44</v>
      </c>
    </row>
    <row r="39" customFormat="false" ht="15" hidden="false" customHeight="true" outlineLevel="0" collapsed="false">
      <c r="A39" s="45" t="s">
        <v>20</v>
      </c>
      <c r="B39" s="45" t="s">
        <v>286</v>
      </c>
      <c r="C39" s="45" t="s">
        <v>158</v>
      </c>
      <c r="D39" s="62" t="n">
        <f aca="false">'CUSTOS MENSAIS'!F338</f>
        <v>261.24</v>
      </c>
    </row>
    <row r="40" customFormat="false" ht="15" hidden="false" customHeight="true" outlineLevel="0" collapsed="false">
      <c r="A40" s="44" t="s">
        <v>20</v>
      </c>
      <c r="B40" s="44" t="s">
        <v>281</v>
      </c>
      <c r="C40" s="44" t="s">
        <v>187</v>
      </c>
      <c r="D40" s="61" t="n">
        <f aca="false">'CUSTOS MENSAIS'!F339</f>
        <v>285.96</v>
      </c>
    </row>
    <row r="41" customFormat="false" ht="15" hidden="false" customHeight="true" outlineLevel="0" collapsed="false">
      <c r="A41" s="45" t="s">
        <v>20</v>
      </c>
      <c r="B41" s="45" t="s">
        <v>310</v>
      </c>
      <c r="C41" s="45" t="s">
        <v>188</v>
      </c>
      <c r="D41" s="62" t="n">
        <f aca="false">'CUSTOS MENSAIS'!F340</f>
        <v>89.22</v>
      </c>
    </row>
    <row r="42" customFormat="false" ht="15" hidden="false" customHeight="true" outlineLevel="0" collapsed="false">
      <c r="A42" s="44" t="s">
        <v>20</v>
      </c>
      <c r="B42" s="44" t="s">
        <v>310</v>
      </c>
      <c r="C42" s="44" t="s">
        <v>189</v>
      </c>
      <c r="D42" s="61" t="n">
        <f aca="false">'CUSTOS MENSAIS'!F341</f>
        <v>130.62</v>
      </c>
    </row>
    <row r="43" customFormat="false" ht="15" hidden="false" customHeight="true" outlineLevel="0" collapsed="false">
      <c r="A43" s="45" t="s">
        <v>20</v>
      </c>
      <c r="B43" s="45" t="s">
        <v>310</v>
      </c>
      <c r="C43" s="45" t="s">
        <v>190</v>
      </c>
      <c r="D43" s="62" t="n">
        <f aca="false">'CUSTOS MENSAIS'!F342</f>
        <v>142.98</v>
      </c>
    </row>
    <row r="44" customFormat="false" ht="15" hidden="false" customHeight="true" outlineLevel="0" collapsed="false">
      <c r="A44" s="44" t="s">
        <v>20</v>
      </c>
      <c r="B44" s="44" t="s">
        <v>310</v>
      </c>
      <c r="C44" s="44" t="s">
        <v>191</v>
      </c>
      <c r="D44" s="61" t="n">
        <f aca="false">'CUSTOS MENSAIS'!F343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372</v>
      </c>
      <c r="D45" s="64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373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374</v>
      </c>
      <c r="C49" s="66" t="s">
        <v>375</v>
      </c>
      <c r="D49" s="66" t="s">
        <v>376</v>
      </c>
      <c r="E49" s="66" t="s">
        <v>377</v>
      </c>
      <c r="F49" s="66" t="s">
        <v>378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SETORES!$D$28</f>
        <v>143614.95804</v>
      </c>
      <c r="F50" s="61" t="n">
        <f aca="false">IFERROR(E50/C50,0)</f>
        <v>780.516076304348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SETORES!$D$55</f>
        <v>53576.6036</v>
      </c>
      <c r="F51" s="62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379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380</v>
      </c>
      <c r="C54" s="66" t="s">
        <v>381</v>
      </c>
      <c r="D54" s="66" t="s">
        <v>382</v>
      </c>
      <c r="E54" s="66" t="s">
        <v>383</v>
      </c>
      <c r="F54" s="66" t="s">
        <v>384</v>
      </c>
      <c r="G54" s="67" t="s">
        <v>385</v>
      </c>
      <c r="H54" s="67" t="s">
        <v>386</v>
      </c>
      <c r="I54" s="66" t="s">
        <v>387</v>
      </c>
      <c r="J54" s="66" t="s">
        <v>388</v>
      </c>
      <c r="K54" s="66" t="s">
        <v>389</v>
      </c>
      <c r="L54" s="66" t="s">
        <v>390</v>
      </c>
      <c r="M54" s="66" t="s">
        <v>367</v>
      </c>
      <c r="O54" s="1" t="s">
        <v>391</v>
      </c>
    </row>
    <row r="55" customFormat="false" ht="14.25" hidden="false" customHeight="true" outlineLevel="0" collapsed="false">
      <c r="A55" s="44" t="s">
        <v>11</v>
      </c>
      <c r="B55" s="44" t="s">
        <v>392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8" t="n">
        <f aca="false">K55+E55+F55+J55</f>
        <v>16442.38</v>
      </c>
      <c r="M55" s="68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393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8" t="n">
        <f aca="false">K56+E56+F56+J56</f>
        <v>14838.23</v>
      </c>
      <c r="M56" s="68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394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8" t="n">
        <f aca="false">K57+E57+F57+J57</f>
        <v>22610.92</v>
      </c>
      <c r="M57" s="68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392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8" t="n">
        <f aca="false">IFERROR(L59/C59,0)</f>
        <v>351.605135135135</v>
      </c>
      <c r="N59" s="68"/>
      <c r="O59" s="1" t="n">
        <v>25</v>
      </c>
    </row>
    <row r="60" customFormat="false" ht="14.25" hidden="false" customHeight="true" outlineLevel="0" collapsed="false">
      <c r="A60" s="45" t="s">
        <v>20</v>
      </c>
      <c r="B60" s="45" t="s">
        <v>393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8" t="n">
        <f aca="false">IFERROR(L60/C60,0)</f>
        <v>331.236</v>
      </c>
      <c r="N60" s="68"/>
      <c r="O60" s="1" t="n">
        <v>2</v>
      </c>
    </row>
    <row r="61" customFormat="false" ht="14.25" hidden="false" customHeight="true" outlineLevel="0" collapsed="false">
      <c r="A61" s="44" t="s">
        <v>20</v>
      </c>
      <c r="B61" s="44" t="s">
        <v>394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8" t="n">
        <f aca="false">IFERROR(L61/C61,0)</f>
        <v>386.459</v>
      </c>
      <c r="N61" s="68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9" t="n">
        <f aca="false">SUM(D59:D61)</f>
        <v>16088.29</v>
      </c>
      <c r="E62" s="69" t="n">
        <f aca="false">SUM(E59:E61)</f>
        <v>2413.24</v>
      </c>
      <c r="F62" s="69" t="n">
        <f aca="false">SUM(F59:F61)</f>
        <v>3751.87</v>
      </c>
      <c r="G62" s="69" t="n">
        <f aca="false">SUM(G59:G61)</f>
        <v>309549.7</v>
      </c>
      <c r="H62" s="69" t="n">
        <f aca="false">SUM(H59:H61)</f>
        <v>22859.4</v>
      </c>
      <c r="I62" s="69" t="n">
        <f aca="false">SUM(I59:I61)</f>
        <v>348497.39</v>
      </c>
      <c r="J62" s="69" t="n">
        <f aca="false">SUM(J59:J61)</f>
        <v>2443.93</v>
      </c>
      <c r="K62" s="69" t="n">
        <f aca="false">SUM(K59:K61)</f>
        <v>27587.38</v>
      </c>
      <c r="L62" s="67" t="n">
        <f aca="false">SUM(L59:L61)</f>
        <v>36196.42</v>
      </c>
      <c r="M62" s="68" t="n">
        <f aca="false">IFERROR(L62/C62,0)</f>
        <v>354.866862745098</v>
      </c>
      <c r="N62" s="68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0" t="s">
        <v>395</v>
      </c>
    </row>
    <row r="2" customFormat="false" ht="15" hidden="false" customHeight="true" outlineLevel="0" collapsed="false">
      <c r="A2" s="71" t="s">
        <v>396</v>
      </c>
    </row>
    <row r="4" customFormat="false" ht="15" hidden="false" customHeight="true" outlineLevel="0" collapsed="false">
      <c r="A4" s="72" t="s">
        <v>9</v>
      </c>
      <c r="B4" s="72" t="s">
        <v>24</v>
      </c>
      <c r="C4" s="72" t="s">
        <v>141</v>
      </c>
      <c r="D4" s="72" t="s">
        <v>3</v>
      </c>
      <c r="E4" s="72" t="s">
        <v>142</v>
      </c>
      <c r="F4" s="72" t="s">
        <v>143</v>
      </c>
      <c r="G4" s="72" t="s">
        <v>397</v>
      </c>
      <c r="H4" s="72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3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3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3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3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3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3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3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3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3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3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3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3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3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3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3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3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3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3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3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3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3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3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3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3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3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3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3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3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3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3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3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3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3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3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3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3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3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3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3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3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3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3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3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3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3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3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3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3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3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3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3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3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3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3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3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3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3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3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3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3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3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3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3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3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3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3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3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3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3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3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3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3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3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3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3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3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3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3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3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3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3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3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3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3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3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3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3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3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3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3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3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3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3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3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3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3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3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3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3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3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3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3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3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3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3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3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3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3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3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3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3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3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3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3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3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3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3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3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3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3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3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3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3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3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3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3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3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3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3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3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3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3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3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3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3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3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3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3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3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3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3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3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3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3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3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3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3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3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3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3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3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3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3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3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3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3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3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3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3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3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3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3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3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3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3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3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3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3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3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3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3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3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3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3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3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3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3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3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3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3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3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3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3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3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3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3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3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3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3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3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3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3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3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3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3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3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3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3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3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3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3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3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3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3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3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3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3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3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3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3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3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3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3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3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3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3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3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3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3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3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3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3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3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3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3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3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3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3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3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3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3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3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3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3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3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3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3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3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3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3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3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3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3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3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3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3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3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3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3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3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3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3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3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3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3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3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3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3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3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3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3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3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3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3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3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3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3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3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3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3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3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3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3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3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3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3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3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3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3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3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3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3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3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3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3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3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3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3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3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3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3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3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3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3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3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3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3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3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3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3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3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3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3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3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3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3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3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3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3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3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3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3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3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3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3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3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3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3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3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3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3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3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3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3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3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3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3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3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3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3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3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3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3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3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3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3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3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3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3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3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3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3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3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3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3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3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3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3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3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3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3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3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3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3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3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3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3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3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3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3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3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3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3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3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3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3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3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3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3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3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3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3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3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3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3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3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3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3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3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3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3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3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3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3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3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3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3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3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3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3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3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3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3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3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3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3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3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3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3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3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3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3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3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3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3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3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3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3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3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3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3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3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3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3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3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3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3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3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3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3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3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3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3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3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3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3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3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3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3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3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3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3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3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3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3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3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3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3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3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3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3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3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3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3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3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3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3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3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3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3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3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3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3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3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3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3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3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3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3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3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3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3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3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3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3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3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3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3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3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3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3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3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3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3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3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3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3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3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3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3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3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3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3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3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3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3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3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3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3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3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3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3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3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3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3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3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3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3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3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3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3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3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3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3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3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3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3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3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3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3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3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3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3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3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3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3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3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3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3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3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3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3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3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3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3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3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3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3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3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3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3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3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3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3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3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3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3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3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3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3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3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3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3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3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3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3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3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3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3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3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3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3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3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3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3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3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3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3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3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3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3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3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3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3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3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3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3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3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3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3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3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3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3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3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3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3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3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3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3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3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3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3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3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3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3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3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3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3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3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3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3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3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3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3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3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3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3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3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3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3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3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3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3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3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3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3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3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3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3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3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3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3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3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3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3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3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3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3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3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3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3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3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3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3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3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3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3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3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3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3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3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3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3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3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3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3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3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3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3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3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3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3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3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3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3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3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3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3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3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3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3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3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3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3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3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3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3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3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3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3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3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3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3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3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3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3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3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3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3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3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3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3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3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3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3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3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3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3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3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3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3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3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3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3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3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3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3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3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3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3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3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3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3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3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3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3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3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3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3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3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3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3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3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3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3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3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3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3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3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3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3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3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3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3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3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3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3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3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3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3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3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3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3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3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3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3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3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3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3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3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3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3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3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3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3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3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3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3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3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3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3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3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3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3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3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3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3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3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3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3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3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3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3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3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3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3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3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3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3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3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3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3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3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3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3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3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3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3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3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3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3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3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3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3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3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3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3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3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3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3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3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3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3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3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3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3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3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3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3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3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3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3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3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3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3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3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3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3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3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3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3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3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3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3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3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3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3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3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3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3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3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3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3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3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3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3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3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3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3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3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3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3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3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3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3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3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3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3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3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3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3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3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3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3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3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3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3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3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3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3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3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3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3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3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3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3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3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3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3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3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3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3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3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3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3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3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3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3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3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3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3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3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3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3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3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3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3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3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3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3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3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3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3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3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3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3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3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3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3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3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3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3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3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3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3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3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3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3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3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3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3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3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3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3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3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3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3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3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3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3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3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3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3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3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3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3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3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3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3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3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3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3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3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3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3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3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3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3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3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3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3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3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3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3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3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3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3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3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3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3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3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3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3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3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3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3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3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3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3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3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3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3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3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3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3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3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3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3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3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3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3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3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3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3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3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3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3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3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3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3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3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3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3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3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3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3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3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3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3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3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3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3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3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3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3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3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3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3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3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3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3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3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3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3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3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3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3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3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3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3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3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3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3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3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3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3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3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3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3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3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3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3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3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3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3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3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3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3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3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3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3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3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3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3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3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3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3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3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3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3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3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3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3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3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3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3" t="n">
        <v>3</v>
      </c>
      <c r="F1030" s="41" t="n">
        <v>50</v>
      </c>
      <c r="G1030" s="41" t="n">
        <v>150</v>
      </c>
      <c r="H1030" s="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2026-08-28T18:39:37Z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