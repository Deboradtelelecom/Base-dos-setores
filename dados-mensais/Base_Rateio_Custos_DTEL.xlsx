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<sst xmlns="http://schemas.openxmlformats.org/spreadsheetml/2006/main" count="27636" uniqueCount="792">
  <si>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</si>
  <si>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</si>
  <si>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</si>
  <si>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</si>
  <si>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</si>
  <si>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</si>
  <si>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</si>
  <si>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</si>
  <si>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</si>
  <si>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</si>
  <si>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</si>
  <si>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</si>
  <si>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</si>
  <si>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</si>
  <si>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</si>
  <si>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</si>
  <si>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</si>
  <si>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</si>
  <si>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</si>
  <si>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</si>
  <si>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</si>
  <si>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</si>
  <si>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</si>
  <si>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</si>
  <si>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</si>
  <si>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</si>
  <si>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</si>
  <si>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</si>
  <si>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</si>
  <si>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</si>
  <si>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</si>
  <si>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</si>
  <si>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</si>
  <si>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</si>
  <si>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</si>
  <si>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</si>
  <si>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</si>
  <si>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</si>
  <si>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</si>
  <si>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</si>
  <si>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</si>
  <si>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</si>
  <si>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</si>
  <si>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</si>
  <si>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</si>
  <si>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</si>
  <si>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</si>
  <si>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</si>
  <si>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</si>
  <si>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</si>
  <si>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</si>
  <si>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</si>
  <si>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</si>
  <si>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</si>
  <si>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</si>
  <si>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</si>
  <si>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</si>
  <si>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</si>
  <si>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</si>
  <si>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</si>
  <si>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</si>
  <si>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</si>
  <si>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</si>
  <si>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</si>
  <si>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</si>
  <si>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</si>
  <si>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</si>
  <si>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</si>
  <si>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</si>
  <si>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</si>
  <si>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</si>
  <si>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</si>
  <si>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</si>
  <si>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</si>
  <si>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</si>
  <si>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</si>
  <si>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</si>
  <si>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</si>
  <si>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</si>
  <si>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</si>
  <si>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</si>
  <si>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</si>
  <si>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</si>
  <si>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</si>
  <si>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</si>
  <si>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</si>
  <si>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</si>
  <si>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</si>
  <si>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</si>
  <si>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</si>
  <si>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</si>
  <si>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</si>
  <si>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</si>
  <si>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</si>
  <si>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</si>
  <si>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</si>
  <si>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</si>
  <si>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</si>
  <si>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</si>
  <si>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</si>
  <si>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</si>
  <si>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</si>
  <si>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</si>
  <si>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</si>
  <si>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</si>
  <si>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</si>
  <si>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</si>
  <si>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</si>
  <si>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</si>
  <si>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</si>
  <si>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</si>
  <si>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</si>
  <si>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</si>
  <si>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</si>
  <si>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</si>
  <si>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</si>
  <si>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</si>
  <si>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</si>
  <si>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</si>
  <si>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</si>
  <si>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</si>
  <si>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</si>
  <si>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</si>
  <si>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</si>
  <si>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</si>
  <si>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</si>
  <si>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</si>
  <si>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</si>
  <si>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</si>
  <si>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</si>
  <si>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</si>
  <si>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</si>
  <si>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</si>
  <si>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</si>
  <si>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</si>
  <si>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</si>
  <si>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</si>
  <si>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</si>
  <si>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</si>
  <si>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</si>
  <si>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</si>
  <si>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</si>
  <si>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</si>
  <si>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</si>
  <si>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</si>
  <si>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</si>
  <si>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</si>
  <si>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</si>
  <si>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</si>
  <si>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</si>
  <si>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</si>
  <si>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</si>
  <si>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</si>
  <si>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</si>
  <si>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</si>
  <si>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</si>
  <si>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</si>
  <si>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</si>
  <si>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</si>
  <si>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</si>
  <si>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</si>
  <si>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</si>
  <si>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</si>
  <si>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</si>
  <si>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</si>
  <si>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</si>
  <si>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</si>
  <si>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</si>
  <si>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</si>
  <si>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</si>
  <si>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</si>
  <si>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</si>
  <si>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</si>
  <si>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</si>
  <si>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</si>
  <si>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</si>
  <si>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</si>
  <si>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</si>
  <si>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</si>
  <si>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</si>
  <si>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</si>
  <si>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</si>
  <si>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</si>
  <si>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</si>
  <si>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</si>
  <si>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</si>
  <si>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</si>
  <si>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</si>
  <si>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</si>
  <si>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</si>
  <si>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</si>
  <si>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</si>
  <si>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</si>
  <si>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</si>
  <si>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</si>
  <si>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</si>
  <si>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</si>
  <si>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</si>
  <si>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</si>
  <si>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</si>
  <si>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</si>
  <si>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</si>
  <si>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</si>
  <si>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</si>
  <si>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</si>
  <si>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</si>
  <si>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</si>
  <si>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</si>
  <si>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</si>
  <si>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</si>
  <si>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</si>
  <si>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</si>
  <si>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</si>
  <si>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</si>
  <si>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</si>
  <si>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</si>
  <si>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</si>
  <si>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</si>
  <si>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</si>
  <si>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</si>
  <si>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</si>
  <si>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</si>
  <si>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</si>
  <si>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</si>
  <si>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</si>
  <si>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</si>
  <si>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</si>
  <si>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</si>
  <si>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</si>
  <si>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</si>
  <si>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</si>
  <si>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</si>
  <si>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</si>
  <si>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</si>
  <si>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</si>
  <si>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</si>
  <si>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</si>
  <si>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</si>
  <si>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</si>
  <si>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</si>
  <si>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</si>
  <si>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</si>
  <si>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</si>
  <si>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</si>
  <si>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</si>
  <si>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</si>
  <si>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</si>
  <si>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</si>
  <si>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</si>
  <si>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</si>
  <si>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</si>
  <si>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</si>
  <si>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</si>
  <si>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</si>
  <si>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</si>
  <si>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</si>
  <si>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</si>
  <si>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</si>
  <si>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</si>
  <si>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</si>
  <si>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</si>
  <si>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</si>
  <si>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</si>
  <si>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</si>
  <si>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</si>
  <si>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</si>
  <si>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</si>
  <si>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</si>
  <si>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</si>
  <si>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</si>
  <si>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</si>
  <si>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</si>
  <si>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</si>
  <si>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</si>
  <si>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</si>
  <si>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</si>
  <si>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</si>
  <si>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</si>
  <si>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</si>
  <si>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</si>
  <si>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</si>
  <si>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</si>
  <si>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</si>
  <si>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</si>
  <si>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</si>
  <si>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</si>
  <si>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</si>
  <si>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</si>
  <si>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</si>
  <si>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</si>
  <si>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</si>
  <si>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</si>
  <si>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</si>
  <si>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</si>
  <si>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</si>
  <si>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</si>
  <si>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</si>
  <si>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</si>
  <si>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</si>
  <si>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</si>
  <si>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</si>
  <si>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</si>
  <si>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</si>
  <si>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</si>
  <si>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</si>
  <si>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</si>
  <si>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</si>
  <si>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</si>
  <si>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</si>
  <si>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</si>
  <si>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</si>
  <si>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</si>
  <si>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</si>
  <si>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</si>
  <si>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</si>
  <si>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</si>
  <si>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</si>
  <si>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</si>
  <si>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</si>
  <si>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</si>
  <si>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</si>
  <si>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</si>
  <si>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</si>
  <si>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</si>
  <si>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</si>
  <si>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</si>
  <si>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</si>
  <si>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</si>
  <si>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</si>
  <si>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</si>
  <si>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</si>
  <si>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</si>
  <si>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</si>
  <si>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</si>
  <si>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</si>
  <si>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</si>
  <si>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</si>
  <si>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</si>
  <si>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</si>
  <si>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</si>
  <si>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</si>
  <si>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</si>
  <si>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</si>
  <si>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</si>
  <si>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</si>
  <si>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</si>
  <si>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</si>
  <si>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</si>
  <si>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</si>
  <si>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</si>
  <si>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</si>
  <si>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</si>
  <si>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</si>
  <si>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</si>
  <si>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</si>
  <si>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</si>
  <si>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</si>
  <si>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</si>
  <si>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</si>
  <si>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</si>
  <si>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</si>
  <si>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</si>
  <si>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</si>
  <si>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</si>
  <si>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</si>
  <si>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</si>
  <si>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</si>
  <si>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</si>
  <si>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</si>
  <si>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</si>
  <si>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</si>
  <si>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</si>
  <si>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</si>
  <si>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</si>
  <si>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</si>
  <si>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</si>
  <si>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</si>
  <si>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</si>
  <si>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</si>
  <si>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</si>
  <si>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</si>
  <si>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</si>
  <si>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</si>
  <si>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</si>
  <si>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</si>
  <si>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</si>
  <si>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</si>
  <si>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</si>
  <si>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</si>
  <si>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</si>
  <si>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</si>
  <si>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</si>
  <si>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</si>
  <si>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</si>
  <si>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</si>
  <si>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</si>
  <si>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</si>
  <si>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</si>
  <si>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</si>
  <si>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</si>
  <si>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</si>
  <si>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</si>
  <si>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</si>
  <si>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</si>
  <si>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</si>
  <si>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</si>
  <si>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</si>
  <si>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</si>
  <si>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</si>
  <si>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</si>
  <si>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</si>
  <si>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</si>
  <si>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</si>
  <si>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</si>
  <si>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</si>
  <si>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</si>
  <si>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</si>
  <si>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</si>
  <si>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</si>
  <si>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</si>
  <si>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</si>
  <si>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</si>
  <si>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</si>
  <si>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</si>
  <si>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</si>
  <si>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</si>
  <si>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</si>
  <si>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</si>
  <si>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</si>
  <si>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</si>
  <si>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</si>
  <si>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</si>
  <si>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</si>
  <si>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</si>
  <si>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</si>
  <si>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</si>
  <si>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</si>
  <si>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</si>
  <si>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</si>
  <si>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</si>
  <si>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</si>
  <si>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</si>
  <si>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</si>
  <si>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</si>
  <si>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</si>
  <si>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</si>
  <si>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</si>
  <si>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</si>
  <si>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</si>
  <si>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</si>
  <si>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</si>
  <si>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</si>
  <si>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</si>
  <si>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</si>
  <si>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</si>
  <si>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</si>
  <si>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</si>
  <si>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</si>
  <si>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</si>
  <si>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</si>
  <si>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</si>
  <si>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</si>
  <si>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</si>
  <si>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</si>
  <si>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</si>
  <si>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</si>
  <si>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</si>
  <si>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</si>
  <si>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</si>
  <si>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</si>
  <si>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</si>
  <si>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</si>
  <si>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</si>
  <si>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</si>
  <si>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</si>
  <si>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</si>
  <si>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</si>
  <si>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</si>
  <si>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</si>
  <si>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</si>
  <si>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</si>
  <si>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</si>
  <si>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</si>
  <si>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</si>
  <si>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</si>
  <si>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</si>
  <si>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</si>
  <si>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</si>
  <si>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</si>
  <si>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</si>
  <si>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</si>
  <si>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</si>
  <si>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</si>
  <si>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</si>
  <si>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</si>
  <si>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</si>
  <si>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</si>
  <si>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</si>
  <si>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</si>
  <si>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</si>
  <si>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</si>
  <si>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</si>
  <si>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</si>
  <si>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</si>
  <si>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</si>
  <si>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</si>
  <si>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</si>
  <si>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</si>
  <si>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</si>
  <si>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</si>
  <si>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</si>
  <si>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</si>
  <si>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</si>
  <si>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</si>
  <si>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</si>
  <si>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</si>
  <si>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</si>
  <si>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</si>
  <si>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</si>
  <si>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</si>
  <si>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</si>
  <si>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</si>
  <si>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</si>
  <si>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</si>
  <si>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</si>
  <si>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</si>
  <si>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</si>
  <si>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</si>
  <si>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</si>
  <si>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</si>
  <si>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</si>
  <si>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</si>
  <si>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</si>
  <si>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</si>
  <si>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</si>
  <si>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</si>
  <si>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</si>
  <si>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</si>
  <si>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</si>
  <si>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</si>
  <si>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</si>
  <si>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</si>
  <si>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</si>
  <si>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</si>
  <si>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</si>
  <si>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</si>
  <si>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</si>
  <si>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</si>
  <si>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</si>
  <si>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</si>
  <si>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</si>
  <si>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</si>
  <si>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</si>
  <si>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</si>
  <si>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</si>
  <si>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</si>
  <si>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</si>
  <si>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</si>
  <si>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</si>
  <si>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</si>
  <si>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</si>
  <si>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</si>
  <si>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</si>
  <si>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</si>
  <si>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</si>
  <si>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</si>
  <si>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</si>
  <si>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</si>
  <si>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</si>
  <si>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</si>
  <si>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</si>
  <si>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</si>
  <si>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</si>
  <si>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</si>
  <si>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</si>
  <si>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</si>
  <si>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</si>
  <si>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</si>
  <si>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</si>
  <si>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</si>
  <si>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</si>
  <si>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</si>
  <si>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</si>
  <si>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</si>
  <si>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</si>
  <si>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</si>
  <si>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</si>
  <si>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</si>
  <si>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</si>
  <si>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</si>
  <si>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</si>
  <si>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</si>
  <si>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</si>
  <si>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</si>
  <si>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</si>
  <si>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</si>
  <si>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</si>
  <si>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</si>
  <si>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</si>
  <si>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</si>
  <si>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</si>
  <si>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</si>
  <si>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</si>
  <si>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</si>
  <si>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</si>
  <si>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</si>
  <si>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</si>
  <si>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</si>
  <si>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</si>
  <si>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</si>
  <si>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</si>
  <si>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</si>
  <si>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</si>
  <si>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</si>
  <si>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</si>
  <si>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</si>
  <si>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</si>
  <si>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</si>
  <si>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</si>
  <si>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</si>
  <si>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</si>
  <si>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</si>
  <si>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</si>
  <si>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</si>
  <si>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</si>
  <si>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</si>
  <si>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</si>
  <si>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</si>
  <si>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</si>
  <si>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</si>
  <si>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</si>
  <si>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</si>
  <si>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</si>
  <si>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</si>
  <si>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</si>
  <si>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</si>
  <si>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</si>
  <si>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</si>
  <si>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</si>
  <si>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</si>
  <si>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</si>
  <si>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</si>
  <si>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</si>
  <si>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</si>
  <si>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</si>
  <si>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</si>
  <si>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Cálculo por número de clientes ativos [Valor unitário atualizado para o Custo Unitário vigente na aba SETORES em 21/09/2026]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</si>
  <si>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</si>
  <si>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</si>
  <si>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</si>
  <si>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</si>
  <si>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</si>
  <si>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</si>
  <si>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</si>
  <si>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</si>
  <si>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</si>
  <si>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</si>
  <si>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</si>
  <si>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</si>
  <si>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</si>
  <si>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</si>
  <si>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</si>
  <si>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</si>
  <si>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</si>
  <si>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</si>
  <si>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</si>
  <si>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</si>
  <si>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</si>
  <si>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</si>
  <si>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</si>
  <si>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</si>
  <si>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</si>
  <si>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</si>
  <si>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</si>
  <si>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</si>
  <si>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</si>
  <si>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</si>
  <si>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</si>
  <si>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</si>
  <si>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</si>
  <si>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</si>
  <si>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</si>
  <si>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</si>
  <si>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</si>
  <si>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</si>
  <si>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</si>
  <si>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</si>
  <si>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</si>
  <si>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</si>
  <si>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</si>
  <si>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</si>
  <si>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</si>
  <si>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</si>
  <si>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</si>
  <si>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</si>
  <si>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</si>
  <si>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</si>
  <si>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</si>
  <si>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</si>
  <si>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</si>
  <si>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</si>
  <si>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</si>
  <si>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</si>
  <si>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</si>
  <si>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</si>
  <si>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</si>
  <si>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</si>
  <si>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</si>
  <si>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Cálculo por número de clientes ativos [QTD corrigida para 6711 (liberados+bloqueados, fonte: Clientes por cidade agosto26.xlsx) e VU atualizado p/ taxa SETORES vigente - 21/09/2026]</t>
  </si>
  <si>
    <t xml:space="preserve">Cálculo por número de clientes ativos [QTD corrigida para 3823 (liberados+bloqueados, fonte: Clientes por cidade agosto26.xlsx) e VU atualizado p/ taxa SETORES vigente - 21/09/2026]</t>
  </si>
  <si>
    <t xml:space="preserve">Cálculo por número de clientes ativos [QTD corrigida para 6701 (liberados+bloqueados, fonte: Clientes por cidade agosto26.xlsx) e VU atualizado p/ taxa SETORES vigente - 21/09/2026]</t>
  </si>
  <si>
    <t xml:space="preserve">Cálculo por número de clientes ativos [QTD corrigida para 14824 (liberados+bloqueados, fonte: Clientes por cidade agosto26.xlsx) e VU atualizado p/ taxa SETORES vigente - 21/09/2026]</t>
  </si>
  <si>
    <t xml:space="preserve">Cálculo por número de clientes ativos [QTD corrigida para 4839 (liberados+bloqueados, fonte: Clientes por cidade agosto26.xlsx) e VU atualizado p/ taxa SETORES vigente - 21/09/2026]</t>
  </si>
  <si>
    <t xml:space="preserve">Cálculo por número de clientes ativos [QTD corrigida para 13611 (liberados+bloqueados, fonte: Clientes por cidade agosto26.xlsx) e VU atualizado p/ taxa SETORES vigente - 21/09/2026]</t>
  </si>
  <si>
    <t xml:space="preserve">Cálculo por número de clientes ativos [QTD corrigida para 6711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</si>
  <si>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[QTD corrigida para 13611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</si>
  <si>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[QTD corrigida para 3823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</si>
  <si>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[QTD corrigida para 6701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</si>
  <si>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[QTD corrigida para 14824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</si>
  <si>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[QTD corrigida para 4839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</si>
  <si>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[Recalculado após corrigir PARÂMETROS Agosto/2026 com clientes liberados+bloqueados - 21/09/2026] [QTD corrigida para 6711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</si>
  <si>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3823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</si>
  <si>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6701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</si>
  <si>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14824 (liberados+bloqueados, fonte: Clientes por cidade agosto26.xlsx) e VU atualizado p/ taxa SETORES vigente - 21/09/2026]</t>
  </si>
  <si>
    <t xml:space="preserve">Cálculo por número de clientes ativos [Recalculado após corrigir PARÂMETROS Agosto/2026 com clientes liberados+bloqueados - 21/09/2026] [QTD corrigida para 4839 (liberados+bloqueados, fonte: Clientes por cidade agosto26.xlsx) e VU atualizado p/ taxa SETORES vigente - 21/09/2026]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</si>
  <si>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</si>
  <si>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</si>
  <si>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</si>
  <si>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</si>
  <si>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Cálculo por número de clientes ativos [QTD corrigida para 143735 (liberados+bloqueados, fonte: Clientes por cidade agosto26.xlsx) e VU atualizado p/ taxa SETORES vigente - 21/09/2026]</t>
  </si>
  <si>
    <t xml:space="preserve">Cálculo por número de clientes ativos [QTD corrigida para 143735 (liberados+bloqueados, fonte: Clientes por cidade agosto26.xlsx); VU mantido pois o setor "Adm Qualidade" não tem correspondência exata na aba SETORES - CONFIRMAR - 21/09/2026] [Confirmado por Débora: "Adm Qualidade" = setor "Qualidade" em SETORES; VU atualizado - 21/09/2026]</t>
  </si>
  <si>
    <t xml:space="preserve">Cálculo por número de clientes ativos [Recalculado após corrigir PARÂMETROS Agosto/2026 com clientes liberados+bloqueados - 21/09/2026] [QTD corrigida para 143735 (liberados+bloqueados, fonte: Clientes por cidade agosto26.xlsx) e VU atualizado p/ taxa SETORES vigente - 21/09/2026]</t>
  </si>
  <si>
    <t xml:space="preserve">Cálculo por número de clientes ativos [QTD corrigida para 143735 (liberados+bloqueados, fonte: Clientes por cidade agosto26.xlsx); VU mantido pois o setor "Logistica" não tem correspondência exata na aba SETORES - CONFIRMAR - 21/09/2026]</t>
  </si>
  <si>
    <t xml:space="preserve">Cálculo por número de clientes ativos (apenas Engenharia — Projetista cobrado em linha própria) [QTD corrigida para 143735 (liberados+bloqueados, fonte: Clientes por cidade agosto26.xlsx) e VU atualizado p/ taxa SETORES vigente - 21/09/2026]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</si>
  <si>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</si>
  <si>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 [Valor unitário atualizado para o Custo Unitário vigente na aba SETORES (JUNHO/2026) = 1001.18 - 21/09/2026]</t>
  </si>
  <si>
    <t xml:space="preserve">Cálculo por número de vendas do setor (rateio uniforme por empresa) — critério alterado de Clientes para Vendas a pedido da Débora (11/09/2026) [Valor unitário atualizado para o Custo Unitário vigente na aba SETORES (JULHO/2026) = 1705.38 - 21/09/2026]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</si>
  <si>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 [Valor unitário atualizado para o Custo Unitário vigente na aba SETORES (AGOSTO/2026) = 1228.32 - 21/09/2026]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</si>
  <si>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</si>
  <si>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</si>
  <si>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</si>
  <si>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</si>
  <si>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</si>
  <si>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</si>
  <si>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</si>
  <si>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Cálculo por número de clientes ativos [Valor unitário atualizado para o Custo Unitário SETORES vigente; QTD mantida = 6711 (maior das duas ocorrências, sem referência de PARÂMETROS p/ Agosto/2026 - confirmar com Débora) - 21/09/2026] [Recalculado após corrigir PARÂMETROS Agosto/2026 com clientes liberados+bloqueados - 21/09/2026]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</si>
  <si>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</si>
  <si>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</si>
  <si>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</si>
  <si>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</si>
  <si>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Cálculo por número de clientes ativos [Confirmado por Débora: "Adm Qualidade" = setor "Qualidade" em SETORES; VU atualizado - 21/09/2026]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</si>
  <si>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</si>
  <si>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</si>
  <si>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</si>
  <si>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</si>
  <si>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</si>
  <si>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Cálculo por número de clientes ativos [Valor unitário atualizado para o Custo Unitário SETORES vigente; QTD mantida = 13611 (maior das duas ocorrências, sem referência de PARÂMETROS p/ Agosto/2026 - confirmar com Débora) - 21/09/2026] [Recalculado após corrigir PARÂMETROS Agosto/2026 com clientes liberados+bloqueados - 21/09/2026]</t>
  </si>
  <si>
    <t xml:space="preserve">transportes entre CD01 e empresas no rateio da rota</t>
  </si>
  <si>
    <t xml:space="preserve">Rateio do departamento</t>
  </si>
  <si>
    <t xml:space="preserve">Cálculo por número de clientes ativos [Valor unitário atualizado para o Custo Unitário SETORES vigente; QTD mantida = 3823 (maior das duas ocorrências, sem referência de PARÂMETROS p/ Agosto/2026 - confirmar com Débora) - 21/09/2026] [Recalculado após corrigir PARÂMETROS Agosto/2026 com clientes liberados+bloqueados - 21/09/2026]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</si>
  <si>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</si>
  <si>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</si>
  <si>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</si>
  <si>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Cálculo por número de clientes ativos [Valor unitário atualizado para o Custo Unitário SETORES vigente; QTD mantida = 6701 (maior das duas ocorrências, sem referência de PARÂMETROS p/ Agosto/2026 - confirmar com Débora) - 21/09/2026] [Recalculado após corrigir PARÂMETROS Agosto/2026 com clientes liberados+bloqueados - 21/09/2026]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</si>
  <si>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</si>
  <si>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</si>
  <si>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</si>
  <si>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</si>
  <si>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Cálculo por número de clientes ativos [Valor unitário atualizado para o Custo Unitário SETORES vigente; QTD mantida = 14824 (maior das duas ocorrências, sem referência de PARÂMETROS p/ Agosto/2026 - confirmar com Débora) - 21/09/2026] [Recalculado após corrigir PARÂMETROS Agosto/2026 com clientes liberados+bloqueados - 21/09/2026]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</si>
  <si>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</si>
  <si>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</si>
  <si>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</si>
  <si>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Cálculo por número de clientes ativos [Valor unitário atualizado para o Custo Unitário SETORES vigente; QTD mantida = 4839 (maior das duas ocorrências, sem referência de PARÂMETROS p/ Agosto/2026 - confirmar com Débora) - 21/09/2026] [Recalculado após corrigir PARÂMETROS Agosto/2026 com clientes liberados+bloqueados - 21/09/2026]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</si>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</sst>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6711</v>
      </c>
      <c r="C900" s="8" t="n">
        <v>30</v>
      </c>
      <c r="D900" s="9" t="n">
        <f aca="false">IFERROR(B900/SUMIFS($B$8:$B$907,$G$8:$G$907,G900),0)</f>
        <v>0.0337095583249198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13611</v>
      </c>
      <c r="C901" s="13" t="n">
        <v>0</v>
      </c>
      <c r="D901" s="14" t="n">
        <f aca="false">IFERROR(B901/SUMIFS($B$8:$B$907,$G$8:$G$907,G901),0)</f>
        <v>0.0683684694323473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14824</v>
      </c>
      <c r="C902" s="8" t="n">
        <v>45</v>
      </c>
      <c r="D902" s="9" t="n">
        <f aca="false">IFERROR(B902/SUMIFS($B$8:$B$907,$G$8:$G$907,G902),0)</f>
        <v>0.0744614055444212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3823</v>
      </c>
      <c r="C903" s="13" t="n">
        <v>10</v>
      </c>
      <c r="D903" s="14" t="n">
        <f aca="false">IFERROR(B903/SUMIFS($B$8:$B$907,$G$8:$G$907,G903),0)</f>
        <v>0.019203045965753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6701</v>
      </c>
      <c r="C904" s="8" t="n">
        <v>46</v>
      </c>
      <c r="D904" s="9" t="n">
        <f aca="false">IFERROR(B904/SUMIFS($B$8:$B$907,$G$8:$G$907,G904),0)</f>
        <v>0.033659328018967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4839</v>
      </c>
      <c r="C905" s="13" t="n">
        <v>17</v>
      </c>
      <c r="D905" s="14" t="n">
        <f aca="false">IFERROR(B905/SUMIFS($B$8:$B$907,$G$8:$G$907,G905),0)</f>
        <v>0.0243064450505568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4839</v>
      </c>
      <c r="C906" s="8" t="n">
        <v>23</v>
      </c>
      <c r="D906" s="9" t="n">
        <f aca="false">IFERROR(B906/SUMIFS($B$8:$B$907,$G$8:$G$907,G906),0)</f>
        <v>0.0243064450505568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143735</v>
      </c>
      <c r="C907" s="13" t="n">
        <v>881</v>
      </c>
      <c r="D907" s="14" t="n">
        <f aca="false">IFERROR(B907/SUMIFS($B$8:$B$907,$G$8:$G$907,G907),0)</f>
        <v>0.721985302612478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199083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0.0337095583249198</v>
      </c>
      <c r="E909" s="21" t="n">
        <f aca="false">SUMIFS(SETORES!$D:$D,SETORES!$A:$A,A909,SETORES!$F:$F,J909)</f>
        <v>45629.9949830294</v>
      </c>
      <c r="F909" s="21" t="n">
        <f aca="false">IFERROR(D909*E909,0)</f>
        <v>1538.16697724622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1538.16697724622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0.0683684694323473</v>
      </c>
      <c r="E910" s="22" t="n">
        <f aca="false">SUMIFS(SETORES!$D:$D,SETORES!$A:$A,A910,SETORES!$F:$F,J910)</f>
        <v>45629.9949830294</v>
      </c>
      <c r="F910" s="22" t="n">
        <f aca="false">IFERROR(D910*E910,0)</f>
        <v>3119.6529171954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3119.6529171954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0.0744614055444212</v>
      </c>
      <c r="E911" s="21" t="n">
        <f aca="false">SUMIFS(SETORES!$D:$D,SETORES!$A:$A,A911,SETORES!$F:$F,J911)</f>
        <v>45629.9949830294</v>
      </c>
      <c r="F911" s="21" t="n">
        <f aca="false">IFERROR(D911*E911,0)</f>
        <v>3397.67356142125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3397.67356142125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0.019203045965753</v>
      </c>
      <c r="E912" s="22" t="n">
        <f aca="false">SUMIFS(SETORES!$D:$D,SETORES!$A:$A,A912,SETORES!$F:$F,J912)</f>
        <v>45629.9949830294</v>
      </c>
      <c r="F912" s="22" t="n">
        <f aca="false">IFERROR(D912*E912,0)</f>
        <v>876.23489107619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876.23489107619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0.033659328018967</v>
      </c>
      <c r="E913" s="21" t="n">
        <f aca="false">SUMIFS(SETORES!$D:$D,SETORES!$A:$A,A913,SETORES!$F:$F,J913)</f>
        <v>45629.9949830294</v>
      </c>
      <c r="F913" s="21" t="n">
        <f aca="false">IFERROR(D913*E913,0)</f>
        <v>1535.8749686376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1535.8749686376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0.0243064450505568</v>
      </c>
      <c r="E914" s="22" t="n">
        <f aca="false">SUMIFS(SETORES!$D:$D,SETORES!$A:$A,A914,SETORES!$F:$F,J914)</f>
        <v>45629.9949830294</v>
      </c>
      <c r="F914" s="22" t="n">
        <f aca="false">IFERROR(D914*E914,0)</f>
        <v>1109.10296571219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1109.10296571219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0.0243064450505568</v>
      </c>
      <c r="E915" s="21" t="n">
        <f aca="false">SUMIFS(SETORES!$D:$D,SETORES!$A:$A,A915,SETORES!$F:$F,J915)</f>
        <v>45629.9949830294</v>
      </c>
      <c r="F915" s="21" t="n">
        <f aca="false">IFERROR(D915*E915,0)</f>
        <v>1109.10296571219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1109.10296571219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0.721985302612478</v>
      </c>
      <c r="E916" s="22" t="n">
        <f aca="false">SUMIFS(SETORES!$D:$D,SETORES!$A:$A,A916,SETORES!$F:$F,J916)</f>
        <v>45629.9949830294</v>
      </c>
      <c r="F916" s="22" t="n">
        <f aca="false">IFERROR(D916*E916,0)</f>
        <v>32944.1857360283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32944.1857360283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0.0337095583249198</v>
      </c>
      <c r="E933" s="21" t="n">
        <f aca="false">SUMIFS(SETORES!$D:$D,SETORES!$A:$A,A933,SETORES!$F:$F,J933)</f>
        <v>60035.346441612</v>
      </c>
      <c r="F933" s="21" t="n">
        <f aca="false">IFERROR(D933*E933,0)</f>
        <v>2023.76501243029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2023.76501243029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0.0683684694323473</v>
      </c>
      <c r="E934" s="22" t="n">
        <f aca="false">SUMIFS(SETORES!$D:$D,SETORES!$A:$A,A934,SETORES!$F:$F,J934)</f>
        <v>60035.346441612</v>
      </c>
      <c r="F934" s="22" t="n">
        <f aca="false">IFERROR(D934*E934,0)</f>
        <v>4104.52474805373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4104.52474805373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0.0744614055444212</v>
      </c>
      <c r="E935" s="21" t="n">
        <f aca="false">SUMIFS(SETORES!$D:$D,SETORES!$A:$A,A935,SETORES!$F:$F,J935)</f>
        <v>60035.346441612</v>
      </c>
      <c r="F935" s="21" t="n">
        <f aca="false">IFERROR(D935*E935,0)</f>
        <v>4470.3162783887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4470.3162783887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0.019203045965753</v>
      </c>
      <c r="E936" s="22" t="n">
        <f aca="false">SUMIFS(SETORES!$D:$D,SETORES!$A:$A,A936,SETORES!$F:$F,J936)</f>
        <v>60035.346441612</v>
      </c>
      <c r="F936" s="22" t="n">
        <f aca="false">IFERROR(D936*E936,0)</f>
        <v>1152.86151728818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1152.86151728818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0.033659328018967</v>
      </c>
      <c r="E937" s="21" t="n">
        <f aca="false">SUMIFS(SETORES!$D:$D,SETORES!$A:$A,A937,SETORES!$F:$F,J937)</f>
        <v>60035.346441612</v>
      </c>
      <c r="F937" s="21" t="n">
        <f aca="false">IFERROR(D937*E937,0)</f>
        <v>2020.74941861054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2020.74941861054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0.0243064450505568</v>
      </c>
      <c r="E938" s="22" t="n">
        <f aca="false">SUMIFS(SETORES!$D:$D,SETORES!$A:$A,A938,SETORES!$F:$F,J938)</f>
        <v>60035.346441612</v>
      </c>
      <c r="F938" s="22" t="n">
        <f aca="false">IFERROR(D938*E938,0)</f>
        <v>1459.24584937418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1459.24584937418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0.0243064450505568</v>
      </c>
      <c r="E939" s="21" t="n">
        <f aca="false">SUMIFS(SETORES!$D:$D,SETORES!$A:$A,A939,SETORES!$F:$F,J939)</f>
        <v>60035.346441612</v>
      </c>
      <c r="F939" s="21" t="n">
        <f aca="false">IFERROR(D939*E939,0)</f>
        <v>1459.24584937418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1459.24584937418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0.721985302612478</v>
      </c>
      <c r="E940" s="22" t="n">
        <f aca="false">SUMIFS(SETORES!$D:$D,SETORES!$A:$A,A940,SETORES!$F:$F,J940)</f>
        <v>60035.346441612</v>
      </c>
      <c r="F940" s="22" t="n">
        <f aca="false">IFERROR(D940*E940,0)</f>
        <v>43344.6377680922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43344.6377680922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0.0337095583249198</v>
      </c>
      <c r="E941" s="21" t="n">
        <f aca="false">SUMIFS(SETORES!$D:$D,SETORES!$A:$A,A941,SETORES!$F:$F,J941)</f>
        <v>24186.5870929277</v>
      </c>
      <c r="F941" s="21" t="n">
        <f aca="false">IFERROR(D941*E941,0)</f>
        <v>815.319168289798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815.319168289798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0.0683684694323473</v>
      </c>
      <c r="E942" s="22" t="n">
        <f aca="false">SUMIFS(SETORES!$D:$D,SETORES!$A:$A,A942,SETORES!$F:$F,J942)</f>
        <v>24186.5870929277</v>
      </c>
      <c r="F942" s="22" t="n">
        <f aca="false">IFERROR(D942*E942,0)</f>
        <v>1653.59994033563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1653.59994033563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0.0744614055444212</v>
      </c>
      <c r="E943" s="21" t="n">
        <f aca="false">SUMIFS(SETORES!$D:$D,SETORES!$A:$A,A943,SETORES!$F:$F,J943)</f>
        <v>24186.5870929277</v>
      </c>
      <c r="F943" s="21" t="n">
        <f aca="false">IFERROR(D943*E943,0)</f>
        <v>1800.96727026195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1800.96727026195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0.019203045965753</v>
      </c>
      <c r="E944" s="22" t="n">
        <f aca="false">SUMIFS(SETORES!$D:$D,SETORES!$A:$A,A944,SETORES!$F:$F,J944)</f>
        <v>24186.5870929277</v>
      </c>
      <c r="F944" s="22" t="n">
        <f aca="false">IFERROR(D944*E944,0)</f>
        <v>464.456143700178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464.456143700178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0.033659328018967</v>
      </c>
      <c r="E945" s="21" t="n">
        <f aca="false">SUMIFS(SETORES!$D:$D,SETORES!$A:$A,A945,SETORES!$F:$F,J945)</f>
        <v>24186.5870929277</v>
      </c>
      <c r="F945" s="21" t="n">
        <f aca="false">IFERROR(D945*E945,0)</f>
        <v>814.104268620166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814.104268620166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0.0243064450505568</v>
      </c>
      <c r="E946" s="22" t="n">
        <f aca="false">SUMIFS(SETORES!$D:$D,SETORES!$A:$A,A946,SETORES!$F:$F,J946)</f>
        <v>24186.5870929277</v>
      </c>
      <c r="F946" s="22" t="n">
        <f aca="false">IFERROR(D946*E946,0)</f>
        <v>587.889950134754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587.889950134754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0.0243064450505568</v>
      </c>
      <c r="E947" s="21" t="n">
        <f aca="false">SUMIFS(SETORES!$D:$D,SETORES!$A:$A,A947,SETORES!$F:$F,J947)</f>
        <v>24186.5870929277</v>
      </c>
      <c r="F947" s="21" t="n">
        <f aca="false">IFERROR(D947*E947,0)</f>
        <v>587.889950134754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587.889950134754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0.721985302612478</v>
      </c>
      <c r="E948" s="22" t="n">
        <f aca="false">SUMIFS(SETORES!$D:$D,SETORES!$A:$A,A948,SETORES!$F:$F,J948)</f>
        <v>24186.5870929277</v>
      </c>
      <c r="F948" s="22" t="n">
        <f aca="false">IFERROR(D948*E948,0)</f>
        <v>17462.3604014505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17462.3604014505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0.0337095583249198</v>
      </c>
      <c r="E949" s="21" t="n">
        <f aca="false">SUMIFS(SETORES!$D:$D,SETORES!$A:$A,A949,SETORES!$F:$F,J949)</f>
        <v>76728.6732880783</v>
      </c>
      <c r="F949" s="21" t="n">
        <f aca="false">IFERROR(D949*E949,0)</f>
        <v>2586.48968739819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2586.48968739819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0.0683684694323473</v>
      </c>
      <c r="E950" s="22" t="n">
        <f aca="false">SUMIFS(SETORES!$D:$D,SETORES!$A:$A,A950,SETORES!$F:$F,J950)</f>
        <v>76728.6732880783</v>
      </c>
      <c r="F950" s="22" t="n">
        <f aca="false">IFERROR(D950*E950,0)</f>
        <v>5245.82195428054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5245.82195428054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0.0744614055444212</v>
      </c>
      <c r="E951" s="21" t="n">
        <f aca="false">SUMIFS(SETORES!$D:$D,SETORES!$A:$A,A951,SETORES!$F:$F,J951)</f>
        <v>76728.6732880783</v>
      </c>
      <c r="F951" s="21" t="n">
        <f aca="false">IFERROR(D951*E951,0)</f>
        <v>5713.32485858899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5713.32485858899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0.019203045965753</v>
      </c>
      <c r="E952" s="22" t="n">
        <f aca="false">SUMIFS(SETORES!$D:$D,SETORES!$A:$A,A952,SETORES!$F:$F,J952)</f>
        <v>76728.6732880783</v>
      </c>
      <c r="F952" s="22" t="n">
        <f aca="false">IFERROR(D952*E952,0)</f>
        <v>1473.42424004221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1473.42424004221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0.033659328018967</v>
      </c>
      <c r="E953" s="21" t="n">
        <f aca="false">SUMIFS(SETORES!$D:$D,SETORES!$A:$A,A953,SETORES!$F:$F,J953)</f>
        <v>76728.6732880783</v>
      </c>
      <c r="F953" s="21" t="n">
        <f aca="false">IFERROR(D953*E953,0)</f>
        <v>2582.63558266357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2582.63558266357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0.0243064450505568</v>
      </c>
      <c r="E954" s="22" t="n">
        <f aca="false">SUMIFS(SETORES!$D:$D,SETORES!$A:$A,A954,SETORES!$F:$F,J954)</f>
        <v>76728.6732880783</v>
      </c>
      <c r="F954" s="22" t="n">
        <f aca="false">IFERROR(D954*E954,0)</f>
        <v>1865.0012810788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1865.0012810788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0.0243064450505568</v>
      </c>
      <c r="E955" s="21" t="n">
        <f aca="false">SUMIFS(SETORES!$D:$D,SETORES!$A:$A,A955,SETORES!$F:$F,J955)</f>
        <v>76728.6732880783</v>
      </c>
      <c r="F955" s="21" t="n">
        <f aca="false">IFERROR(D955*E955,0)</f>
        <v>1865.0012810788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1865.0012810788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0.721985302612478</v>
      </c>
      <c r="E956" s="22" t="n">
        <f aca="false">SUMIFS(SETORES!$D:$D,SETORES!$A:$A,A956,SETORES!$F:$F,J956)</f>
        <v>76728.6732880783</v>
      </c>
      <c r="F956" s="22" t="n">
        <f aca="false">IFERROR(D956*E956,0)</f>
        <v>55396.9744029472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55396.9744029472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0.0337095583249198</v>
      </c>
      <c r="E957" s="21" t="n">
        <f aca="false">SUMIFS(SETORES!$D:$D,SETORES!$A:$A,A957,SETORES!$F:$F,J957)</f>
        <v>180358.470982411</v>
      </c>
      <c r="F957" s="21" t="n">
        <f aca="false">IFERROR(D957*E957,0)</f>
        <v>6079.80439697493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6079.80439697493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0.0683684694323473</v>
      </c>
      <c r="E958" s="22" t="n">
        <f aca="false">SUMIFS(SETORES!$D:$D,SETORES!$A:$A,A958,SETORES!$F:$F,J958)</f>
        <v>180358.470982411</v>
      </c>
      <c r="F958" s="22" t="n">
        <f aca="false">IFERROR(D958*E958,0)</f>
        <v>12330.8326102259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12330.8326102259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0.0744614055444212</v>
      </c>
      <c r="E959" s="21" t="n">
        <f aca="false">SUMIFS(SETORES!$D:$D,SETORES!$A:$A,A959,SETORES!$F:$F,J959)</f>
        <v>180358.470982411</v>
      </c>
      <c r="F959" s="21" t="n">
        <f aca="false">IFERROR(D959*E959,0)</f>
        <v>13429.745251193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13429.745251193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0.019203045965753</v>
      </c>
      <c r="E960" s="22" t="n">
        <f aca="false">SUMIFS(SETORES!$D:$D,SETORES!$A:$A,A960,SETORES!$F:$F,J960)</f>
        <v>180358.470982411</v>
      </c>
      <c r="F960" s="22" t="n">
        <f aca="false">IFERROR(D960*E960,0)</f>
        <v>3463.43200858816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3463.43200858816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0.033659328018967</v>
      </c>
      <c r="E961" s="21" t="n">
        <f aca="false">SUMIFS(SETORES!$D:$D,SETORES!$A:$A,A961,SETORES!$F:$F,J961)</f>
        <v>180358.470982411</v>
      </c>
      <c r="F961" s="21" t="n">
        <f aca="false">IFERROR(D961*E961,0)</f>
        <v>6070.7449357963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6070.7449357963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0.0243064450505568</v>
      </c>
      <c r="E962" s="22" t="n">
        <f aca="false">SUMIFS(SETORES!$D:$D,SETORES!$A:$A,A962,SETORES!$F:$F,J962)</f>
        <v>180358.470982411</v>
      </c>
      <c r="F962" s="22" t="n">
        <f aca="false">IFERROR(D962*E962,0)</f>
        <v>4383.87326433642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4383.87326433642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0.0243064450505568</v>
      </c>
      <c r="E963" s="21" t="n">
        <f aca="false">SUMIFS(SETORES!$D:$D,SETORES!$A:$A,A963,SETORES!$F:$F,J963)</f>
        <v>180358.470982411</v>
      </c>
      <c r="F963" s="21" t="n">
        <f aca="false">IFERROR(D963*E963,0)</f>
        <v>4383.87326433642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4383.87326433642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0.721985302612478</v>
      </c>
      <c r="E964" s="22" t="n">
        <f aca="false">SUMIFS(SETORES!$D:$D,SETORES!$A:$A,A964,SETORES!$F:$F,J964)</f>
        <v>180358.470982411</v>
      </c>
      <c r="F964" s="22" t="n">
        <f aca="false">IFERROR(D964*E964,0)</f>
        <v>130216.16525096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130216.16525096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0.0337095583249198</v>
      </c>
      <c r="E965" s="21" t="n">
        <f aca="false">SUMIFS(SETORES!$D:$D,SETORES!$A:$A,A965,SETORES!$F:$F,J965)</f>
        <v>54614.4610931272</v>
      </c>
      <c r="F965" s="21" t="n">
        <f aca="false">IFERROR(D965*E965,0)</f>
        <v>1841.02936160283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1841.02936160283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0.0683684694323473</v>
      </c>
      <c r="E966" s="22" t="n">
        <f aca="false">SUMIFS(SETORES!$D:$D,SETORES!$A:$A,A966,SETORES!$F:$F,J966)</f>
        <v>54614.4610931272</v>
      </c>
      <c r="F966" s="22" t="n">
        <f aca="false">IFERROR(D966*E966,0)</f>
        <v>3733.90711380959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3733.90711380959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0.0744614055444212</v>
      </c>
      <c r="E967" s="21" t="n">
        <f aca="false">SUMIFS(SETORES!$D:$D,SETORES!$A:$A,A967,SETORES!$F:$F,J967)</f>
        <v>54614.4610931272</v>
      </c>
      <c r="F967" s="21" t="n">
        <f aca="false">IFERROR(D967*E967,0)</f>
        <v>4066.66953604536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4066.66953604536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0.019203045965753</v>
      </c>
      <c r="E968" s="22" t="n">
        <f aca="false">SUMIFS(SETORES!$D:$D,SETORES!$A:$A,A968,SETORES!$F:$F,J968)</f>
        <v>54614.4610931272</v>
      </c>
      <c r="F968" s="22" t="n">
        <f aca="false">IFERROR(D968*E968,0)</f>
        <v>1048.76400676615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1048.76400676615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0.033659328018967</v>
      </c>
      <c r="E969" s="21" t="n">
        <f aca="false">SUMIFS(SETORES!$D:$D,SETORES!$A:$A,A969,SETORES!$F:$F,J969)</f>
        <v>54614.4610931272</v>
      </c>
      <c r="F969" s="21" t="n">
        <f aca="false">IFERROR(D969*E969,0)</f>
        <v>1838.28606051268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1838.28606051268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0.0243064450505568</v>
      </c>
      <c r="E970" s="22" t="n">
        <f aca="false">SUMIFS(SETORES!$D:$D,SETORES!$A:$A,A970,SETORES!$F:$F,J970)</f>
        <v>54614.4610931272</v>
      </c>
      <c r="F970" s="22" t="n">
        <f aca="false">IFERROR(D970*E970,0)</f>
        <v>1327.48339752587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1327.48339752587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0.0243064450505568</v>
      </c>
      <c r="E971" s="21" t="n">
        <f aca="false">SUMIFS(SETORES!$D:$D,SETORES!$A:$A,A971,SETORES!$F:$F,J971)</f>
        <v>54614.4610931272</v>
      </c>
      <c r="F971" s="21" t="n">
        <f aca="false">IFERROR(D971*E971,0)</f>
        <v>1327.48339752587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1327.48339752587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0.721985302612478</v>
      </c>
      <c r="E972" s="22" t="n">
        <f aca="false">SUMIFS(SETORES!$D:$D,SETORES!$A:$A,A972,SETORES!$F:$F,J972)</f>
        <v>54614.4610931272</v>
      </c>
      <c r="F972" s="22" t="n">
        <f aca="false">IFERROR(D972*E972,0)</f>
        <v>39430.8382193389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39430.8382193389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0.0337095583249198</v>
      </c>
      <c r="E973" s="21" t="n">
        <f aca="false">SUMIFS(SETORES!$D:$D,SETORES!$A:$A,A973,SETORES!$F:$F,J973)</f>
        <v>53510.3780321174</v>
      </c>
      <c r="F973" s="21" t="n">
        <f aca="false">IFERROR(D973*E973,0)</f>
        <v>1803.81120926217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1803.81120926217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0.0683684694323473</v>
      </c>
      <c r="E974" s="22" t="n">
        <f aca="false">SUMIFS(SETORES!$D:$D,SETORES!$A:$A,A974,SETORES!$F:$F,J974)</f>
        <v>53510.3780321174</v>
      </c>
      <c r="F974" s="22" t="n">
        <f aca="false">IFERROR(D974*E974,0)</f>
        <v>3658.42264480217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3658.42264480217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0.0744614055444212</v>
      </c>
      <c r="E975" s="21" t="n">
        <f aca="false">SUMIFS(SETORES!$D:$D,SETORES!$A:$A,A975,SETORES!$F:$F,J975)</f>
        <v>53510.3780321174</v>
      </c>
      <c r="F975" s="21" t="n">
        <f aca="false">IFERROR(D975*E975,0)</f>
        <v>3984.45795948478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3984.45795948478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0.019203045965753</v>
      </c>
      <c r="E976" s="22" t="n">
        <f aca="false">SUMIFS(SETORES!$D:$D,SETORES!$A:$A,A976,SETORES!$F:$F,J976)</f>
        <v>53510.3780321174</v>
      </c>
      <c r="F976" s="22" t="n">
        <f aca="false">IFERROR(D976*E976,0)</f>
        <v>1027.56224899557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1027.56224899557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0.033659328018967</v>
      </c>
      <c r="E977" s="21" t="n">
        <f aca="false">SUMIFS(SETORES!$D:$D,SETORES!$A:$A,A977,SETORES!$F:$F,J977)</f>
        <v>53510.3780321174</v>
      </c>
      <c r="F977" s="21" t="n">
        <f aca="false">IFERROR(D977*E977,0)</f>
        <v>1801.12336660196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1801.12336660196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0.0243064450505568</v>
      </c>
      <c r="E978" s="22" t="n">
        <f aca="false">SUMIFS(SETORES!$D:$D,SETORES!$A:$A,A978,SETORES!$F:$F,J978)</f>
        <v>53510.3780321174</v>
      </c>
      <c r="F978" s="22" t="n">
        <f aca="false">IFERROR(D978*E978,0)</f>
        <v>1300.64706327218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1300.64706327218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0.0243064450505568</v>
      </c>
      <c r="E979" s="21" t="n">
        <f aca="false">SUMIFS(SETORES!$D:$D,SETORES!$A:$A,A979,SETORES!$F:$F,J979)</f>
        <v>53510.3780321174</v>
      </c>
      <c r="F979" s="21" t="n">
        <f aca="false">IFERROR(D979*E979,0)</f>
        <v>1300.64706327218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1300.64706327218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0.721985302612478</v>
      </c>
      <c r="E980" s="22" t="n">
        <f aca="false">SUMIFS(SETORES!$D:$D,SETORES!$A:$A,A980,SETORES!$F:$F,J980)</f>
        <v>53510.3780321174</v>
      </c>
      <c r="F980" s="22" t="n">
        <f aca="false">IFERROR(D980*E980,0)</f>
        <v>38633.7064764264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38633.7064764264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0.0337095583249198</v>
      </c>
      <c r="E981" s="21" t="n">
        <f aca="false">SUMIFS(SETORES!$D:$D,SETORES!$A:$A,A981,SETORES!$F:$F,J981)</f>
        <v>41165.3583325202</v>
      </c>
      <c r="F981" s="21" t="n">
        <f aca="false">IFERROR(D981*E981,0)</f>
        <v>1387.66604767631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1387.66604767631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0.0683684694323473</v>
      </c>
      <c r="E982" s="22" t="n">
        <f aca="false">SUMIFS(SETORES!$D:$D,SETORES!$A:$A,A982,SETORES!$F:$F,J982)</f>
        <v>41165.3583325202</v>
      </c>
      <c r="F982" s="22" t="n">
        <f aca="false">IFERROR(D982*E982,0)</f>
        <v>2814.41254282853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2814.41254282853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0.0744614055444212</v>
      </c>
      <c r="E983" s="21" t="n">
        <f aca="false">SUMIFS(SETORES!$D:$D,SETORES!$A:$A,A983,SETORES!$F:$F,J983)</f>
        <v>41165.3583325202</v>
      </c>
      <c r="F983" s="21" t="n">
        <f aca="false">IFERROR(D983*E983,0)</f>
        <v>3065.23044117921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3065.23044117921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0.019203045965753</v>
      </c>
      <c r="E984" s="22" t="n">
        <f aca="false">SUMIFS(SETORES!$D:$D,SETORES!$A:$A,A984,SETORES!$F:$F,J984)</f>
        <v>41165.3583325202</v>
      </c>
      <c r="F984" s="22" t="n">
        <f aca="false">IFERROR(D984*E984,0)</f>
        <v>790.500268256079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790.500268256079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0.033659328018967</v>
      </c>
      <c r="E985" s="21" t="n">
        <f aca="false">SUMIFS(SETORES!$D:$D,SETORES!$A:$A,A985,SETORES!$F:$F,J985)</f>
        <v>41165.3583325202</v>
      </c>
      <c r="F985" s="21" t="n">
        <f aca="false">IFERROR(D985*E985,0)</f>
        <v>1385.59829913261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1385.59829913261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0.0243064450505568</v>
      </c>
      <c r="E986" s="22" t="n">
        <f aca="false">SUMIFS(SETORES!$D:$D,SETORES!$A:$A,A986,SETORES!$F:$F,J986)</f>
        <v>41165.3583325202</v>
      </c>
      <c r="F986" s="22" t="n">
        <f aca="false">IFERROR(D986*E986,0)</f>
        <v>1000.58352029588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1000.58352029588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0.0243064450505568</v>
      </c>
      <c r="E987" s="21" t="n">
        <f aca="false">SUMIFS(SETORES!$D:$D,SETORES!$A:$A,A987,SETORES!$F:$F,J987)</f>
        <v>41165.3583325202</v>
      </c>
      <c r="F987" s="21" t="n">
        <f aca="false">IFERROR(D987*E987,0)</f>
        <v>1000.58352029588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1000.58352029588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0.721985302612478</v>
      </c>
      <c r="E988" s="22" t="n">
        <f aca="false">SUMIFS(SETORES!$D:$D,SETORES!$A:$A,A988,SETORES!$F:$F,J988)</f>
        <v>41165.3583325202</v>
      </c>
      <c r="F988" s="22" t="n">
        <f aca="false">IFERROR(D988*E988,0)</f>
        <v>29720.7836928557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29720.7836928557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0.0337095583249198</v>
      </c>
      <c r="E989" s="21" t="n">
        <f aca="false">SUMIFS(SETORES!$D:$D,SETORES!$A:$A,A989,SETORES!$F:$F,J989)</f>
        <v>19948.2874185855</v>
      </c>
      <c r="F989" s="21" t="n">
        <f aca="false">IFERROR(D989*E989,0)</f>
        <v>672.447958219072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672.447958219072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0.0683684694323473</v>
      </c>
      <c r="E990" s="22" t="n">
        <f aca="false">SUMIFS(SETORES!$D:$D,SETORES!$A:$A,A990,SETORES!$F:$F,J990)</f>
        <v>19948.2874185855</v>
      </c>
      <c r="F990" s="22" t="n">
        <f aca="false">IFERROR(D990*E990,0)</f>
        <v>1363.83387860524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1363.83387860524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0.0744614055444212</v>
      </c>
      <c r="E991" s="21" t="n">
        <f aca="false">SUMIFS(SETORES!$D:$D,SETORES!$A:$A,A991,SETORES!$F:$F,J991)</f>
        <v>19948.2874185855</v>
      </c>
      <c r="F991" s="21" t="n">
        <f aca="false">IFERROR(D991*E991,0)</f>
        <v>1485.37751939197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1485.37751939197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0.019203045965753</v>
      </c>
      <c r="E992" s="22" t="n">
        <f aca="false">SUMIFS(SETORES!$D:$D,SETORES!$A:$A,A992,SETORES!$F:$F,J992)</f>
        <v>19948.2874185855</v>
      </c>
      <c r="F992" s="22" t="n">
        <f aca="false">IFERROR(D992*E992,0)</f>
        <v>383.06788023715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383.06788023715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0.033659328018967</v>
      </c>
      <c r="E993" s="21" t="n">
        <f aca="false">SUMIFS(SETORES!$D:$D,SETORES!$A:$A,A993,SETORES!$F:$F,J993)</f>
        <v>19948.2874185855</v>
      </c>
      <c r="F993" s="21" t="n">
        <f aca="false">IFERROR(D993*E993,0)</f>
        <v>671.445949638802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671.445949638802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0.0243064450505568</v>
      </c>
      <c r="E994" s="22" t="n">
        <f aca="false">SUMIFS(SETORES!$D:$D,SETORES!$A:$A,A994,SETORES!$F:$F,J994)</f>
        <v>19948.2874185855</v>
      </c>
      <c r="F994" s="22" t="n">
        <f aca="false">IFERROR(D994*E994,0)</f>
        <v>484.871951992563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484.871951992563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0.0243064450505568</v>
      </c>
      <c r="E995" s="21" t="n">
        <f aca="false">SUMIFS(SETORES!$D:$D,SETORES!$A:$A,A995,SETORES!$F:$F,J995)</f>
        <v>19948.2874185855</v>
      </c>
      <c r="F995" s="21" t="n">
        <f aca="false">IFERROR(D995*E995,0)</f>
        <v>484.871951992563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484.871951992563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0.721985302612478</v>
      </c>
      <c r="E996" s="22" t="n">
        <f aca="false">SUMIFS(SETORES!$D:$D,SETORES!$A:$A,A996,SETORES!$F:$F,J996)</f>
        <v>19948.2874185855</v>
      </c>
      <c r="F996" s="22" t="n">
        <f aca="false">IFERROR(D996*E996,0)</f>
        <v>14402.3703285082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14402.3703285082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0.0337095583249198</v>
      </c>
      <c r="E997" s="21" t="n">
        <f aca="false">SUMIFS(SETORES!$D:$D,SETORES!$A:$A,A997,SETORES!$F:$F,J997)</f>
        <v>29069.1848371711</v>
      </c>
      <c r="F997" s="21" t="n">
        <f aca="false">IFERROR(D997*E997,0)</f>
        <v>979.909381726492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979.909381726492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0.0683684694323473</v>
      </c>
      <c r="E998" s="22" t="n">
        <f aca="false">SUMIFS(SETORES!$D:$D,SETORES!$A:$A,A998,SETORES!$F:$F,J998)</f>
        <v>29069.1848371711</v>
      </c>
      <c r="F998" s="22" t="n">
        <f aca="false">IFERROR(D998*E998,0)</f>
        <v>1987.41567496339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1987.41567496339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0.0744614055444212</v>
      </c>
      <c r="E999" s="21" t="n">
        <f aca="false">SUMIFS(SETORES!$D:$D,SETORES!$A:$A,A999,SETORES!$F:$F,J999)</f>
        <v>29069.1848371711</v>
      </c>
      <c r="F999" s="21" t="n">
        <f aca="false">IFERROR(D999*E999,0)</f>
        <v>2164.53236100633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2164.53236100633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0.019203045965753</v>
      </c>
      <c r="E1000" s="22" t="n">
        <f aca="false">SUMIFS(SETORES!$D:$D,SETORES!$A:$A,A1000,SETORES!$F:$F,J1000)</f>
        <v>29069.1848371711</v>
      </c>
      <c r="F1000" s="22" t="n">
        <f aca="false">IFERROR(D1000*E1000,0)</f>
        <v>558.216892615166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558.216892615166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0.033659328018967</v>
      </c>
      <c r="E1001" s="21" t="n">
        <f aca="false">SUMIFS(SETORES!$D:$D,SETORES!$A:$A,A1001,SETORES!$F:$F,J1001)</f>
        <v>29069.1848371711</v>
      </c>
      <c r="F1001" s="21" t="n">
        <f aca="false">IFERROR(D1001*E1001,0)</f>
        <v>978.449227678322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978.449227678322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0.0243064450505568</v>
      </c>
      <c r="E1002" s="22" t="n">
        <f aca="false">SUMIFS(SETORES!$D:$D,SETORES!$A:$A,A1002,SETORES!$F:$F,J1002)</f>
        <v>29069.1848371711</v>
      </c>
      <c r="F1002" s="22" t="n">
        <f aca="false">IFERROR(D1002*E1002,0)</f>
        <v>706.568543909178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706.568543909178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0.0243064450505568</v>
      </c>
      <c r="E1003" s="21" t="n">
        <f aca="false">SUMIFS(SETORES!$D:$D,SETORES!$A:$A,A1003,SETORES!$F:$F,J1003)</f>
        <v>29069.1848371711</v>
      </c>
      <c r="F1003" s="21" t="n">
        <f aca="false">IFERROR(D1003*E1003,0)</f>
        <v>706.568543909178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706.568543909178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0.721985302612478</v>
      </c>
      <c r="E1004" s="22" t="n">
        <f aca="false">SUMIFS(SETORES!$D:$D,SETORES!$A:$A,A1004,SETORES!$F:$F,J1004)</f>
        <v>29069.1848371711</v>
      </c>
      <c r="F1004" s="22" t="n">
        <f aca="false">IFERROR(D1004*E1004,0)</f>
        <v>20987.524211363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20987.524211363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0.0337095583249198</v>
      </c>
      <c r="E1005" s="21" t="n">
        <f aca="false">SUMIFS(SETORES!$D:$D,SETORES!$A:$A,A1005,SETORES!$F:$F,J1005)</f>
        <v>26587.41885</v>
      </c>
      <c r="F1005" s="21" t="n">
        <f aca="false">IFERROR(D1005*E1005,0)</f>
        <v>896.250146433146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896.250146433146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0.0683684694323473</v>
      </c>
      <c r="E1006" s="22" t="n">
        <f aca="false">SUMIFS(SETORES!$D:$D,SETORES!$A:$A,A1006,SETORES!$F:$F,J1006)</f>
        <v>26587.41885</v>
      </c>
      <c r="F1006" s="22" t="n">
        <f aca="false">IFERROR(D1006*E1006,0)</f>
        <v>1817.74113293124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1817.74113293124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0.0744614055444212</v>
      </c>
      <c r="E1007" s="21" t="n">
        <f aca="false">SUMIFS(SETORES!$D:$D,SETORES!$A:$A,A1007,SETORES!$F:$F,J1007)</f>
        <v>26587.41885</v>
      </c>
      <c r="F1007" s="21" t="n">
        <f aca="false">IFERROR(D1007*E1007,0)</f>
        <v>1979.73657736924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1979.73657736924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0.019203045965753</v>
      </c>
      <c r="E1008" s="22" t="n">
        <f aca="false">SUMIFS(SETORES!$D:$D,SETORES!$A:$A,A1008,SETORES!$F:$F,J1008)</f>
        <v>26587.41885</v>
      </c>
      <c r="F1008" s="22" t="n">
        <f aca="false">IFERROR(D1008*E1008,0)</f>
        <v>510.559426287277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510.559426287277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0.033659328018967</v>
      </c>
      <c r="E1009" s="21" t="n">
        <f aca="false">SUMIFS(SETORES!$D:$D,SETORES!$A:$A,A1009,SETORES!$F:$F,J1009)</f>
        <v>26587.41885</v>
      </c>
      <c r="F1009" s="21" t="n">
        <f aca="false">IFERROR(D1009*E1009,0)</f>
        <v>894.914652249815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894.914652249815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0.0243064450505568</v>
      </c>
      <c r="E1010" s="22" t="n">
        <f aca="false">SUMIFS(SETORES!$D:$D,SETORES!$A:$A,A1010,SETORES!$F:$F,J1010)</f>
        <v>26587.41885</v>
      </c>
      <c r="F1010" s="22" t="n">
        <f aca="false">IFERROR(D1010*E1010,0)</f>
        <v>646.245635313663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646.245635313663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0.0243064450505568</v>
      </c>
      <c r="E1011" s="21" t="n">
        <f aca="false">SUMIFS(SETORES!$D:$D,SETORES!$A:$A,A1011,SETORES!$F:$F,J1011)</f>
        <v>26587.41885</v>
      </c>
      <c r="F1011" s="21" t="n">
        <f aca="false">IFERROR(D1011*E1011,0)</f>
        <v>646.245635313663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646.245635313663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0.721985302612478</v>
      </c>
      <c r="E1012" s="22" t="n">
        <f aca="false">SUMIFS(SETORES!$D:$D,SETORES!$A:$A,A1012,SETORES!$F:$F,J1012)</f>
        <v>26587.41885</v>
      </c>
      <c r="F1012" s="22" t="n">
        <f aca="false">IFERROR(D1012*E1012,0)</f>
        <v>19195.725644102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19195.725644102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0.0337095583249198</v>
      </c>
      <c r="E1021" s="21" t="n">
        <f aca="false">SUMIFS(SETORES!$D:$D,SETORES!$A:$A,A1021,SETORES!$F:$F,J1021)</f>
        <v>73687.77593</v>
      </c>
      <c r="F1021" s="21" t="n">
        <f aca="false">IFERROR(D1021*E1021,0)</f>
        <v>2483.98238054595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2483.98238054595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0.0683684694323473</v>
      </c>
      <c r="E1022" s="22" t="n">
        <f aca="false">SUMIFS(SETORES!$D:$D,SETORES!$A:$A,A1022,SETORES!$F:$F,J1022)</f>
        <v>73687.77593</v>
      </c>
      <c r="F1022" s="22" t="n">
        <f aca="false">IFERROR(D1022*E1022,0)</f>
        <v>5037.92045620786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5037.92045620786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0.0744614055444212</v>
      </c>
      <c r="E1023" s="21" t="n">
        <f aca="false">SUMIFS(SETORES!$D:$D,SETORES!$A:$A,A1023,SETORES!$F:$F,J1023)</f>
        <v>73687.77593</v>
      </c>
      <c r="F1023" s="21" t="n">
        <f aca="false">IFERROR(D1023*E1023,0)</f>
        <v>5486.89536719017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5486.89536719017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0.019203045965753</v>
      </c>
      <c r="E1024" s="22" t="n">
        <f aca="false">SUMIFS(SETORES!$D:$D,SETORES!$A:$A,A1024,SETORES!$F:$F,J1024)</f>
        <v>73687.77593</v>
      </c>
      <c r="F1024" s="22" t="n">
        <f aca="false">IFERROR(D1024*E1024,0)</f>
        <v>1415.0297482979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1415.0297482979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0.033659328018967</v>
      </c>
      <c r="E1025" s="21" t="n">
        <f aca="false">SUMIFS(SETORES!$D:$D,SETORES!$A:$A,A1025,SETORES!$F:$F,J1025)</f>
        <v>73687.77593</v>
      </c>
      <c r="F1025" s="21" t="n">
        <f aca="false">IFERROR(D1025*E1025,0)</f>
        <v>2480.28102101601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2480.28102101601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0.0243064450505568</v>
      </c>
      <c r="E1026" s="22" t="n">
        <f aca="false">SUMIFS(SETORES!$D:$D,SETORES!$A:$A,A1026,SETORES!$F:$F,J1026)</f>
        <v>73687.77593</v>
      </c>
      <c r="F1026" s="22" t="n">
        <f aca="false">IFERROR(D1026*E1026,0)</f>
        <v>1791.08787654029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1791.08787654029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0.0243064450505568</v>
      </c>
      <c r="E1027" s="21" t="n">
        <f aca="false">SUMIFS(SETORES!$D:$D,SETORES!$A:$A,A1027,SETORES!$F:$F,J1027)</f>
        <v>73687.77593</v>
      </c>
      <c r="F1027" s="21" t="n">
        <f aca="false">IFERROR(D1027*E1027,0)</f>
        <v>1791.08787654029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1791.08787654029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0.721985302612478</v>
      </c>
      <c r="E1028" s="22" t="n">
        <f aca="false">SUMIFS(SETORES!$D:$D,SETORES!$A:$A,A1028,SETORES!$F:$F,J1028)</f>
        <v>73687.77593</v>
      </c>
      <c r="F1028" s="22" t="n">
        <f aca="false">IFERROR(D1028*E1028,0)</f>
        <v>53201.4912036615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53201.4912036615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0.0337095583249198</v>
      </c>
      <c r="E1029" s="21" t="n">
        <f aca="false">SUMIFS(SETORES!$D:$D,SETORES!$A:$A,A1029,SETORES!$F:$F,J1029)</f>
        <v>175276.64</v>
      </c>
      <c r="F1029" s="21" t="n">
        <f aca="false">IFERROR(D1029*E1029,0)</f>
        <v>5908.49811907596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5908.49811907596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0.0683684694323473</v>
      </c>
      <c r="E1030" s="22" t="n">
        <f aca="false">SUMIFS(SETORES!$D:$D,SETORES!$A:$A,A1030,SETORES!$F:$F,J1030)</f>
        <v>175276.64</v>
      </c>
      <c r="F1030" s="22" t="n">
        <f aca="false">IFERROR(D1030*E1030,0)</f>
        <v>11983.3956040445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11983.3956040445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0.0744614055444212</v>
      </c>
      <c r="E1031" s="21" t="n">
        <f aca="false">SUMIFS(SETORES!$D:$D,SETORES!$A:$A,A1031,SETORES!$F:$F,J1031)</f>
        <v>175276.64</v>
      </c>
      <c r="F1031" s="21" t="n">
        <f aca="false">IFERROR(D1031*E1031,0)</f>
        <v>13051.3449735035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13051.3449735035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0.019203045965753</v>
      </c>
      <c r="E1032" s="22" t="n">
        <f aca="false">SUMIFS(SETORES!$D:$D,SETORES!$A:$A,A1032,SETORES!$F:$F,J1032)</f>
        <v>175276.64</v>
      </c>
      <c r="F1032" s="22" t="n">
        <f aca="false">IFERROR(D1032*E1032,0)</f>
        <v>3365.84537464274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3365.84537464274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0.033659328018967</v>
      </c>
      <c r="E1033" s="21" t="n">
        <f aca="false">SUMIFS(SETORES!$D:$D,SETORES!$A:$A,A1033,SETORES!$F:$F,J1033)</f>
        <v>175276.64</v>
      </c>
      <c r="F1033" s="21" t="n">
        <f aca="false">IFERROR(D1033*E1033,0)</f>
        <v>5899.69391982239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5899.69391982239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0.0243064450505568</v>
      </c>
      <c r="E1034" s="22" t="n">
        <f aca="false">SUMIFS(SETORES!$D:$D,SETORES!$A:$A,A1034,SETORES!$F:$F,J1034)</f>
        <v>175276.64</v>
      </c>
      <c r="F1034" s="22" t="n">
        <f aca="false">IFERROR(D1034*E1034,0)</f>
        <v>4260.35201880623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4260.35201880623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0.0243064450505568</v>
      </c>
      <c r="E1035" s="21" t="n">
        <f aca="false">SUMIFS(SETORES!$D:$D,SETORES!$A:$A,A1035,SETORES!$F:$F,J1035)</f>
        <v>175276.64</v>
      </c>
      <c r="F1035" s="21" t="n">
        <f aca="false">IFERROR(D1035*E1035,0)</f>
        <v>4260.35201880623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4260.35201880623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0.721985302612478</v>
      </c>
      <c r="E1036" s="22" t="n">
        <f aca="false">SUMIFS(SETORES!$D:$D,SETORES!$A:$A,A1036,SETORES!$F:$F,J1036)</f>
        <v>175276.64</v>
      </c>
      <c r="F1036" s="22" t="n">
        <f aca="false">IFERROR(D1036*E1036,0)</f>
        <v>126547.157971298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126547.157971298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0.0337095583249198</v>
      </c>
      <c r="E1037" s="21" t="n">
        <f aca="false">SUMIFS(SETORES!$D:$D,SETORES!$A:$A,A1037,SETORES!$F:$F,J1037)</f>
        <v>133708.32</v>
      </c>
      <c r="F1037" s="21" t="n">
        <f aca="false">IFERROR(D1037*E1037,0)</f>
        <v>4507.24841156704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4507.24841156704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0.0683684694323473</v>
      </c>
      <c r="E1038" s="22" t="n">
        <f aca="false">SUMIFS(SETORES!$D:$D,SETORES!$A:$A,A1038,SETORES!$F:$F,J1038)</f>
        <v>133708.32</v>
      </c>
      <c r="F1038" s="22" t="n">
        <f aca="false">IFERROR(D1038*E1038,0)</f>
        <v>9141.43318877051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9141.43318877051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0.0744614055444212</v>
      </c>
      <c r="E1039" s="21" t="n">
        <f aca="false">SUMIFS(SETORES!$D:$D,SETORES!$A:$A,A1039,SETORES!$F:$F,J1039)</f>
        <v>133708.32</v>
      </c>
      <c r="F1039" s="21" t="n">
        <f aca="false">IFERROR(D1039*E1039,0)</f>
        <v>9956.10944018324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9956.10944018324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0.019203045965753</v>
      </c>
      <c r="E1040" s="22" t="n">
        <f aca="false">SUMIFS(SETORES!$D:$D,SETORES!$A:$A,A1040,SETORES!$F:$F,J1040)</f>
        <v>133708.32</v>
      </c>
      <c r="F1040" s="22" t="n">
        <f aca="false">IFERROR(D1040*E1040,0)</f>
        <v>2567.60701496361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2567.60701496361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0.033659328018967</v>
      </c>
      <c r="E1041" s="21" t="n">
        <f aca="false">SUMIFS(SETORES!$D:$D,SETORES!$A:$A,A1041,SETORES!$F:$F,J1041)</f>
        <v>133708.32</v>
      </c>
      <c r="F1041" s="21" t="n">
        <f aca="false">IFERROR(D1041*E1041,0)</f>
        <v>4500.532201745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4500.532201745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0.0243064450505568</v>
      </c>
      <c r="E1042" s="22" t="n">
        <f aca="false">SUMIFS(SETORES!$D:$D,SETORES!$A:$A,A1042,SETORES!$F:$F,J1042)</f>
        <v>133708.32</v>
      </c>
      <c r="F1042" s="22" t="n">
        <f aca="false">IFERROR(D1042*E1042,0)</f>
        <v>3249.97393288227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3249.97393288227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0.0243064450505568</v>
      </c>
      <c r="E1043" s="21" t="n">
        <f aca="false">SUMIFS(SETORES!$D:$D,SETORES!$A:$A,A1043,SETORES!$F:$F,J1043)</f>
        <v>133708.32</v>
      </c>
      <c r="F1043" s="21" t="n">
        <f aca="false">IFERROR(D1043*E1043,0)</f>
        <v>3249.97393288227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3249.97393288227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0.721985302612478</v>
      </c>
      <c r="E1044" s="22" t="n">
        <f aca="false">SUMIFS(SETORES!$D:$D,SETORES!$A:$A,A1044,SETORES!$F:$F,J1044)</f>
        <v>133708.32</v>
      </c>
      <c r="F1044" s="22" t="n">
        <f aca="false">IFERROR(D1044*E1044,0)</f>
        <v>96535.4418770061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96535.4418770061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0.0337095583249198</v>
      </c>
      <c r="E1045" s="21" t="n">
        <f aca="false">SUMIFS(SETORES!$D:$D,SETORES!$A:$A,A1045,SETORES!$F:$F,J1045)</f>
        <v>149308.52832</v>
      </c>
      <c r="F1045" s="21" t="n">
        <f aca="false">IFERROR(D1045*E1045,0)</f>
        <v>5033.12454381097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5033.12454381097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0.0683684694323473</v>
      </c>
      <c r="E1046" s="22" t="n">
        <f aca="false">SUMIFS(SETORES!$D:$D,SETORES!$A:$A,A1046,SETORES!$F:$F,J1046)</f>
        <v>149308.52832</v>
      </c>
      <c r="F1046" s="22" t="n">
        <f aca="false">IFERROR(D1046*E1046,0)</f>
        <v>10207.9955544347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10207.9955544347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0.0744614055444212</v>
      </c>
      <c r="E1047" s="21" t="n">
        <f aca="false">SUMIFS(SETORES!$D:$D,SETORES!$A:$A,A1047,SETORES!$F:$F,J1047)</f>
        <v>149308.52832</v>
      </c>
      <c r="F1047" s="21" t="n">
        <f aca="false">IFERROR(D1047*E1047,0)</f>
        <v>11117.7228784762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11117.7228784762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0.019203045965753</v>
      </c>
      <c r="E1048" s="22" t="n">
        <f aca="false">SUMIFS(SETORES!$D:$D,SETORES!$A:$A,A1048,SETORES!$F:$F,J1048)</f>
        <v>149308.52832</v>
      </c>
      <c r="F1048" s="22" t="n">
        <f aca="false">IFERROR(D1048*E1048,0)</f>
        <v>2867.17853240789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2867.17853240789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0.033659328018967</v>
      </c>
      <c r="E1049" s="21" t="n">
        <f aca="false">SUMIFS(SETORES!$D:$D,SETORES!$A:$A,A1049,SETORES!$F:$F,J1049)</f>
        <v>149308.52832</v>
      </c>
      <c r="F1049" s="21" t="n">
        <f aca="false">IFERROR(D1049*E1049,0)</f>
        <v>5025.6247307521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5025.6247307521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0.0243064450505568</v>
      </c>
      <c r="E1050" s="22" t="n">
        <f aca="false">SUMIFS(SETORES!$D:$D,SETORES!$A:$A,A1050,SETORES!$F:$F,J1050)</f>
        <v>149308.52832</v>
      </c>
      <c r="F1050" s="22" t="n">
        <f aca="false">IFERROR(D1050*E1050,0)</f>
        <v>3629.15953918958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3629.15953918958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0.0243064450505568</v>
      </c>
      <c r="E1051" s="21" t="n">
        <f aca="false">SUMIFS(SETORES!$D:$D,SETORES!$A:$A,A1051,SETORES!$F:$F,J1051)</f>
        <v>149308.52832</v>
      </c>
      <c r="F1051" s="21" t="n">
        <f aca="false">IFERROR(D1051*E1051,0)</f>
        <v>3629.15953918958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3629.15953918958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0.721985302612478</v>
      </c>
      <c r="E1052" s="22" t="n">
        <f aca="false">SUMIFS(SETORES!$D:$D,SETORES!$A:$A,A1052,SETORES!$F:$F,J1052)</f>
        <v>149308.52832</v>
      </c>
      <c r="F1052" s="22" t="n">
        <f aca="false">IFERROR(D1052*E1052,0)</f>
        <v>107798.563001739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107798.563001739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0.0337095583249198</v>
      </c>
      <c r="E1053" s="21" t="n">
        <f aca="false">SUMIFS(SETORES!$D:$D,SETORES!$A:$A,A1053,SETORES!$F:$F,J1053)</f>
        <v>31996.26708</v>
      </c>
      <c r="F1053" s="21" t="n">
        <f aca="false">IFERROR(D1053*E1053,0)</f>
        <v>1078.58003131297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1078.58003131297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0.0683684694323473</v>
      </c>
      <c r="E1054" s="22" t="n">
        <f aca="false">SUMIFS(SETORES!$D:$D,SETORES!$A:$A,A1054,SETORES!$F:$F,J1054)</f>
        <v>31996.26708</v>
      </c>
      <c r="F1054" s="22" t="n">
        <f aca="false">IFERROR(D1054*E1054,0)</f>
        <v>2187.5358078082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2187.5358078082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0.0744614055444212</v>
      </c>
      <c r="E1055" s="21" t="n">
        <f aca="false">SUMIFS(SETORES!$D:$D,SETORES!$A:$A,A1055,SETORES!$F:$F,J1055)</f>
        <v>31996.26708</v>
      </c>
      <c r="F1055" s="21" t="n">
        <f aca="false">IFERROR(D1055*E1055,0)</f>
        <v>2382.48701895149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2382.48701895149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0.019203045965753</v>
      </c>
      <c r="E1056" s="22" t="n">
        <f aca="false">SUMIFS(SETORES!$D:$D,SETORES!$A:$A,A1056,SETORES!$F:$F,J1056)</f>
        <v>31996.26708</v>
      </c>
      <c r="F1056" s="22" t="n">
        <f aca="false">IFERROR(D1056*E1056,0)</f>
        <v>614.425787469749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614.425787469749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0.033659328018967</v>
      </c>
      <c r="E1057" s="21" t="n">
        <f aca="false">SUMIFS(SETORES!$D:$D,SETORES!$A:$A,A1057,SETORES!$F:$F,J1057)</f>
        <v>31996.26708</v>
      </c>
      <c r="F1057" s="21" t="n">
        <f aca="false">IFERROR(D1057*E1057,0)</f>
        <v>1076.97284902819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1076.97284902819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0.0243064450505568</v>
      </c>
      <c r="E1058" s="22" t="n">
        <f aca="false">SUMIFS(SETORES!$D:$D,SETORES!$A:$A,A1058,SETORES!$F:$F,J1058)</f>
        <v>31996.26708</v>
      </c>
      <c r="F1058" s="22" t="n">
        <f aca="false">IFERROR(D1058*E1058,0)</f>
        <v>777.71550760296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777.71550760296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0.0243064450505568</v>
      </c>
      <c r="E1059" s="21" t="n">
        <f aca="false">SUMIFS(SETORES!$D:$D,SETORES!$A:$A,A1059,SETORES!$F:$F,J1059)</f>
        <v>31996.26708</v>
      </c>
      <c r="F1059" s="21" t="n">
        <f aca="false">IFERROR(D1059*E1059,0)</f>
        <v>777.71550760296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777.71550760296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0.721985302612478</v>
      </c>
      <c r="E1060" s="22" t="n">
        <f aca="false">SUMIFS(SETORES!$D:$D,SETORES!$A:$A,A1060,SETORES!$F:$F,J1060)</f>
        <v>31996.26708</v>
      </c>
      <c r="F1060" s="22" t="n">
        <f aca="false">IFERROR(D1060*E1060,0)</f>
        <v>23100.8345702235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23100.8345702235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0.0337095583249198</v>
      </c>
      <c r="E1061" s="21" t="n">
        <f aca="false">SUMIFS(SETORES!$D:$D,SETORES!$A:$A,A1061,SETORES!$F:$F,J1061)</f>
        <v>102382.15832</v>
      </c>
      <c r="F1061" s="21" t="n">
        <f aca="false">IFERROR(D1061*E1061,0)</f>
        <v>3451.25733731921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3451.25733731921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0.0683684694323473</v>
      </c>
      <c r="E1062" s="22" t="n">
        <f aca="false">SUMIFS(SETORES!$D:$D,SETORES!$A:$A,A1062,SETORES!$F:$F,J1062)</f>
        <v>102382.15832</v>
      </c>
      <c r="F1062" s="22" t="n">
        <f aca="false">IFERROR(D1062*E1062,0)</f>
        <v>6999.71146151866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6999.71146151866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0.0744614055444212</v>
      </c>
      <c r="E1063" s="21" t="n">
        <f aca="false">SUMIFS(SETORES!$D:$D,SETORES!$A:$A,A1063,SETORES!$F:$F,J1063)</f>
        <v>102382.15832</v>
      </c>
      <c r="F1063" s="21" t="n">
        <f aca="false">IFERROR(D1063*E1063,0)</f>
        <v>7623.51941117865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7623.51941117865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0.019203045965753</v>
      </c>
      <c r="E1064" s="22" t="n">
        <f aca="false">SUMIFS(SETORES!$D:$D,SETORES!$A:$A,A1064,SETORES!$F:$F,J1064)</f>
        <v>102382.15832</v>
      </c>
      <c r="F1064" s="22" t="n">
        <f aca="false">IFERROR(D1064*E1064,0)</f>
        <v>1966.04929229196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1966.04929229196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0.033659328018967</v>
      </c>
      <c r="E1065" s="21" t="n">
        <f aca="false">SUMIFS(SETORES!$D:$D,SETORES!$A:$A,A1065,SETORES!$F:$F,J1065)</f>
        <v>102382.15832</v>
      </c>
      <c r="F1065" s="21" t="n">
        <f aca="false">IFERROR(D1065*E1065,0)</f>
        <v>3446.11465018269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3446.11465018269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0.0243064450505568</v>
      </c>
      <c r="E1066" s="22" t="n">
        <f aca="false">SUMIFS(SETORES!$D:$D,SETORES!$A:$A,A1066,SETORES!$F:$F,J1066)</f>
        <v>102382.15832</v>
      </c>
      <c r="F1066" s="22" t="n">
        <f aca="false">IFERROR(D1066*E1066,0)</f>
        <v>2488.54630536249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2488.54630536249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0.0243064450505568</v>
      </c>
      <c r="E1067" s="21" t="n">
        <f aca="false">SUMIFS(SETORES!$D:$D,SETORES!$A:$A,A1067,SETORES!$F:$F,J1067)</f>
        <v>102382.15832</v>
      </c>
      <c r="F1067" s="21" t="n">
        <f aca="false">IFERROR(D1067*E1067,0)</f>
        <v>2488.54630536249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2488.54630536249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0.721985302612478</v>
      </c>
      <c r="E1068" s="22" t="n">
        <f aca="false">SUMIFS(SETORES!$D:$D,SETORES!$A:$A,A1068,SETORES!$F:$F,J1068)</f>
        <v>102382.15832</v>
      </c>
      <c r="F1068" s="22" t="n">
        <f aca="false">IFERROR(D1068*E1068,0)</f>
        <v>73918.4135567838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73918.4135567838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0.0337095583249198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4693.09315963472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4693.09315963472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0.0683684694323473</v>
      </c>
      <c r="E1070" s="22" t="n">
        <f aca="false">SUMIFS(SETORES!$D:$D,SETORES!$A:$A,A1070,SETORES!$F:$F,J1070)</f>
        <v>139221.437267108</v>
      </c>
      <c r="F1070" s="22" t="n">
        <f aca="false">IFERROR(D1070*E1070,0)</f>
        <v>9518.35657812371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9518.35657812371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0.0744614055444212</v>
      </c>
      <c r="E1071" s="21" t="n">
        <f aca="false">SUMIFS(SETORES!$D:$D,SETORES!$A:$A,A1071,SETORES!$F:$F,J1071)</f>
        <v>139221.437267108</v>
      </c>
      <c r="F1071" s="21" t="n">
        <f aca="false">IFERROR(D1071*E1071,0)</f>
        <v>10366.6239008233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10366.6239008233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0.019203045965753</v>
      </c>
      <c r="E1072" s="22" t="n">
        <f aca="false">SUMIFS(SETORES!$D:$D,SETORES!$A:$A,A1072,SETORES!$F:$F,J1072)</f>
        <v>139221.437267108</v>
      </c>
      <c r="F1072" s="22" t="n">
        <f aca="false">IFERROR(D1072*E1072,0)</f>
        <v>2673.47565925846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2673.47565925846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0.033659328018967</v>
      </c>
      <c r="E1073" s="21" t="n">
        <f aca="false">SUMIFS(SETORES!$D:$D,SETORES!$A:$A,A1073,SETORES!$F:$F,J1073)</f>
        <v>139221.437267108</v>
      </c>
      <c r="F1073" s="21" t="n">
        <f aca="false">IFERROR(D1073*E1073,0)</f>
        <v>4686.10002424561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4686.10002424561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0.0243064450505568</v>
      </c>
      <c r="E1074" s="22" t="n">
        <f aca="false">SUMIFS(SETORES!$D:$D,SETORES!$A:$A,A1074,SETORES!$F:$F,J1074)</f>
        <v>139221.437267108</v>
      </c>
      <c r="F1074" s="22" t="n">
        <f aca="false">IFERROR(D1074*E1074,0)</f>
        <v>3383.97821479249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3383.97821479249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0.0243064450505568</v>
      </c>
      <c r="E1075" s="21" t="n">
        <f aca="false">SUMIFS(SETORES!$D:$D,SETORES!$A:$A,A1075,SETORES!$F:$F,J1075)</f>
        <v>139221.437267108</v>
      </c>
      <c r="F1075" s="21" t="n">
        <f aca="false">IFERROR(D1075*E1075,0)</f>
        <v>3383.97821479249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3383.97821479249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0.721985302612478</v>
      </c>
      <c r="E1076" s="22" t="n">
        <f aca="false">SUMIFS(SETORES!$D:$D,SETORES!$A:$A,A1076,SETORES!$F:$F,J1076)</f>
        <v>139221.437267108</v>
      </c>
      <c r="F1076" s="22" t="n">
        <f aca="false">IFERROR(D1076*E1076,0)</f>
        <v>100515.831515437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100515.831515437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0.0337095583249198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1315.85888323888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1315.85888323888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0.0683684694323473</v>
      </c>
      <c r="E1078" s="22" t="n">
        <f aca="false">SUMIFS(SETORES!$D:$D,SETORES!$A:$A,A1078,SETORES!$F:$F,J1078)</f>
        <v>39035.1861200783</v>
      </c>
      <c r="F1078" s="22" t="n">
        <f aca="false">IFERROR(D1078*E1078,0)</f>
        <v>2668.77592903656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2668.77592903656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0.0744614055444212</v>
      </c>
      <c r="E1079" s="21" t="n">
        <f aca="false">SUMIFS(SETORES!$D:$D,SETORES!$A:$A,A1079,SETORES!$F:$F,J1079)</f>
        <v>39035.1861200783</v>
      </c>
      <c r="F1079" s="21" t="n">
        <f aca="false">IFERROR(D1079*E1079,0)</f>
        <v>2906.61482418911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2906.61482418911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0.019203045965753</v>
      </c>
      <c r="E1080" s="22" t="n">
        <f aca="false">SUMIFS(SETORES!$D:$D,SETORES!$A:$A,A1080,SETORES!$F:$F,J1080)</f>
        <v>39035.1861200783</v>
      </c>
      <c r="F1080" s="22" t="n">
        <f aca="false">IFERROR(D1080*E1080,0)</f>
        <v>749.594473345586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749.594473345586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0.033659328018967</v>
      </c>
      <c r="E1081" s="21" t="n">
        <f aca="false">SUMIFS(SETORES!$D:$D,SETORES!$A:$A,A1081,SETORES!$F:$F,J1081)</f>
        <v>39035.1861200783</v>
      </c>
      <c r="F1081" s="21" t="n">
        <f aca="false">IFERROR(D1081*E1081,0)</f>
        <v>1313.89813389714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1313.89813389714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0.0243064450505568</v>
      </c>
      <c r="E1082" s="22" t="n">
        <f aca="false">SUMIFS(SETORES!$D:$D,SETORES!$A:$A,A1082,SETORES!$F:$F,J1082)</f>
        <v>39035.1861200783</v>
      </c>
      <c r="F1082" s="22" t="n">
        <f aca="false">IFERROR(D1082*E1082,0)</f>
        <v>948.80660646594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948.80660646594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0.0243064450505568</v>
      </c>
      <c r="E1083" s="21" t="n">
        <f aca="false">SUMIFS(SETORES!$D:$D,SETORES!$A:$A,A1083,SETORES!$F:$F,J1083)</f>
        <v>39035.1861200783</v>
      </c>
      <c r="F1083" s="21" t="n">
        <f aca="false">IFERROR(D1083*E1083,0)</f>
        <v>948.80660646594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948.80660646594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0.721985302612478</v>
      </c>
      <c r="E1084" s="22" t="n">
        <f aca="false">SUMIFS(SETORES!$D:$D,SETORES!$A:$A,A1084,SETORES!$F:$F,J1084)</f>
        <v>39035.1861200783</v>
      </c>
      <c r="F1084" s="22" t="n">
        <f aca="false">IFERROR(D1084*E1084,0)</f>
        <v>28182.8306634391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28182.8306634391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0.0337095583249198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4550.23115991057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4550.23115991057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0.0683684694323473</v>
      </c>
      <c r="E1086" s="22" t="n">
        <f aca="false">SUMIFS(SETORES!$D:$D,SETORES!$A:$A,A1086,SETORES!$F:$F,J1086)</f>
        <v>134983.410819323</v>
      </c>
      <c r="F1086" s="22" t="n">
        <f aca="false">IFERROR(D1086*E1086,0)</f>
        <v>9228.60919647485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9228.60919647485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0.0744614055444212</v>
      </c>
      <c r="E1087" s="21" t="n">
        <f aca="false">SUMIFS(SETORES!$D:$D,SETORES!$A:$A,A1087,SETORES!$F:$F,J1087)</f>
        <v>134983.410819323</v>
      </c>
      <c r="F1087" s="21" t="n">
        <f aca="false">IFERROR(D1087*E1087,0)</f>
        <v>10051.0544947868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10051.0544947868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0.019203045965753</v>
      </c>
      <c r="E1088" s="22" t="n">
        <f aca="false">SUMIFS(SETORES!$D:$D,SETORES!$A:$A,A1088,SETORES!$F:$F,J1088)</f>
        <v>134983.410819323</v>
      </c>
      <c r="F1088" s="22" t="n">
        <f aca="false">IFERROR(D1088*E1088,0)</f>
        <v>2592.09264257757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2592.09264257757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0.033659328018967</v>
      </c>
      <c r="E1089" s="21" t="n">
        <f aca="false">SUMIFS(SETORES!$D:$D,SETORES!$A:$A,A1089,SETORES!$F:$F,J1089)</f>
        <v>134983.410819323</v>
      </c>
      <c r="F1089" s="21" t="n">
        <f aca="false">IFERROR(D1089*E1089,0)</f>
        <v>4543.45090188656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4543.45090188656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0.0243064450505568</v>
      </c>
      <c r="E1090" s="22" t="n">
        <f aca="false">SUMIFS(SETORES!$D:$D,SETORES!$A:$A,A1090,SETORES!$F:$F,J1090)</f>
        <v>134983.410819323</v>
      </c>
      <c r="F1090" s="22" t="n">
        <f aca="false">IFERROR(D1090*E1090,0)</f>
        <v>3280.96685781661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3280.96685781661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0.0243064450505568</v>
      </c>
      <c r="E1091" s="21" t="n">
        <f aca="false">SUMIFS(SETORES!$D:$D,SETORES!$A:$A,A1091,SETORES!$F:$F,J1091)</f>
        <v>134983.410819323</v>
      </c>
      <c r="F1091" s="21" t="n">
        <f aca="false">IFERROR(D1091*E1091,0)</f>
        <v>3280.96685781661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3280.96685781661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0.721985302612478</v>
      </c>
      <c r="E1092" s="22" t="n">
        <f aca="false">SUMIFS(SETORES!$D:$D,SETORES!$A:$A,A1092,SETORES!$F:$F,J1092)</f>
        <v>134983.410819323</v>
      </c>
      <c r="F1092" s="22" t="n">
        <f aca="false">IFERROR(D1092*E1092,0)</f>
        <v>97456.0387080533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97456.0387080533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0.0337095583249198</v>
      </c>
      <c r="E1093" s="21" t="n">
        <f aca="false">SUMIFS(SETORES!$D:$D,SETORES!$A:$A,A1093,SETORES!$F:$F,J1093)</f>
        <v>205129.686665041</v>
      </c>
      <c r="F1093" s="21" t="n">
        <f aca="false">IFERROR(D1093*E1093,0)</f>
        <v>6914.8311368077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6914.8311368077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0.0683684694323473</v>
      </c>
      <c r="E1094" s="22" t="n">
        <f aca="false">SUMIFS(SETORES!$D:$D,SETORES!$A:$A,A1094,SETORES!$F:$F,J1094)</f>
        <v>205129.686665041</v>
      </c>
      <c r="F1094" s="22" t="n">
        <f aca="false">IFERROR(D1094*E1094,0)</f>
        <v>14024.4027124258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14024.4027124258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0.0744614055444212</v>
      </c>
      <c r="E1095" s="21" t="n">
        <f aca="false">SUMIFS(SETORES!$D:$D,SETORES!$A:$A,A1095,SETORES!$F:$F,J1095)</f>
        <v>205129.686665041</v>
      </c>
      <c r="F1095" s="21" t="n">
        <f aca="false">IFERROR(D1095*E1095,0)</f>
        <v>15274.2447879656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15274.2447879656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0.019203045965753</v>
      </c>
      <c r="E1096" s="22" t="n">
        <f aca="false">SUMIFS(SETORES!$D:$D,SETORES!$A:$A,A1096,SETORES!$F:$F,J1096)</f>
        <v>205129.686665041</v>
      </c>
      <c r="F1096" s="22" t="n">
        <f aca="false">IFERROR(D1096*E1096,0)</f>
        <v>3939.11480196928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3939.11480196928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0.033659328018967</v>
      </c>
      <c r="E1097" s="21" t="n">
        <f aca="false">SUMIFS(SETORES!$D:$D,SETORES!$A:$A,A1097,SETORES!$F:$F,J1097)</f>
        <v>205129.686665041</v>
      </c>
      <c r="F1097" s="21" t="n">
        <f aca="false">IFERROR(D1097*E1097,0)</f>
        <v>6904.52740988651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6904.52740988651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0.0243064450505568</v>
      </c>
      <c r="E1098" s="22" t="n">
        <f aca="false">SUMIFS(SETORES!$D:$D,SETORES!$A:$A,A1098,SETORES!$F:$F,J1098)</f>
        <v>205129.686665041</v>
      </c>
      <c r="F1098" s="22" t="n">
        <f aca="false">IFERROR(D1098*E1098,0)</f>
        <v>4985.97345716174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4985.97345716174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0.0243064450505568</v>
      </c>
      <c r="E1099" s="21" t="n">
        <f aca="false">SUMIFS(SETORES!$D:$D,SETORES!$A:$A,A1099,SETORES!$F:$F,J1099)</f>
        <v>205129.686665041</v>
      </c>
      <c r="F1099" s="21" t="n">
        <f aca="false">IFERROR(D1099*E1099,0)</f>
        <v>4985.97345716174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4985.97345716174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0.721985302612478</v>
      </c>
      <c r="E1100" s="22" t="n">
        <f aca="false">SUMIFS(SETORES!$D:$D,SETORES!$A:$A,A1100,SETORES!$F:$F,J1100)</f>
        <v>205129.686665041</v>
      </c>
      <c r="F1100" s="22" t="n">
        <f aca="false">IFERROR(D1100*E1100,0)</f>
        <v>148100.618901662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148100.618901662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0.0337095583249198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0.0683684694323473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0.0744614055444212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0.019203045965753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0.033659328018967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0.0243064450505568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0.0243064450505568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0.721985302612478</v>
      </c>
      <c r="E1116" s="26" t="n">
        <f aca="false">SUMIFS(SETORES!$D:$D,SETORES!$A:$A,A1116,SETORES!$F:$F,J1116)</f>
        <v>75785.85947</v>
      </c>
      <c r="F1116" s="26" t="n">
        <f aca="false">IFERROR(D1116*E1116,0)</f>
        <v>54716.2766831947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54716.2766831947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0.0337095583249198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397.556198832925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397.556198832925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0.0683684694323473</v>
      </c>
      <c r="E1126" s="26" t="n">
        <f aca="false">SUMIFS(SETORES!$D:$D,SETORES!$A:$A,A1126,SETORES!$F:$F,J1126)</f>
        <v>11793.5748371711</v>
      </c>
      <c r="F1126" s="26" t="n">
        <f aca="false">IFERROR(D1126*E1126,0)</f>
        <v>806.308660753232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806.308660753232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0.0744614055444212</v>
      </c>
      <c r="E1127" s="26" t="n">
        <f aca="false">SUMIFS(SETORES!$D:$D,SETORES!$A:$A,A1127,SETORES!$F:$F,J1127)</f>
        <v>11793.5748371711</v>
      </c>
      <c r="F1127" s="26" t="n">
        <f aca="false">IFERROR(D1127*E1127,0)</f>
        <v>878.166158769077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878.166158769077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0.019203045965753</v>
      </c>
      <c r="E1128" s="26" t="n">
        <f aca="false">SUMIFS(SETORES!$D:$D,SETORES!$A:$A,A1128,SETORES!$F:$F,J1128)</f>
        <v>11793.5748371711</v>
      </c>
      <c r="F1128" s="26" t="n">
        <f aca="false">IFERROR(D1128*E1128,0)</f>
        <v>226.472559698744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226.472559698744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0.033659328018967</v>
      </c>
      <c r="E1129" s="26" t="n">
        <f aca="false">SUMIFS(SETORES!$D:$D,SETORES!$A:$A,A1129,SETORES!$F:$F,J1129)</f>
        <v>11793.5748371711</v>
      </c>
      <c r="F1129" s="26" t="n">
        <f aca="false">IFERROR(D1129*E1129,0)</f>
        <v>396.963803960576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396.963803960576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0.0243064450505568</v>
      </c>
      <c r="E1130" s="26" t="n">
        <f aca="false">SUMIFS(SETORES!$D:$D,SETORES!$A:$A,A1130,SETORES!$F:$F,J1130)</f>
        <v>11793.5748371711</v>
      </c>
      <c r="F1130" s="26" t="n">
        <f aca="false">IFERROR(D1130*E1130,0)</f>
        <v>286.659878729328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286.659878729328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0.0243064450505568</v>
      </c>
      <c r="E1131" s="26" t="n">
        <f aca="false">SUMIFS(SETORES!$D:$D,SETORES!$A:$A,A1131,SETORES!$F:$F,J1131)</f>
        <v>11793.5748371711</v>
      </c>
      <c r="F1131" s="26" t="n">
        <f aca="false">IFERROR(D1131*E1131,0)</f>
        <v>286.659878729328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286.659878729328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0.721985302612478</v>
      </c>
      <c r="E1132" s="26" t="n">
        <f aca="false">SUMIFS(SETORES!$D:$D,SETORES!$A:$A,A1132,SETORES!$F:$F,J1132)</f>
        <v>11793.5748371711</v>
      </c>
      <c r="F1132" s="26" t="n">
        <f aca="false">IFERROR(D1132*E1132,0)</f>
        <v>8514.78769769787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8514.78769769787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0.0337095583249198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506.880547628761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506.880547628761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0.0683684694323473</v>
      </c>
      <c r="E1134" s="26" t="n">
        <f aca="false">SUMIFS(SETORES!$D:$D,SETORES!$A:$A,A1134,SETORES!$F:$F,J1134)</f>
        <v>15036.7009482308</v>
      </c>
      <c r="F1134" s="26" t="n">
        <f aca="false">IFERROR(D1134*E1134,0)</f>
        <v>1028.03622914246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1028.03622914246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0.0744614055444212</v>
      </c>
      <c r="E1135" s="26" t="n">
        <f aca="false">SUMIFS(SETORES!$D:$D,SETORES!$A:$A,A1135,SETORES!$F:$F,J1135)</f>
        <v>15036.7009482308</v>
      </c>
      <c r="F1135" s="26" t="n">
        <f aca="false">IFERROR(D1135*E1135,0)</f>
        <v>1119.65388735639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1119.65388735639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0.019203045965753</v>
      </c>
      <c r="E1136" s="26" t="n">
        <f aca="false">SUMIFS(SETORES!$D:$D,SETORES!$A:$A,A1136,SETORES!$F:$F,J1136)</f>
        <v>15036.7009482308</v>
      </c>
      <c r="F1136" s="26" t="n">
        <f aca="false">IFERROR(D1136*E1136,0)</f>
        <v>288.750459482157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288.750459482157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0.033659328018967</v>
      </c>
      <c r="E1137" s="26" t="n">
        <f aca="false">SUMIFS(SETORES!$D:$D,SETORES!$A:$A,A1137,SETORES!$F:$F,J1137)</f>
        <v>15036.7009482308</v>
      </c>
      <c r="F1137" s="26" t="n">
        <f aca="false">IFERROR(D1137*E1137,0)</f>
        <v>506.125249539611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506.125249539611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0.0243064450505568</v>
      </c>
      <c r="E1138" s="26" t="n">
        <f aca="false">SUMIFS(SETORES!$D:$D,SETORES!$A:$A,A1138,SETORES!$F:$F,J1138)</f>
        <v>15036.7009482308</v>
      </c>
      <c r="F1138" s="26" t="n">
        <f aca="false">IFERROR(D1138*E1138,0)</f>
        <v>365.488745339827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365.488745339827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0.0243064450505568</v>
      </c>
      <c r="E1139" s="26" t="n">
        <f aca="false">SUMIFS(SETORES!$D:$D,SETORES!$A:$A,A1139,SETORES!$F:$F,J1139)</f>
        <v>15036.7009482308</v>
      </c>
      <c r="F1139" s="26" t="n">
        <f aca="false">IFERROR(D1139*E1139,0)</f>
        <v>365.488745339827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365.488745339827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0.721985302612478</v>
      </c>
      <c r="E1140" s="26" t="n">
        <f aca="false">SUMIFS(SETORES!$D:$D,SETORES!$A:$A,A1140,SETORES!$F:$F,J1140)</f>
        <v>15036.7009482308</v>
      </c>
      <c r="F1140" s="26" t="n">
        <f aca="false">IFERROR(D1140*E1140,0)</f>
        <v>10856.2770844017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10856.2770844017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0.0337095583249198</v>
      </c>
      <c r="E1141" s="26" t="n">
        <f aca="false">SUMIFS(SETORES!$D:$D,SETORES!$A:$A,A1141,SETORES!$F:$F,J1141)</f>
        <v>136026.67</v>
      </c>
      <c r="F1141" s="26" t="n">
        <f aca="false">IFERROR(D1141*E1141,0)</f>
        <v>4585.39896610961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4585.39896610961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0.0683684694323473</v>
      </c>
      <c r="E1142" s="26" t="n">
        <f aca="false">SUMIFS(SETORES!$D:$D,SETORES!$A:$A,A1142,SETORES!$F:$F,J1142)</f>
        <v>136026.67</v>
      </c>
      <c r="F1142" s="26" t="n">
        <f aca="false">IFERROR(D1142*E1142,0)</f>
        <v>9299.935229879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9299.935229879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0.0744614055444212</v>
      </c>
      <c r="E1143" s="26" t="n">
        <f aca="false">SUMIFS(SETORES!$D:$D,SETORES!$A:$A,A1143,SETORES!$F:$F,J1143)</f>
        <v>136026.67</v>
      </c>
      <c r="F1143" s="26" t="n">
        <f aca="false">IFERROR(D1143*E1143,0)</f>
        <v>10128.7370397272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10128.7370397272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0.019203045965753</v>
      </c>
      <c r="E1144" s="26" t="n">
        <f aca="false">SUMIFS(SETORES!$D:$D,SETORES!$A:$A,A1144,SETORES!$F:$F,J1144)</f>
        <v>136026.67</v>
      </c>
      <c r="F1144" s="26" t="n">
        <f aca="false">IFERROR(D1144*E1144,0)</f>
        <v>2612.12639657831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2612.12639657831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0.033659328018967</v>
      </c>
      <c r="E1145" s="26" t="n">
        <f aca="false">SUMIFS(SETORES!$D:$D,SETORES!$A:$A,A1145,SETORES!$F:$F,J1145)</f>
        <v>136026.67</v>
      </c>
      <c r="F1145" s="26" t="n">
        <f aca="false">IFERROR(D1145*E1145,0)</f>
        <v>4578.56630485777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4578.56630485777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0.0243064450505568</v>
      </c>
      <c r="E1146" s="26" t="n">
        <f aca="false">SUMIFS(SETORES!$D:$D,SETORES!$A:$A,A1146,SETORES!$F:$F,J1146)</f>
        <v>136026.67</v>
      </c>
      <c r="F1146" s="26" t="n">
        <f aca="false">IFERROR(D1146*E1146,0)</f>
        <v>3306.32477976522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3306.32477976522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0.0243064450505568</v>
      </c>
      <c r="E1147" s="26" t="n">
        <f aca="false">SUMIFS(SETORES!$D:$D,SETORES!$A:$A,A1147,SETORES!$F:$F,J1147)</f>
        <v>136026.67</v>
      </c>
      <c r="F1147" s="26" t="n">
        <f aca="false">IFERROR(D1147*E1147,0)</f>
        <v>3306.32477976522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3306.32477976522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0.721985302612478</v>
      </c>
      <c r="E1148" s="26" t="n">
        <f aca="false">SUMIFS(SETORES!$D:$D,SETORES!$A:$A,A1148,SETORES!$F:$F,J1148)</f>
        <v>136026.67</v>
      </c>
      <c r="F1148" s="26" t="n">
        <f aca="false">IFERROR(D1148*E1148,0)</f>
        <v>98209.2565033177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98209.2565033177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0.0337095583249198</v>
      </c>
      <c r="E1149" s="26" t="n">
        <f aca="false">SUMIFS(SETORES!$D:$D,SETORES!$A:$A,A1149,SETORES!$F:$F,J1149)</f>
        <v>17264.55</v>
      </c>
      <c r="F1149" s="26" t="n">
        <f aca="false">IFERROR(D1149*E1149,0)</f>
        <v>581.980355178493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581.980355178493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0.0683684694323473</v>
      </c>
      <c r="E1150" s="26" t="n">
        <f aca="false">SUMIFS(SETORES!$D:$D,SETORES!$A:$A,A1150,SETORES!$F:$F,J1150)</f>
        <v>17264.55</v>
      </c>
      <c r="F1150" s="26" t="n">
        <f aca="false">IFERROR(D1150*E1150,0)</f>
        <v>1180.35085893823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1180.35085893823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0.0744614055444212</v>
      </c>
      <c r="E1151" s="26" t="n">
        <f aca="false">SUMIFS(SETORES!$D:$D,SETORES!$A:$A,A1151,SETORES!$F:$F,J1151)</f>
        <v>17264.55</v>
      </c>
      <c r="F1151" s="26" t="n">
        <f aca="false">IFERROR(D1151*E1151,0)</f>
        <v>1285.54265909194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1285.54265909194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0.019203045965753</v>
      </c>
      <c r="E1152" s="26" t="n">
        <f aca="false">SUMIFS(SETORES!$D:$D,SETORES!$A:$A,A1152,SETORES!$F:$F,J1152)</f>
        <v>17264.55</v>
      </c>
      <c r="F1152" s="26" t="n">
        <f aca="false">IFERROR(D1152*E1152,0)</f>
        <v>331.531947228041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331.531947228041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0.033659328018967</v>
      </c>
      <c r="E1153" s="26" t="n">
        <f aca="false">SUMIFS(SETORES!$D:$D,SETORES!$A:$A,A1153,SETORES!$F:$F,J1153)</f>
        <v>17264.55</v>
      </c>
      <c r="F1153" s="26" t="n">
        <f aca="false">IFERROR(D1153*E1153,0)</f>
        <v>581.113151549856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581.113151549856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0.0243064450505568</v>
      </c>
      <c r="E1154" s="26" t="n">
        <f aca="false">SUMIFS(SETORES!$D:$D,SETORES!$A:$A,A1154,SETORES!$F:$F,J1154)</f>
        <v>17264.55</v>
      </c>
      <c r="F1154" s="26" t="n">
        <f aca="false">IFERROR(D1154*E1154,0)</f>
        <v>419.63983589759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419.63983589759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0.0243064450505568</v>
      </c>
      <c r="E1155" s="26" t="n">
        <f aca="false">SUMIFS(SETORES!$D:$D,SETORES!$A:$A,A1155,SETORES!$F:$F,J1155)</f>
        <v>17264.55</v>
      </c>
      <c r="F1155" s="26" t="n">
        <f aca="false">IFERROR(D1155*E1155,0)</f>
        <v>419.63983589759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419.63983589759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0.721985302612478</v>
      </c>
      <c r="E1156" s="26" t="n">
        <f aca="false">SUMIFS(SETORES!$D:$D,SETORES!$A:$A,A1156,SETORES!$F:$F,J1156)</f>
        <v>17264.55</v>
      </c>
      <c r="F1156" s="26" t="n">
        <f aca="false">IFERROR(D1156*E1156,0)</f>
        <v>12464.7513562183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12464.7513562183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0.0337095583249198</v>
      </c>
      <c r="E1157" s="26" t="n">
        <f aca="false">SUMIFS(SETORES!$D:$D,SETORES!$A:$A,A1157,SETORES!$F:$F,J1157)</f>
        <v>215608.64</v>
      </c>
      <c r="F1157" s="26" t="n">
        <f aca="false">IFERROR(D1157*E1157,0)</f>
        <v>7268.07202543663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7268.07202543663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0.0683684694323473</v>
      </c>
      <c r="E1158" s="26" t="n">
        <f aca="false">SUMIFS(SETORES!$D:$D,SETORES!$A:$A,A1158,SETORES!$F:$F,J1158)</f>
        <v>215608.64</v>
      </c>
      <c r="F1158" s="26" t="n">
        <f aca="false">IFERROR(D1158*E1158,0)</f>
        <v>14740.83271319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14740.83271319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0.0744614055444212</v>
      </c>
      <c r="E1159" s="26" t="n">
        <f aca="false">SUMIFS(SETORES!$D:$D,SETORES!$A:$A,A1159,SETORES!$F:$F,J1159)</f>
        <v>215608.64</v>
      </c>
      <c r="F1159" s="26" t="n">
        <f aca="false">IFERROR(D1159*E1159,0)</f>
        <v>16054.5223819211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16054.5223819211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0.019203045965753</v>
      </c>
      <c r="E1160" s="26" t="n">
        <f aca="false">SUMIFS(SETORES!$D:$D,SETORES!$A:$A,A1160,SETORES!$F:$F,J1160)</f>
        <v>215608.64</v>
      </c>
      <c r="F1160" s="26" t="n">
        <f aca="false">IFERROR(D1160*E1160,0)</f>
        <v>4140.34262453349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4140.34262453349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0.033659328018967</v>
      </c>
      <c r="E1161" s="26" t="n">
        <f aca="false">SUMIFS(SETORES!$D:$D,SETORES!$A:$A,A1161,SETORES!$F:$F,J1161)</f>
        <v>215608.64</v>
      </c>
      <c r="F1161" s="26" t="n">
        <f aca="false">IFERROR(D1161*E1161,0)</f>
        <v>7257.24193748336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7257.24193748336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0.0243064450505568</v>
      </c>
      <c r="E1162" s="26" t="n">
        <f aca="false">SUMIFS(SETORES!$D:$D,SETORES!$A:$A,A1162,SETORES!$F:$F,J1162)</f>
        <v>215608.64</v>
      </c>
      <c r="F1162" s="26" t="n">
        <f aca="false">IFERROR(D1162*E1162,0)</f>
        <v>5240.67956058528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5240.67956058528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0.0243064450505568</v>
      </c>
      <c r="E1163" s="26" t="n">
        <f aca="false">SUMIFS(SETORES!$D:$D,SETORES!$A:$A,A1163,SETORES!$F:$F,J1163)</f>
        <v>215608.64</v>
      </c>
      <c r="F1163" s="26" t="n">
        <f aca="false">IFERROR(D1163*E1163,0)</f>
        <v>5240.67956058528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5240.67956058528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0.721985302612478</v>
      </c>
      <c r="E1164" s="26" t="n">
        <f aca="false">SUMIFS(SETORES!$D:$D,SETORES!$A:$A,A1164,SETORES!$F:$F,J1164)</f>
        <v>215608.64</v>
      </c>
      <c r="F1164" s="26" t="n">
        <f aca="false">IFERROR(D1164*E1164,0)</f>
        <v>155666.269196265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155666.269196265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0.0337095583249198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2381.49644593275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2381.49644593275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0.0683684694323473</v>
      </c>
      <c r="E1166" s="26" t="n">
        <f aca="false">SUMIFS(SETORES!$D:$D,SETORES!$A:$A,A1166,SETORES!$F:$F,J1166)</f>
        <v>70647.5125831663</v>
      </c>
      <c r="F1166" s="26" t="n">
        <f aca="false">IFERROR(D1166*E1166,0)</f>
        <v>4830.06230451358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4830.06230451358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0.0744614055444212</v>
      </c>
      <c r="E1167" s="26" t="n">
        <f aca="false">SUMIFS(SETORES!$D:$D,SETORES!$A:$A,A1167,SETORES!$F:$F,J1167)</f>
        <v>70647.5125831663</v>
      </c>
      <c r="F1167" s="26" t="n">
        <f aca="false">IFERROR(D1167*E1167,0)</f>
        <v>5260.51308515975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5260.51308515975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0.019203045965753</v>
      </c>
      <c r="E1168" s="26" t="n">
        <f aca="false">SUMIFS(SETORES!$D:$D,SETORES!$A:$A,A1168,SETORES!$F:$F,J1168)</f>
        <v>70647.5125831663</v>
      </c>
      <c r="F1168" s="26" t="n">
        <f aca="false">IFERROR(D1168*E1168,0)</f>
        <v>1356.64743150065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1356.64743150065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0.033659328018967</v>
      </c>
      <c r="E1169" s="26" t="n">
        <f aca="false">SUMIFS(SETORES!$D:$D,SETORES!$A:$A,A1169,SETORES!$F:$F,J1169)</f>
        <v>70647.5125831663</v>
      </c>
      <c r="F1169" s="26" t="n">
        <f aca="false">IFERROR(D1169*E1169,0)</f>
        <v>2377.94779976089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2377.94779976089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0.0243064450505568</v>
      </c>
      <c r="E1170" s="26" t="n">
        <f aca="false">SUMIFS(SETORES!$D:$D,SETORES!$A:$A,A1170,SETORES!$F:$F,J1170)</f>
        <v>70647.5125831663</v>
      </c>
      <c r="F1170" s="26" t="n">
        <f aca="false">IFERROR(D1170*E1170,0)</f>
        <v>1717.18988256125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1717.18988256125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0.0243064450505568</v>
      </c>
      <c r="E1171" s="26" t="n">
        <f aca="false">SUMIFS(SETORES!$D:$D,SETORES!$A:$A,A1171,SETORES!$F:$F,J1171)</f>
        <v>70647.5125831663</v>
      </c>
      <c r="F1171" s="26" t="n">
        <f aca="false">IFERROR(D1171*E1171,0)</f>
        <v>1717.18988256125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1717.18988256125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0.721985302612478</v>
      </c>
      <c r="E1172" s="26" t="n">
        <f aca="false">SUMIFS(SETORES!$D:$D,SETORES!$A:$A,A1172,SETORES!$F:$F,J1172)</f>
        <v>70647.5125831663</v>
      </c>
      <c r="F1172" s="26" t="n">
        <f aca="false">IFERROR(D1172*E1172,0)</f>
        <v>51006.4657511762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51006.4657511762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0.0337095583249198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1527.68920918971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1527.68920918971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0.0683684694323473</v>
      </c>
      <c r="E1174" s="26" t="n">
        <f aca="false">SUMIFS(SETORES!$D:$D,SETORES!$A:$A,A1174,SETORES!$F:$F,J1174)</f>
        <v>45319.1701435128</v>
      </c>
      <c r="F1174" s="26" t="n">
        <f aca="false">IFERROR(D1174*E1174,0)</f>
        <v>3098.4022986561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3098.4022986561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0.0744614055444212</v>
      </c>
      <c r="E1175" s="26" t="n">
        <f aca="false">SUMIFS(SETORES!$D:$D,SETORES!$A:$A,A1175,SETORES!$F:$F,J1175)</f>
        <v>45319.1701435128</v>
      </c>
      <c r="F1175" s="26" t="n">
        <f aca="false">IFERROR(D1175*E1175,0)</f>
        <v>3374.52910699273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3374.52910699273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0.019203045965753</v>
      </c>
      <c r="E1176" s="26" t="n">
        <f aca="false">SUMIFS(SETORES!$D:$D,SETORES!$A:$A,A1176,SETORES!$F:$F,J1176)</f>
        <v>45319.1701435128</v>
      </c>
      <c r="F1176" s="26" t="n">
        <f aca="false">IFERROR(D1176*E1176,0)</f>
        <v>870.266107395657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870.266107395657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0.033659328018967</v>
      </c>
      <c r="E1177" s="26" t="n">
        <f aca="false">SUMIFS(SETORES!$D:$D,SETORES!$A:$A,A1177,SETORES!$F:$F,J1177)</f>
        <v>45319.1701435128</v>
      </c>
      <c r="F1177" s="26" t="n">
        <f aca="false">IFERROR(D1177*E1177,0)</f>
        <v>1525.41281340787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1525.41281340787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0.0243064450505568</v>
      </c>
      <c r="E1178" s="26" t="n">
        <f aca="false">SUMIFS(SETORES!$D:$D,SETORES!$A:$A,A1178,SETORES!$F:$F,J1178)</f>
        <v>45319.1701435128</v>
      </c>
      <c r="F1178" s="26" t="n">
        <f aca="false">IFERROR(D1178*E1178,0)</f>
        <v>1101.54791883013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1101.54791883013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0.0243064450505568</v>
      </c>
      <c r="E1179" s="26" t="n">
        <f aca="false">SUMIFS(SETORES!$D:$D,SETORES!$A:$A,A1179,SETORES!$F:$F,J1179)</f>
        <v>45319.1701435128</v>
      </c>
      <c r="F1179" s="26" t="n">
        <f aca="false">IFERROR(D1179*E1179,0)</f>
        <v>1101.54791883013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1101.54791883013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0.721985302612478</v>
      </c>
      <c r="E1180" s="26" t="n">
        <f aca="false">SUMIFS(SETORES!$D:$D,SETORES!$A:$A,A1180,SETORES!$F:$F,J1180)</f>
        <v>45319.1701435128</v>
      </c>
      <c r="F1180" s="26" t="n">
        <f aca="false">IFERROR(D1180*E1180,0)</f>
        <v>32719.7747702105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32719.7747702105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0.0337095583249198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1271.62285016534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1271.62285016534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0.0683684694323473</v>
      </c>
      <c r="E1182" s="26" t="n">
        <f aca="false">SUMIFS(SETORES!$D:$D,SETORES!$A:$A,A1182,SETORES!$F:$F,J1182)</f>
        <v>37722.9163879403</v>
      </c>
      <c r="F1182" s="26" t="n">
        <f aca="false">IFERROR(D1182*E1182,0)</f>
        <v>2579.05805596789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2579.05805596789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0.0744614055444212</v>
      </c>
      <c r="E1183" s="26" t="n">
        <f aca="false">SUMIFS(SETORES!$D:$D,SETORES!$A:$A,A1183,SETORES!$F:$F,J1183)</f>
        <v>37722.9163879403</v>
      </c>
      <c r="F1183" s="26" t="n">
        <f aca="false">IFERROR(D1183*E1183,0)</f>
        <v>2808.90137548071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2808.90137548071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0.019203045965753</v>
      </c>
      <c r="E1184" s="26" t="n">
        <f aca="false">SUMIFS(SETORES!$D:$D,SETORES!$A:$A,A1184,SETORES!$F:$F,J1184)</f>
        <v>37722.9163879403</v>
      </c>
      <c r="F1184" s="26" t="n">
        <f aca="false">IFERROR(D1184*E1184,0)</f>
        <v>724.394897359874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724.394897359874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0.033659328018967</v>
      </c>
      <c r="E1185" s="26" t="n">
        <f aca="false">SUMIFS(SETORES!$D:$D,SETORES!$A:$A,A1185,SETORES!$F:$F,J1185)</f>
        <v>37722.9163879403</v>
      </c>
      <c r="F1185" s="26" t="n">
        <f aca="false">IFERROR(D1185*E1185,0)</f>
        <v>1269.72801653375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1269.72801653375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0.0243064450505568</v>
      </c>
      <c r="E1186" s="26" t="n">
        <f aca="false">SUMIFS(SETORES!$D:$D,SETORES!$A:$A,A1186,SETORES!$F:$F,J1186)</f>
        <v>37722.9163879403</v>
      </c>
      <c r="F1186" s="26" t="n">
        <f aca="false">IFERROR(D1186*E1186,0)</f>
        <v>916.909994330219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916.909994330219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0.0243064450505568</v>
      </c>
      <c r="E1187" s="26" t="n">
        <f aca="false">SUMIFS(SETORES!$D:$D,SETORES!$A:$A,A1187,SETORES!$F:$F,J1187)</f>
        <v>37722.9163879403</v>
      </c>
      <c r="F1187" s="26" t="n">
        <f aca="false">IFERROR(D1187*E1187,0)</f>
        <v>916.909994330219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916.909994330219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0.721985302612478</v>
      </c>
      <c r="E1188" s="26" t="n">
        <f aca="false">SUMIFS(SETORES!$D:$D,SETORES!$A:$A,A1188,SETORES!$F:$F,J1188)</f>
        <v>37722.9163879403</v>
      </c>
      <c r="F1188" s="26" t="n">
        <f aca="false">IFERROR(D1188*E1188,0)</f>
        <v>27235.3912037723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27235.3912037723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0.0337095583249198</v>
      </c>
      <c r="E1213" s="1" t="n">
        <f aca="false">SUMIFS(SETORES!$D:$D,SETORES!$A:$A,A1213,SETORES!$F:$F,J1213)</f>
        <v>8477.80332201957</v>
      </c>
      <c r="F1213" s="1" t="n">
        <f aca="false">IFERROR(D1213*E1213,0)</f>
        <v>285.783005550817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285.783005550817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0.0683684694323473</v>
      </c>
      <c r="E1214" s="1" t="n">
        <f aca="false">SUMIFS(SETORES!$D:$D,SETORES!$A:$A,A1214,SETORES!$F:$F,J1214)</f>
        <v>8477.80332201957</v>
      </c>
      <c r="F1214" s="1" t="n">
        <f aca="false">IFERROR(D1214*E1214,0)</f>
        <v>579.614437274947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579.614437274947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0.0744614055444212</v>
      </c>
      <c r="E1215" s="1" t="n">
        <f aca="false">SUMIFS(SETORES!$D:$D,SETORES!$A:$A,A1215,SETORES!$F:$F,J1215)</f>
        <v>8477.80332201957</v>
      </c>
      <c r="F1215" s="1" t="n">
        <f aca="false">IFERROR(D1215*E1215,0)</f>
        <v>631.26915128674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631.26915128674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0.019203045965753</v>
      </c>
      <c r="E1216" s="1" t="n">
        <f aca="false">SUMIFS(SETORES!$D:$D,SETORES!$A:$A,A1216,SETORES!$F:$F,J1216)</f>
        <v>8477.80332201957</v>
      </c>
      <c r="F1216" s="1" t="n">
        <f aca="false">IFERROR(D1216*E1216,0)</f>
        <v>162.799646881355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162.799646881355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0.033659328018967</v>
      </c>
      <c r="E1217" s="1" t="n">
        <f aca="false">SUMIFS(SETORES!$D:$D,SETORES!$A:$A,A1217,SETORES!$F:$F,J1217)</f>
        <v>8477.80332201957</v>
      </c>
      <c r="F1217" s="1" t="n">
        <f aca="false">IFERROR(D1217*E1217,0)</f>
        <v>285.357162896145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285.357162896145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0.0243064450505568</v>
      </c>
      <c r="E1218" s="1" t="n">
        <f aca="false">SUMIFS(SETORES!$D:$D,SETORES!$A:$A,A1218,SETORES!$F:$F,J1218)</f>
        <v>8477.80332201957</v>
      </c>
      <c r="F1218" s="1" t="n">
        <f aca="false">IFERROR(D1218*E1218,0)</f>
        <v>206.065260596097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206.065260596097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0.0243064450505568</v>
      </c>
      <c r="E1219" s="1" t="n">
        <f aca="false">SUMIFS(SETORES!$D:$D,SETORES!$A:$A,A1219,SETORES!$F:$F,J1219)</f>
        <v>8477.80332201957</v>
      </c>
      <c r="F1219" s="1" t="n">
        <f aca="false">IFERROR(D1219*E1219,0)</f>
        <v>206.065260596097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206.065260596097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0.721985302612478</v>
      </c>
      <c r="E1220" s="1" t="n">
        <f aca="false">SUMIFS(SETORES!$D:$D,SETORES!$A:$A,A1220,SETORES!$F:$F,J1220)</f>
        <v>8477.80332201957</v>
      </c>
      <c r="F1220" s="1" t="n">
        <f aca="false">IFERROR(D1220*E1220,0)</f>
        <v>6120.84939693737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6120.84939693737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0.2292008608622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199083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0.301559381974413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199083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0.121489966963165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199083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0.385410473461211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199083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0.905946117862454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199083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0.274330109015472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199083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0.26878426602029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199083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0.206774854369887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199083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0.100200858026981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199083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0.146015404816941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199083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0.133549418333057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199083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0.37013595299448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199083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0.880419925357766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199083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0.671620982203403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199083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0.749981305887494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199083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0.16071822847757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199083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0.514268713652095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199083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0.699313538911447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199083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0.196074934173577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199083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0.678025802400621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199083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0.227639578183536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199083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0.0867203628637302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199083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0.354864617185628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199083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0.189483363159789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199083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0.380674690807352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199083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0.0755298089150293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199083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1.08300879532657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199083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0.683266125183969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199083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0.0592394872348271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199083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0.0425842654672653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199083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0.127886007343671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199083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0.250576029595696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199083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0.134181900564086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199083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87762.8308265028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143030.736826503</v>
      </c>
      <c r="F33" s="11" t="n">
        <f aca="false">IFERROR(B33/B$32,0)</f>
        <v>0.0335254418380543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160970.902435192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160970.902435192</v>
      </c>
      <c r="F34" s="1" t="n">
        <f aca="false">IFERROR(B34/B$32,0)</f>
        <v>0.061490958944552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194225.233625356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194225.233625356</v>
      </c>
      <c r="F35" s="11" t="n">
        <f aca="false">IFERROR(B35/B$32,0)</f>
        <v>0.0741941287908301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49630.1038257334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56335.6938257334</v>
      </c>
      <c r="F36" s="16" t="n">
        <f aca="false">IFERROR(B36/B$32,0)</f>
        <v>0.0189587225429807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92121.8917709857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167465.536970986</v>
      </c>
      <c r="F37" s="11" t="n">
        <f aca="false">IFERROR(B37/B$32,0)</f>
        <v>0.0351906051285559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61985.738732998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76004.357132998</v>
      </c>
      <c r="F38" s="16" t="n">
        <f aca="false">IFERROR(B38/B$32,0)</f>
        <v>0.0236785807740195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65731.3160753969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85457.0748753969</v>
      </c>
      <c r="F39" s="11" t="n">
        <f aca="false">IFERROR(B39/B$32,0)</f>
        <v>0.0251093930456834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2001135.3701868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2546631.3005868</v>
      </c>
      <c r="F40" s="16" t="n">
        <f aca="false">IFERROR(B40/B$32,0)</f>
        <v>0.764434634018336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2713563.38747897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3430120.83627897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0.447345643845354</v>
      </c>
      <c r="G258" s="26" t="n">
        <v>1632.81160003554</v>
      </c>
      <c r="H258" s="1" t="s">
        <v>646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0.447345643845354</v>
      </c>
      <c r="G259" s="26" t="n">
        <v>2861.22273803489</v>
      </c>
      <c r="H259" s="1" t="s">
        <v>646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0.447345643845354</v>
      </c>
      <c r="G260" s="26" t="n">
        <v>6410.91042194777</v>
      </c>
      <c r="H260" s="1" t="s">
        <v>646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0.447345643845354</v>
      </c>
      <c r="G261" s="26" t="n">
        <v>2139.20686886848</v>
      </c>
      <c r="H261" s="1" t="s">
        <v>646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647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647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647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647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647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647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647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647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0.101966894374552</v>
      </c>
      <c r="G342" s="26" t="n">
        <v>1366.56031840775</v>
      </c>
      <c r="H342" s="1" t="s">
        <v>646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648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649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650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651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652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653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654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654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654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654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654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654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655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655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655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656</v>
      </c>
    </row>
    <row r="481" customFormat="false" ht="15" hidden="false" customHeight="true" outlineLevel="0" collapsed="false">
      <c r="A481" s="1" t="s">
        <v>655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655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655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655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655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655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655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655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655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655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655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655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655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0.485340153354239</v>
      </c>
      <c r="G493" s="26" t="n">
        <v>1797.6999280241</v>
      </c>
      <c r="H493" s="1" t="s">
        <v>646</v>
      </c>
    </row>
    <row r="494" customFormat="false" ht="15" hidden="false" customHeight="true" outlineLevel="0" collapsed="false">
      <c r="A494" s="1" t="s">
        <v>655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0.485340153354239</v>
      </c>
      <c r="G494" s="26" t="n">
        <v>3122.67854668117</v>
      </c>
      <c r="H494" s="1" t="s">
        <v>646</v>
      </c>
    </row>
    <row r="495" customFormat="false" ht="15" hidden="false" customHeight="true" outlineLevel="0" collapsed="false">
      <c r="A495" s="1" t="s">
        <v>655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0.485340153354239</v>
      </c>
      <c r="G495" s="26" t="n">
        <v>7008.79715458857</v>
      </c>
      <c r="H495" s="1" t="s">
        <v>646</v>
      </c>
    </row>
    <row r="496" customFormat="false" ht="15" hidden="false" customHeight="true" outlineLevel="0" collapsed="false">
      <c r="A496" s="1" t="s">
        <v>655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0.485340153354239</v>
      </c>
      <c r="G496" s="26" t="n">
        <v>2327.20603533358</v>
      </c>
      <c r="H496" s="1" t="s">
        <v>646</v>
      </c>
    </row>
    <row r="497" customFormat="false" ht="15" hidden="false" customHeight="true" outlineLevel="0" collapsed="false">
      <c r="A497" s="1" t="s">
        <v>655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657</v>
      </c>
    </row>
    <row r="498" customFormat="false" ht="15" hidden="false" customHeight="true" outlineLevel="0" collapsed="false">
      <c r="A498" s="1" t="s">
        <v>655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657</v>
      </c>
    </row>
    <row r="499" customFormat="false" ht="15" hidden="false" customHeight="true" outlineLevel="0" collapsed="false">
      <c r="A499" s="1" t="s">
        <v>655</v>
      </c>
      <c r="B499" s="1" t="s">
        <v>464</v>
      </c>
      <c r="C499" s="1" t="s">
        <v>658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659</v>
      </c>
    </row>
    <row r="500" customFormat="false" ht="15" hidden="false" customHeight="true" outlineLevel="0" collapsed="false">
      <c r="A500" s="1" t="s">
        <v>655</v>
      </c>
      <c r="B500" s="1" t="s">
        <v>464</v>
      </c>
      <c r="C500" s="1" t="s">
        <v>660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661</v>
      </c>
    </row>
    <row r="501" customFormat="false" ht="15" hidden="false" customHeight="true" outlineLevel="0" collapsed="false">
      <c r="A501" s="1" t="s">
        <v>655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655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655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655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655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655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662</v>
      </c>
    </row>
    <row r="507" customFormat="false" ht="15" hidden="false" customHeight="true" outlineLevel="0" collapsed="false">
      <c r="A507" s="1" t="s">
        <v>655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655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655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662</v>
      </c>
    </row>
    <row r="510" customFormat="false" ht="15" hidden="false" customHeight="true" outlineLevel="0" collapsed="false">
      <c r="A510" s="1" t="s">
        <v>655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655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655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655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657</v>
      </c>
    </row>
    <row r="514" customFormat="false" ht="15" hidden="false" customHeight="true" outlineLevel="0" collapsed="false">
      <c r="A514" s="1" t="s">
        <v>655</v>
      </c>
      <c r="B514" s="1" t="s">
        <v>464</v>
      </c>
      <c r="C514" s="1" t="s">
        <v>658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663</v>
      </c>
    </row>
    <row r="515" customFormat="false" ht="15" hidden="false" customHeight="true" outlineLevel="0" collapsed="false">
      <c r="A515" s="1" t="s">
        <v>655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655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655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655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664</v>
      </c>
    </row>
    <row r="519" customFormat="false" ht="15" hidden="false" customHeight="true" outlineLevel="0" collapsed="false">
      <c r="A519" s="1" t="s">
        <v>655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655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655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662</v>
      </c>
    </row>
    <row r="522" customFormat="false" ht="15" hidden="false" customHeight="true" outlineLevel="0" collapsed="false">
      <c r="A522" s="1" t="s">
        <v>655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662</v>
      </c>
    </row>
    <row r="523" customFormat="false" ht="15" hidden="false" customHeight="true" outlineLevel="0" collapsed="false">
      <c r="A523" s="1" t="s">
        <v>655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655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662</v>
      </c>
    </row>
    <row r="525" customFormat="false" ht="15" hidden="false" customHeight="true" outlineLevel="0" collapsed="false">
      <c r="A525" s="1" t="s">
        <v>655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662</v>
      </c>
    </row>
    <row r="526" customFormat="false" ht="15" hidden="false" customHeight="true" outlineLevel="0" collapsed="false">
      <c r="A526" s="1" t="s">
        <v>655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662</v>
      </c>
    </row>
    <row r="527" customFormat="false" ht="15" hidden="false" customHeight="true" outlineLevel="0" collapsed="false">
      <c r="A527" s="1" t="s">
        <v>655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657</v>
      </c>
    </row>
    <row r="528" customFormat="false" ht="15" hidden="false" customHeight="true" outlineLevel="0" collapsed="false">
      <c r="A528" s="1" t="s">
        <v>655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655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655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655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662</v>
      </c>
    </row>
    <row r="532" customFormat="false" ht="15" hidden="false" customHeight="true" outlineLevel="0" collapsed="false">
      <c r="A532" s="1" t="s">
        <v>655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662</v>
      </c>
    </row>
    <row r="533" customFormat="false" ht="15" hidden="false" customHeight="true" outlineLevel="0" collapsed="false">
      <c r="A533" s="1" t="s">
        <v>655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655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655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657</v>
      </c>
    </row>
    <row r="536" customFormat="false" ht="15" hidden="false" customHeight="true" outlineLevel="0" collapsed="false">
      <c r="A536" s="1" t="s">
        <v>655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665</v>
      </c>
    </row>
    <row r="537" customFormat="false" ht="15" hidden="false" customHeight="true" outlineLevel="0" collapsed="false">
      <c r="A537" s="1" t="s">
        <v>655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666</v>
      </c>
    </row>
    <row r="538" customFormat="false" ht="15" hidden="false" customHeight="true" outlineLevel="0" collapsed="false">
      <c r="A538" s="1" t="s">
        <v>655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666</v>
      </c>
    </row>
    <row r="539" customFormat="false" ht="15" hidden="false" customHeight="true" outlineLevel="0" collapsed="false">
      <c r="A539" s="1" t="s">
        <v>655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655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655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655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662</v>
      </c>
    </row>
    <row r="543" customFormat="false" ht="15" hidden="false" customHeight="true" outlineLevel="0" collapsed="false">
      <c r="A543" s="1" t="s">
        <v>655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655</v>
      </c>
      <c r="B544" s="1" t="s">
        <v>464</v>
      </c>
      <c r="C544" s="1" t="s">
        <v>667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655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657</v>
      </c>
    </row>
    <row r="546" customFormat="false" ht="15" hidden="false" customHeight="true" outlineLevel="0" collapsed="false">
      <c r="A546" s="1" t="s">
        <v>655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655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668</v>
      </c>
    </row>
    <row r="548" customFormat="false" ht="15" hidden="false" customHeight="true" outlineLevel="0" collapsed="false">
      <c r="A548" s="1" t="s">
        <v>655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668</v>
      </c>
    </row>
    <row r="549" customFormat="false" ht="15" hidden="false" customHeight="true" outlineLevel="0" collapsed="false">
      <c r="A549" s="1" t="s">
        <v>655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655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655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662</v>
      </c>
    </row>
    <row r="552" customFormat="false" ht="15" hidden="false" customHeight="true" outlineLevel="0" collapsed="false">
      <c r="A552" s="1" t="s">
        <v>655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655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655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655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657</v>
      </c>
    </row>
    <row r="556" customFormat="false" ht="15" hidden="false" customHeight="true" outlineLevel="0" collapsed="false">
      <c r="A556" s="1" t="s">
        <v>655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655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655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655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655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655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662</v>
      </c>
    </row>
    <row r="562" customFormat="false" ht="15" hidden="false" customHeight="true" outlineLevel="0" collapsed="false">
      <c r="A562" s="1" t="s">
        <v>655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662</v>
      </c>
    </row>
    <row r="563" customFormat="false" ht="15" hidden="false" customHeight="true" outlineLevel="0" collapsed="false">
      <c r="A563" s="1" t="s">
        <v>655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655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655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657</v>
      </c>
    </row>
    <row r="566" customFormat="false" ht="15" hidden="false" customHeight="true" outlineLevel="0" collapsed="false">
      <c r="A566" s="1" t="s">
        <v>655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655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655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655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662</v>
      </c>
    </row>
    <row r="570" customFormat="false" ht="15" hidden="false" customHeight="true" outlineLevel="0" collapsed="false">
      <c r="A570" s="1" t="s">
        <v>655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655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662</v>
      </c>
    </row>
    <row r="572" customFormat="false" ht="15" hidden="false" customHeight="true" outlineLevel="0" collapsed="false">
      <c r="A572" s="1" t="s">
        <v>655</v>
      </c>
      <c r="B572" s="1" t="s">
        <v>464</v>
      </c>
      <c r="C572" s="1" t="s">
        <v>669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655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655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655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655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655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655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655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655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655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0.111999815235857</v>
      </c>
      <c r="G581" s="26" t="n">
        <v>1502.81352083473</v>
      </c>
      <c r="H581" s="1" t="s">
        <v>646</v>
      </c>
    </row>
    <row r="582" customFormat="false" ht="15" hidden="false" customHeight="true" outlineLevel="0" collapsed="false">
      <c r="A582" s="1" t="s">
        <v>655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655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655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655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655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655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655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655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655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655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655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655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655</v>
      </c>
      <c r="B594" s="1" t="s">
        <v>537</v>
      </c>
      <c r="C594" s="1" t="s">
        <v>670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671</v>
      </c>
    </row>
    <row r="595" customFormat="false" ht="15" hidden="false" customHeight="true" outlineLevel="0" collapsed="false">
      <c r="A595" s="1" t="s">
        <v>655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655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672</v>
      </c>
    </row>
    <row r="597" customFormat="false" ht="15" hidden="false" customHeight="true" outlineLevel="0" collapsed="false">
      <c r="A597" s="1" t="s">
        <v>655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673</v>
      </c>
    </row>
    <row r="598" customFormat="false" ht="15" hidden="false" customHeight="true" outlineLevel="0" collapsed="false">
      <c r="A598" s="1" t="s">
        <v>655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671</v>
      </c>
    </row>
    <row r="599" customFormat="false" ht="15" hidden="false" customHeight="true" outlineLevel="0" collapsed="false">
      <c r="A599" s="1" t="s">
        <v>655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673</v>
      </c>
    </row>
    <row r="600" customFormat="false" ht="15" hidden="false" customHeight="true" outlineLevel="0" collapsed="false">
      <c r="A600" s="1" t="s">
        <v>655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655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655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671</v>
      </c>
    </row>
    <row r="603" customFormat="false" ht="15" hidden="false" customHeight="true" outlineLevel="0" collapsed="false">
      <c r="A603" s="1" t="s">
        <v>655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673</v>
      </c>
    </row>
    <row r="604" customFormat="false" ht="15" hidden="false" customHeight="true" outlineLevel="0" collapsed="false">
      <c r="A604" s="1" t="s">
        <v>655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655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655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655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671</v>
      </c>
    </row>
    <row r="608" customFormat="false" ht="15" hidden="false" customHeight="true" outlineLevel="0" collapsed="false">
      <c r="A608" s="1" t="s">
        <v>655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673</v>
      </c>
    </row>
    <row r="609" customFormat="false" ht="15" hidden="false" customHeight="true" outlineLevel="0" collapsed="false">
      <c r="A609" s="1" t="s">
        <v>655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655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655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671</v>
      </c>
    </row>
    <row r="612" customFormat="false" ht="15" hidden="false" customHeight="true" outlineLevel="0" collapsed="false">
      <c r="A612" s="1" t="s">
        <v>655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673</v>
      </c>
    </row>
    <row r="613" customFormat="false" ht="15" hidden="false" customHeight="true" outlineLevel="0" collapsed="false">
      <c r="A613" s="1" t="s">
        <v>655</v>
      </c>
      <c r="B613" s="1" t="s">
        <v>537</v>
      </c>
      <c r="C613" s="1" t="s">
        <v>670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671</v>
      </c>
    </row>
    <row r="614" customFormat="false" ht="15" hidden="false" customHeight="true" outlineLevel="0" collapsed="false">
      <c r="A614" s="1" t="s">
        <v>655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655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671</v>
      </c>
    </row>
    <row r="616" customFormat="false" ht="15" hidden="false" customHeight="true" outlineLevel="0" collapsed="false">
      <c r="A616" s="1" t="s">
        <v>655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673</v>
      </c>
    </row>
    <row r="617" customFormat="false" ht="15" hidden="false" customHeight="true" outlineLevel="0" collapsed="false">
      <c r="A617" s="1" t="s">
        <v>655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671</v>
      </c>
    </row>
    <row r="618" customFormat="false" ht="15" hidden="false" customHeight="true" outlineLevel="0" collapsed="false">
      <c r="A618" s="1" t="s">
        <v>655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673</v>
      </c>
    </row>
    <row r="619" customFormat="false" ht="15" hidden="false" customHeight="true" outlineLevel="0" collapsed="false">
      <c r="A619" s="1" t="s">
        <v>655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655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655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655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655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655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655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671</v>
      </c>
    </row>
    <row r="626" customFormat="false" ht="15" hidden="false" customHeight="true" outlineLevel="0" collapsed="false">
      <c r="A626" s="1" t="s">
        <v>655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673</v>
      </c>
    </row>
    <row r="627" customFormat="false" ht="15" hidden="false" customHeight="true" outlineLevel="0" collapsed="false">
      <c r="A627" s="1" t="s">
        <v>655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671</v>
      </c>
    </row>
    <row r="628" customFormat="false" ht="15" hidden="false" customHeight="true" outlineLevel="0" collapsed="false">
      <c r="A628" s="1" t="s">
        <v>655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673</v>
      </c>
    </row>
    <row r="629" customFormat="false" ht="15" hidden="false" customHeight="true" outlineLevel="0" collapsed="false">
      <c r="A629" s="1" t="s">
        <v>655</v>
      </c>
      <c r="B629" s="1" t="s">
        <v>554</v>
      </c>
      <c r="C629" s="1" t="s">
        <v>674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655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655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655</v>
      </c>
      <c r="B632" s="1" t="s">
        <v>554</v>
      </c>
      <c r="C632" s="1" t="s">
        <v>675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655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655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655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655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655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655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655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655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655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655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655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655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655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655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655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655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655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655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655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655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655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655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655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655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649</v>
      </c>
    </row>
    <row r="657" customFormat="false" ht="15" hidden="false" customHeight="true" outlineLevel="0" collapsed="false">
      <c r="A657" s="1" t="s">
        <v>655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649</v>
      </c>
    </row>
    <row r="658" customFormat="false" ht="15" hidden="false" customHeight="true" outlineLevel="0" collapsed="false">
      <c r="A658" s="1" t="s">
        <v>655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649</v>
      </c>
    </row>
    <row r="659" customFormat="false" ht="15" hidden="false" customHeight="true" outlineLevel="0" collapsed="false">
      <c r="A659" s="1" t="s">
        <v>655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649</v>
      </c>
    </row>
    <row r="660" customFormat="false" ht="15" hidden="false" customHeight="true" outlineLevel="0" collapsed="false">
      <c r="A660" s="1" t="s">
        <v>655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649</v>
      </c>
    </row>
    <row r="661" customFormat="false" ht="15" hidden="false" customHeight="true" outlineLevel="0" collapsed="false">
      <c r="A661" s="1" t="s">
        <v>655</v>
      </c>
      <c r="B661" s="1" t="s">
        <v>593</v>
      </c>
      <c r="C661" s="1" t="s">
        <v>676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649</v>
      </c>
    </row>
    <row r="662" customFormat="false" ht="15" hidden="false" customHeight="true" outlineLevel="0" collapsed="false">
      <c r="A662" s="1" t="s">
        <v>655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649</v>
      </c>
    </row>
    <row r="663" customFormat="false" ht="15" hidden="false" customHeight="true" outlineLevel="0" collapsed="false">
      <c r="A663" s="1" t="s">
        <v>655</v>
      </c>
      <c r="B663" s="1" t="s">
        <v>593</v>
      </c>
      <c r="C663" s="1" t="s">
        <v>677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678</v>
      </c>
    </row>
    <row r="664" customFormat="false" ht="15" hidden="false" customHeight="true" outlineLevel="0" collapsed="false">
      <c r="A664" s="1" t="s">
        <v>655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655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655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649</v>
      </c>
    </row>
    <row r="667" customFormat="false" ht="15" hidden="false" customHeight="true" outlineLevel="0" collapsed="false">
      <c r="A667" s="1" t="s">
        <v>655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655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655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655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655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655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655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655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653</v>
      </c>
    </row>
    <row r="675" customFormat="false" ht="15" hidden="false" customHeight="true" outlineLevel="0" collapsed="false">
      <c r="A675" s="1" t="s">
        <v>655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653</v>
      </c>
    </row>
    <row r="676" customFormat="false" ht="15" hidden="false" customHeight="true" outlineLevel="0" collapsed="false">
      <c r="A676" s="1" t="s">
        <v>655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655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655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655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655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655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655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653</v>
      </c>
    </row>
    <row r="683" customFormat="false" ht="15" hidden="false" customHeight="true" outlineLevel="0" collapsed="false">
      <c r="A683" s="1" t="s">
        <v>655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655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655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655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655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655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655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655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655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655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655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655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679</v>
      </c>
    </row>
    <row r="695" customFormat="false" ht="15" hidden="false" customHeight="true" outlineLevel="0" collapsed="false">
      <c r="A695" s="1" t="s">
        <v>655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680</v>
      </c>
    </row>
    <row r="696" customFormat="false" ht="15" hidden="false" customHeight="true" outlineLevel="0" collapsed="false">
      <c r="A696" s="1" t="s">
        <v>655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655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655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655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680</v>
      </c>
    </row>
    <row r="700" customFormat="false" ht="15" hidden="false" customHeight="true" outlineLevel="0" collapsed="false">
      <c r="A700" s="1" t="s">
        <v>655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655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655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655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680</v>
      </c>
    </row>
    <row r="704" customFormat="false" ht="15" hidden="false" customHeight="true" outlineLevel="0" collapsed="false">
      <c r="A704" s="1" t="s">
        <v>655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655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655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655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655</v>
      </c>
      <c r="B708" s="1" t="s">
        <v>44</v>
      </c>
      <c r="C708" s="1" t="s">
        <v>681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655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655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655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655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655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680</v>
      </c>
    </row>
    <row r="714" customFormat="false" ht="15" hidden="false" customHeight="true" outlineLevel="0" collapsed="false">
      <c r="A714" s="1" t="s">
        <v>655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655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680</v>
      </c>
    </row>
    <row r="716" customFormat="false" ht="15" hidden="false" customHeight="true" outlineLevel="0" collapsed="false">
      <c r="A716" s="1" t="s">
        <v>655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655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655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655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655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655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655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655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655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655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655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655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682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682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656</v>
      </c>
    </row>
    <row r="730" customFormat="false" ht="15" hidden="false" customHeight="true" outlineLevel="0" collapsed="false">
      <c r="A730" s="1" t="s">
        <v>682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682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682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682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682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682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682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682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682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682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682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682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682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0.389634477966758</v>
      </c>
      <c r="G742" s="26" t="n">
        <v>1466.97380954484</v>
      </c>
      <c r="H742" s="1" t="s">
        <v>646</v>
      </c>
    </row>
    <row r="743" customFormat="false" ht="15" hidden="false" customHeight="true" outlineLevel="0" collapsed="false">
      <c r="A743" s="1" t="s">
        <v>682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0.389634477966758</v>
      </c>
      <c r="G743" s="26" t="n">
        <v>5723.34084685371</v>
      </c>
      <c r="H743" s="1" t="s">
        <v>646</v>
      </c>
    </row>
    <row r="744" customFormat="false" ht="15" hidden="false" customHeight="true" outlineLevel="0" collapsed="false">
      <c r="A744" s="1" t="s">
        <v>682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0.389634477966758</v>
      </c>
      <c r="G744" s="26" t="n">
        <v>1872.58330110824</v>
      </c>
      <c r="H744" s="1" t="s">
        <v>646</v>
      </c>
    </row>
    <row r="745" customFormat="false" ht="15" hidden="false" customHeight="true" outlineLevel="0" collapsed="false">
      <c r="A745" s="1" t="s">
        <v>682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683</v>
      </c>
    </row>
    <row r="746" customFormat="false" ht="15" hidden="false" customHeight="true" outlineLevel="0" collapsed="false">
      <c r="A746" s="1" t="s">
        <v>682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683</v>
      </c>
    </row>
    <row r="747" customFormat="false" ht="15" hidden="false" customHeight="true" outlineLevel="0" collapsed="false">
      <c r="A747" s="1" t="s">
        <v>682</v>
      </c>
      <c r="B747" s="1" t="s">
        <v>464</v>
      </c>
      <c r="C747" s="1" t="s">
        <v>658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659</v>
      </c>
    </row>
    <row r="748" customFormat="false" ht="15" hidden="false" customHeight="true" outlineLevel="0" collapsed="false">
      <c r="A748" s="1" t="s">
        <v>682</v>
      </c>
      <c r="B748" s="1" t="s">
        <v>464</v>
      </c>
      <c r="C748" s="1" t="s">
        <v>660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661</v>
      </c>
    </row>
    <row r="749" customFormat="false" ht="15" hidden="false" customHeight="true" outlineLevel="0" collapsed="false">
      <c r="A749" s="1" t="s">
        <v>682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682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682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684</v>
      </c>
    </row>
    <row r="752" customFormat="false" ht="15" hidden="false" customHeight="true" outlineLevel="0" collapsed="false">
      <c r="A752" s="1" t="s">
        <v>682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682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682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684</v>
      </c>
    </row>
    <row r="755" customFormat="false" ht="15" hidden="false" customHeight="true" outlineLevel="0" collapsed="false">
      <c r="A755" s="1" t="s">
        <v>682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682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682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682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682</v>
      </c>
      <c r="B759" s="1" t="s">
        <v>464</v>
      </c>
      <c r="C759" s="1" t="s">
        <v>658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663</v>
      </c>
    </row>
    <row r="760" customFormat="false" ht="15" hidden="false" customHeight="true" outlineLevel="0" collapsed="false">
      <c r="A760" s="1" t="s">
        <v>682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664</v>
      </c>
    </row>
    <row r="761" customFormat="false" ht="15" hidden="false" customHeight="true" outlineLevel="0" collapsed="false">
      <c r="A761" s="1" t="s">
        <v>682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682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682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684</v>
      </c>
    </row>
    <row r="764" customFormat="false" ht="15" hidden="false" customHeight="true" outlineLevel="0" collapsed="false">
      <c r="A764" s="1" t="s">
        <v>682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684</v>
      </c>
    </row>
    <row r="765" customFormat="false" ht="15" hidden="false" customHeight="true" outlineLevel="0" collapsed="false">
      <c r="A765" s="1" t="s">
        <v>682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682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684</v>
      </c>
    </row>
    <row r="767" customFormat="false" ht="15" hidden="false" customHeight="true" outlineLevel="0" collapsed="false">
      <c r="A767" s="1" t="s">
        <v>682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684</v>
      </c>
    </row>
    <row r="768" customFormat="false" ht="15" hidden="false" customHeight="true" outlineLevel="0" collapsed="false">
      <c r="A768" s="1" t="s">
        <v>682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684</v>
      </c>
    </row>
    <row r="769" customFormat="false" ht="15" hidden="false" customHeight="true" outlineLevel="0" collapsed="false">
      <c r="A769" s="1" t="s">
        <v>682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682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684</v>
      </c>
    </row>
    <row r="771" customFormat="false" ht="15" hidden="false" customHeight="true" outlineLevel="0" collapsed="false">
      <c r="A771" s="1" t="s">
        <v>682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684</v>
      </c>
    </row>
    <row r="772" customFormat="false" ht="15" hidden="false" customHeight="true" outlineLevel="0" collapsed="false">
      <c r="A772" s="1" t="s">
        <v>682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682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682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682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682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682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684</v>
      </c>
    </row>
    <row r="778" customFormat="false" ht="15" hidden="false" customHeight="true" outlineLevel="0" collapsed="false">
      <c r="A778" s="1" t="s">
        <v>682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684</v>
      </c>
    </row>
    <row r="779" customFormat="false" ht="15" hidden="false" customHeight="true" outlineLevel="0" collapsed="false">
      <c r="A779" s="1" t="s">
        <v>682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682</v>
      </c>
      <c r="B780" s="1" t="s">
        <v>464</v>
      </c>
      <c r="C780" s="1" t="s">
        <v>667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684</v>
      </c>
    </row>
    <row r="781" customFormat="false" ht="15" hidden="false" customHeight="true" outlineLevel="0" collapsed="false">
      <c r="A781" s="1" t="s">
        <v>682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682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682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682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684</v>
      </c>
    </row>
    <row r="785" customFormat="false" ht="15" hidden="false" customHeight="true" outlineLevel="0" collapsed="false">
      <c r="A785" s="1" t="s">
        <v>682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682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682</v>
      </c>
      <c r="B787" s="1" t="s">
        <v>464</v>
      </c>
      <c r="C787" s="1" t="s">
        <v>685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682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682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682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682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682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684</v>
      </c>
    </row>
    <row r="793" customFormat="false" ht="15" hidden="false" customHeight="true" outlineLevel="0" collapsed="false">
      <c r="A793" s="1" t="s">
        <v>682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682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682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686</v>
      </c>
    </row>
    <row r="796" customFormat="false" ht="15" hidden="false" customHeight="true" outlineLevel="0" collapsed="false">
      <c r="A796" s="1" t="s">
        <v>682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682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684</v>
      </c>
    </row>
    <row r="798" customFormat="false" ht="15" hidden="false" customHeight="true" outlineLevel="0" collapsed="false">
      <c r="A798" s="1" t="s">
        <v>682</v>
      </c>
      <c r="B798" s="1" t="s">
        <v>464</v>
      </c>
      <c r="C798" s="1" t="s">
        <v>669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682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682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0.25563784486652</v>
      </c>
      <c r="G800" s="26" t="n">
        <v>1684.14212198063</v>
      </c>
      <c r="H800" s="1" t="s">
        <v>646</v>
      </c>
    </row>
    <row r="801" customFormat="false" ht="15" hidden="false" customHeight="true" outlineLevel="0" collapsed="false">
      <c r="A801" s="1" t="s">
        <v>682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0.25563784486652</v>
      </c>
      <c r="G801" s="26" t="n">
        <v>3458.78004104402</v>
      </c>
      <c r="H801" s="1" t="s">
        <v>646</v>
      </c>
    </row>
    <row r="802" customFormat="false" ht="15" hidden="false" customHeight="true" outlineLevel="0" collapsed="false">
      <c r="A802" s="1" t="s">
        <v>682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0.25563784486652</v>
      </c>
      <c r="G802" s="26" t="n">
        <v>962.476485922448</v>
      </c>
      <c r="H802" s="1" t="s">
        <v>646</v>
      </c>
    </row>
    <row r="803" customFormat="false" ht="15" hidden="false" customHeight="true" outlineLevel="0" collapsed="false">
      <c r="A803" s="1" t="s">
        <v>682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0.25563784486652</v>
      </c>
      <c r="G803" s="26" t="n">
        <v>1679.0293650833</v>
      </c>
      <c r="H803" s="1" t="s">
        <v>646</v>
      </c>
    </row>
    <row r="804" customFormat="false" ht="15" hidden="false" customHeight="true" outlineLevel="0" collapsed="false">
      <c r="A804" s="1" t="s">
        <v>682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0.25563784486652</v>
      </c>
      <c r="G804" s="26" t="n">
        <v>3755.06430324431</v>
      </c>
      <c r="H804" s="1" t="s">
        <v>646</v>
      </c>
    </row>
    <row r="805" customFormat="false" ht="15" hidden="false" customHeight="true" outlineLevel="0" collapsed="false">
      <c r="A805" s="1" t="s">
        <v>682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0.25563784486652</v>
      </c>
      <c r="G805" s="26" t="n">
        <v>1228.33984458363</v>
      </c>
      <c r="H805" s="1" t="s">
        <v>646</v>
      </c>
    </row>
    <row r="806" customFormat="false" ht="15" hidden="false" customHeight="true" outlineLevel="0" collapsed="false">
      <c r="A806" s="1" t="s">
        <v>682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0.25563784486652</v>
      </c>
      <c r="G806" s="26" t="n">
        <v>1228.5954824285</v>
      </c>
      <c r="H806" s="1" t="s">
        <v>646</v>
      </c>
    </row>
    <row r="807" customFormat="false" ht="15" hidden="false" customHeight="true" outlineLevel="0" collapsed="false">
      <c r="A807" s="1" t="s">
        <v>682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0.10621030219712</v>
      </c>
      <c r="G807" s="26" t="n">
        <v>1437.02538872703</v>
      </c>
      <c r="H807" s="1" t="s">
        <v>646</v>
      </c>
    </row>
    <row r="808" customFormat="false" ht="15" hidden="false" customHeight="true" outlineLevel="0" collapsed="false">
      <c r="A808" s="1" t="s">
        <v>682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682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682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682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682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682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682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682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682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682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682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682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682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682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682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682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682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687</v>
      </c>
    </row>
    <row r="825" customFormat="false" ht="15" hidden="false" customHeight="true" outlineLevel="0" collapsed="false">
      <c r="A825" s="1" t="s">
        <v>682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682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682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682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687</v>
      </c>
    </row>
    <row r="829" customFormat="false" ht="15" hidden="false" customHeight="true" outlineLevel="0" collapsed="false">
      <c r="A829" s="1" t="s">
        <v>682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682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682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682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682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687</v>
      </c>
    </row>
    <row r="834" customFormat="false" ht="15" hidden="false" customHeight="true" outlineLevel="0" collapsed="false">
      <c r="A834" s="1" t="s">
        <v>682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682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682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687</v>
      </c>
    </row>
    <row r="837" customFormat="false" ht="15" hidden="false" customHeight="true" outlineLevel="0" collapsed="false">
      <c r="A837" s="1" t="s">
        <v>682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687</v>
      </c>
    </row>
    <row r="838" customFormat="false" ht="15" hidden="false" customHeight="true" outlineLevel="0" collapsed="false">
      <c r="A838" s="1" t="s">
        <v>682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682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682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687</v>
      </c>
    </row>
    <row r="841" customFormat="false" ht="15" hidden="false" customHeight="true" outlineLevel="0" collapsed="false">
      <c r="A841" s="1" t="s">
        <v>682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682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682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682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682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682</v>
      </c>
      <c r="B846" s="1" t="s">
        <v>554</v>
      </c>
      <c r="C846" s="1" t="s">
        <v>674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682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682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682</v>
      </c>
      <c r="B849" s="1" t="s">
        <v>554</v>
      </c>
      <c r="C849" s="1" t="s">
        <v>675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682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682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682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682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682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682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682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682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682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682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682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682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682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682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682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682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682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682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682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682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682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682</v>
      </c>
      <c r="B871" s="1" t="s">
        <v>554</v>
      </c>
      <c r="C871" s="1" t="s">
        <v>688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682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682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689</v>
      </c>
    </row>
    <row r="874" customFormat="false" ht="15" hidden="false" customHeight="true" outlineLevel="0" collapsed="false">
      <c r="A874" s="1" t="s">
        <v>682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689</v>
      </c>
    </row>
    <row r="875" customFormat="false" ht="15" hidden="false" customHeight="true" outlineLevel="0" collapsed="false">
      <c r="A875" s="1" t="s">
        <v>682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689</v>
      </c>
    </row>
    <row r="876" customFormat="false" ht="15" hidden="false" customHeight="true" outlineLevel="0" collapsed="false">
      <c r="A876" s="1" t="s">
        <v>682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689</v>
      </c>
    </row>
    <row r="877" customFormat="false" ht="15" hidden="false" customHeight="true" outlineLevel="0" collapsed="false">
      <c r="A877" s="1" t="s">
        <v>682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689</v>
      </c>
    </row>
    <row r="878" customFormat="false" ht="15" hidden="false" customHeight="true" outlineLevel="0" collapsed="false">
      <c r="A878" s="1" t="s">
        <v>682</v>
      </c>
      <c r="B878" s="1" t="s">
        <v>593</v>
      </c>
      <c r="C878" s="1" t="s">
        <v>676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689</v>
      </c>
    </row>
    <row r="879" customFormat="false" ht="15" hidden="false" customHeight="true" outlineLevel="0" collapsed="false">
      <c r="A879" s="1" t="s">
        <v>682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689</v>
      </c>
    </row>
    <row r="880" customFormat="false" ht="15" hidden="false" customHeight="true" outlineLevel="0" collapsed="false">
      <c r="A880" s="1" t="s">
        <v>682</v>
      </c>
      <c r="B880" s="1" t="s">
        <v>593</v>
      </c>
      <c r="C880" s="1" t="s">
        <v>677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678</v>
      </c>
    </row>
    <row r="881" customFormat="false" ht="15" hidden="false" customHeight="true" outlineLevel="0" collapsed="false">
      <c r="A881" s="1" t="s">
        <v>682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682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649</v>
      </c>
    </row>
    <row r="883" customFormat="false" ht="15" hidden="false" customHeight="true" outlineLevel="0" collapsed="false">
      <c r="A883" s="1" t="s">
        <v>682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682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649</v>
      </c>
    </row>
    <row r="885" customFormat="false" ht="15" hidden="false" customHeight="true" outlineLevel="0" collapsed="false">
      <c r="A885" s="1" t="s">
        <v>682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690</v>
      </c>
    </row>
    <row r="886" customFormat="false" ht="15" hidden="false" customHeight="true" outlineLevel="0" collapsed="false">
      <c r="A886" s="1" t="s">
        <v>682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682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682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691</v>
      </c>
    </row>
    <row r="889" customFormat="false" ht="15" hidden="false" customHeight="true" outlineLevel="0" collapsed="false">
      <c r="A889" s="1" t="s">
        <v>682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682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682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692</v>
      </c>
    </row>
    <row r="892" customFormat="false" ht="15" hidden="false" customHeight="true" outlineLevel="0" collapsed="false">
      <c r="A892" s="1" t="s">
        <v>682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693</v>
      </c>
    </row>
    <row r="893" customFormat="false" ht="15" hidden="false" customHeight="true" outlineLevel="0" collapsed="false">
      <c r="A893" s="1" t="s">
        <v>682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693</v>
      </c>
    </row>
    <row r="894" customFormat="false" ht="15" hidden="false" customHeight="true" outlineLevel="0" collapsed="false">
      <c r="A894" s="1" t="s">
        <v>682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682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682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682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682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682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682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682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682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682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682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682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682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682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682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682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682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682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682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682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694</v>
      </c>
    </row>
    <row r="914" customFormat="false" ht="15" hidden="false" customHeight="true" outlineLevel="0" collapsed="false">
      <c r="A914" s="1" t="s">
        <v>682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680</v>
      </c>
    </row>
    <row r="915" customFormat="false" ht="15" hidden="false" customHeight="true" outlineLevel="0" collapsed="false">
      <c r="A915" s="1" t="s">
        <v>682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682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682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682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680</v>
      </c>
    </row>
    <row r="919" customFormat="false" ht="15" hidden="false" customHeight="true" outlineLevel="0" collapsed="false">
      <c r="A919" s="1" t="s">
        <v>682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682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682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682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680</v>
      </c>
    </row>
    <row r="923" customFormat="false" ht="15" hidden="false" customHeight="true" outlineLevel="0" collapsed="false">
      <c r="A923" s="1" t="s">
        <v>682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682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682</v>
      </c>
      <c r="B925" s="1" t="s">
        <v>44</v>
      </c>
      <c r="C925" s="1" t="s">
        <v>695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682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682</v>
      </c>
      <c r="B927" s="1" t="s">
        <v>44</v>
      </c>
      <c r="C927" s="1" t="s">
        <v>681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682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682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682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682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682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680</v>
      </c>
    </row>
    <row r="933" customFormat="false" ht="15" hidden="false" customHeight="true" outlineLevel="0" collapsed="false">
      <c r="A933" s="1" t="s">
        <v>682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682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680</v>
      </c>
    </row>
    <row r="935" customFormat="false" ht="15" hidden="false" customHeight="true" outlineLevel="0" collapsed="false">
      <c r="A935" s="1" t="s">
        <v>682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682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682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682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682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682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682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682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682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682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682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682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682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682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682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682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682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682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682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682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682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682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682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682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682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682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682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682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682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682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682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682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682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682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682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682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682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682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682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682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682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682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682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682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682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682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682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682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682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682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682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682</v>
      </c>
      <c r="B986" s="1" t="s">
        <v>32</v>
      </c>
      <c r="C986" s="1" t="s">
        <v>696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697</v>
      </c>
    </row>
    <row r="987" customFormat="false" ht="15" hidden="false" customHeight="true" outlineLevel="0" collapsed="false">
      <c r="A987" s="1" t="s">
        <v>682</v>
      </c>
      <c r="B987" s="1" t="s">
        <v>32</v>
      </c>
      <c r="C987" s="1" t="s">
        <v>696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697</v>
      </c>
    </row>
    <row r="988" customFormat="false" ht="15" hidden="false" customHeight="true" outlineLevel="0" collapsed="false">
      <c r="A988" s="1" t="s">
        <v>682</v>
      </c>
      <c r="B988" s="1" t="s">
        <v>32</v>
      </c>
      <c r="C988" s="1" t="s">
        <v>696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697</v>
      </c>
    </row>
    <row r="989" customFormat="false" ht="15" hidden="false" customHeight="true" outlineLevel="0" collapsed="false">
      <c r="A989" s="1" t="s">
        <v>682</v>
      </c>
      <c r="B989" s="1" t="s">
        <v>32</v>
      </c>
      <c r="C989" s="1" t="s">
        <v>696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697</v>
      </c>
    </row>
    <row r="990" customFormat="false" ht="15" hidden="false" customHeight="true" outlineLevel="0" collapsed="false">
      <c r="A990" s="1" t="s">
        <v>682</v>
      </c>
      <c r="B990" s="1" t="s">
        <v>32</v>
      </c>
      <c r="C990" s="1" t="s">
        <v>696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697</v>
      </c>
    </row>
    <row r="991" customFormat="false" ht="15" hidden="false" customHeight="true" outlineLevel="0" collapsed="false">
      <c r="A991" s="1" t="s">
        <v>682</v>
      </c>
      <c r="B991" s="1" t="s">
        <v>32</v>
      </c>
      <c r="C991" s="1" t="s">
        <v>696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697</v>
      </c>
    </row>
    <row r="992" customFormat="false" ht="15" hidden="false" customHeight="true" outlineLevel="0" collapsed="false">
      <c r="A992" s="1" t="s">
        <v>682</v>
      </c>
      <c r="B992" s="1" t="s">
        <v>33</v>
      </c>
      <c r="C992" s="1" t="s">
        <v>698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697</v>
      </c>
    </row>
    <row r="993" customFormat="false" ht="15" hidden="false" customHeight="true" outlineLevel="0" collapsed="false">
      <c r="A993" s="1" t="s">
        <v>682</v>
      </c>
      <c r="B993" s="1" t="s">
        <v>33</v>
      </c>
      <c r="C993" s="1" t="s">
        <v>698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697</v>
      </c>
    </row>
    <row r="994" customFormat="false" ht="15" hidden="false" customHeight="true" outlineLevel="0" collapsed="false">
      <c r="A994" s="1" t="s">
        <v>682</v>
      </c>
      <c r="B994" s="1" t="s">
        <v>33</v>
      </c>
      <c r="C994" s="1" t="s">
        <v>698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697</v>
      </c>
    </row>
    <row r="995" customFormat="false" ht="15" hidden="false" customHeight="true" outlineLevel="0" collapsed="false">
      <c r="A995" s="1" t="s">
        <v>682</v>
      </c>
      <c r="B995" s="1" t="s">
        <v>33</v>
      </c>
      <c r="C995" s="1" t="s">
        <v>698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697</v>
      </c>
    </row>
    <row r="996" customFormat="false" ht="15" hidden="false" customHeight="true" outlineLevel="0" collapsed="false">
      <c r="A996" s="1" t="s">
        <v>682</v>
      </c>
      <c r="B996" s="1" t="s">
        <v>33</v>
      </c>
      <c r="C996" s="1" t="s">
        <v>698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697</v>
      </c>
    </row>
    <row r="997" customFormat="false" ht="15" hidden="false" customHeight="true" outlineLevel="0" collapsed="false">
      <c r="A997" s="1" t="s">
        <v>682</v>
      </c>
      <c r="B997" s="1" t="s">
        <v>33</v>
      </c>
      <c r="C997" s="1" t="s">
        <v>698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697</v>
      </c>
    </row>
    <row r="998" customFormat="false" ht="15" hidden="false" customHeight="true" outlineLevel="0" collapsed="false">
      <c r="A998" s="1" t="s">
        <v>682</v>
      </c>
      <c r="B998" s="1" t="s">
        <v>44</v>
      </c>
      <c r="C998" s="1" t="s">
        <v>699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700</v>
      </c>
    </row>
    <row r="999" customFormat="false" ht="15" hidden="false" customHeight="true" outlineLevel="0" collapsed="false">
      <c r="A999" s="1" t="s">
        <v>682</v>
      </c>
      <c r="B999" s="1" t="s">
        <v>44</v>
      </c>
      <c r="C999" s="1" t="s">
        <v>699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700</v>
      </c>
    </row>
    <row r="1000" customFormat="false" ht="15" hidden="false" customHeight="true" outlineLevel="0" collapsed="false">
      <c r="A1000" s="1" t="s">
        <v>682</v>
      </c>
      <c r="B1000" s="1" t="s">
        <v>44</v>
      </c>
      <c r="C1000" s="1" t="s">
        <v>699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700</v>
      </c>
    </row>
    <row r="1001" customFormat="false" ht="15" hidden="false" customHeight="true" outlineLevel="0" collapsed="false">
      <c r="A1001" s="1" t="s">
        <v>682</v>
      </c>
      <c r="B1001" s="1" t="s">
        <v>44</v>
      </c>
      <c r="C1001" s="1" t="s">
        <v>699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700</v>
      </c>
    </row>
    <row r="1002" customFormat="false" ht="15" hidden="false" customHeight="true" outlineLevel="0" collapsed="false">
      <c r="A1002" s="1" t="s">
        <v>682</v>
      </c>
      <c r="B1002" s="1" t="s">
        <v>44</v>
      </c>
      <c r="C1002" s="1" t="s">
        <v>699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700</v>
      </c>
    </row>
    <row r="1003" customFormat="false" ht="15" hidden="false" customHeight="true" outlineLevel="0" collapsed="false">
      <c r="A1003" s="1" t="s">
        <v>682</v>
      </c>
      <c r="B1003" s="1" t="s">
        <v>44</v>
      </c>
      <c r="C1003" s="1" t="s">
        <v>699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700</v>
      </c>
    </row>
    <row r="1004" customFormat="false" ht="15" hidden="false" customHeight="true" outlineLevel="0" collapsed="false">
      <c r="A1004" s="1" t="s">
        <v>682</v>
      </c>
      <c r="B1004" s="1" t="s">
        <v>44</v>
      </c>
      <c r="C1004" s="1" t="s">
        <v>699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700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655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655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655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655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655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655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682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682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682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682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682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682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655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655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655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655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655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655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682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682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682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682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682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682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655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655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655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655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655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655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655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682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682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682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682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682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682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682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655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655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655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655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655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655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682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682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682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682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682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682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655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655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655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655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655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655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682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682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682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682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682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682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655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655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655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655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655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655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682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682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682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682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682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682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655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655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655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655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655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655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682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682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682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682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682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682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701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701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701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701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701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701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655</v>
      </c>
      <c r="B1140" s="1" t="s">
        <v>87</v>
      </c>
      <c r="C1140" s="1" t="s">
        <v>701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655</v>
      </c>
      <c r="B1141" s="1" t="s">
        <v>87</v>
      </c>
      <c r="C1141" s="1" t="s">
        <v>701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655</v>
      </c>
      <c r="B1142" s="1" t="s">
        <v>87</v>
      </c>
      <c r="C1142" s="1" t="s">
        <v>701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655</v>
      </c>
      <c r="B1143" s="1" t="s">
        <v>87</v>
      </c>
      <c r="C1143" s="1" t="s">
        <v>701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655</v>
      </c>
      <c r="B1144" s="1" t="s">
        <v>87</v>
      </c>
      <c r="C1144" s="1" t="s">
        <v>701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655</v>
      </c>
      <c r="B1145" s="1" t="s">
        <v>87</v>
      </c>
      <c r="C1145" s="1" t="s">
        <v>701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682</v>
      </c>
      <c r="B1146" s="1" t="s">
        <v>87</v>
      </c>
      <c r="C1146" s="1" t="s">
        <v>701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682</v>
      </c>
      <c r="B1147" s="1" t="s">
        <v>87</v>
      </c>
      <c r="C1147" s="1" t="s">
        <v>701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682</v>
      </c>
      <c r="B1148" s="1" t="s">
        <v>87</v>
      </c>
      <c r="C1148" s="1" t="s">
        <v>701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682</v>
      </c>
      <c r="B1149" s="1" t="s">
        <v>87</v>
      </c>
      <c r="C1149" s="1" t="s">
        <v>701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682</v>
      </c>
      <c r="B1150" s="1" t="s">
        <v>87</v>
      </c>
      <c r="C1150" s="1" t="s">
        <v>701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682</v>
      </c>
      <c r="B1151" s="1" t="s">
        <v>87</v>
      </c>
      <c r="C1151" s="1" t="s">
        <v>701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702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702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702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702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702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702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702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655</v>
      </c>
      <c r="B1159" s="1" t="s">
        <v>85</v>
      </c>
      <c r="C1159" s="1" t="s">
        <v>702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655</v>
      </c>
      <c r="B1160" s="1" t="s">
        <v>85</v>
      </c>
      <c r="C1160" s="1" t="s">
        <v>702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655</v>
      </c>
      <c r="B1161" s="1" t="s">
        <v>85</v>
      </c>
      <c r="C1161" s="1" t="s">
        <v>702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655</v>
      </c>
      <c r="B1162" s="1" t="s">
        <v>85</v>
      </c>
      <c r="C1162" s="1" t="s">
        <v>702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655</v>
      </c>
      <c r="B1163" s="1" t="s">
        <v>85</v>
      </c>
      <c r="C1163" s="1" t="s">
        <v>702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655</v>
      </c>
      <c r="B1164" s="1" t="s">
        <v>85</v>
      </c>
      <c r="C1164" s="1" t="s">
        <v>702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655</v>
      </c>
      <c r="B1165" s="1" t="s">
        <v>85</v>
      </c>
      <c r="C1165" s="1" t="s">
        <v>702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682</v>
      </c>
      <c r="B1166" s="1" t="s">
        <v>85</v>
      </c>
      <c r="C1166" s="1" t="s">
        <v>702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682</v>
      </c>
      <c r="B1167" s="1" t="s">
        <v>85</v>
      </c>
      <c r="C1167" s="1" t="s">
        <v>702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682</v>
      </c>
      <c r="B1168" s="1" t="s">
        <v>85</v>
      </c>
      <c r="C1168" s="1" t="s">
        <v>702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682</v>
      </c>
      <c r="B1169" s="1" t="s">
        <v>85</v>
      </c>
      <c r="C1169" s="1" t="s">
        <v>702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682</v>
      </c>
      <c r="B1170" s="1" t="s">
        <v>85</v>
      </c>
      <c r="C1170" s="1" t="s">
        <v>702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682</v>
      </c>
      <c r="B1171" s="1" t="s">
        <v>85</v>
      </c>
      <c r="C1171" s="1" t="s">
        <v>702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682</v>
      </c>
      <c r="B1172" s="1" t="s">
        <v>85</v>
      </c>
      <c r="C1172" s="1" t="s">
        <v>702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703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697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703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697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703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697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703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697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703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697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703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697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703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697</v>
      </c>
    </row>
    <row r="1180" customFormat="false" ht="15" hidden="false" customHeight="true" outlineLevel="0" collapsed="false">
      <c r="A1180" s="1" t="s">
        <v>655</v>
      </c>
      <c r="B1180" s="1" t="s">
        <v>55</v>
      </c>
      <c r="C1180" s="1" t="s">
        <v>703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697</v>
      </c>
    </row>
    <row r="1181" customFormat="false" ht="15" hidden="false" customHeight="true" outlineLevel="0" collapsed="false">
      <c r="A1181" s="1" t="s">
        <v>655</v>
      </c>
      <c r="B1181" s="1" t="s">
        <v>55</v>
      </c>
      <c r="C1181" s="1" t="s">
        <v>703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697</v>
      </c>
    </row>
    <row r="1182" customFormat="false" ht="15" hidden="false" customHeight="true" outlineLevel="0" collapsed="false">
      <c r="A1182" s="1" t="s">
        <v>655</v>
      </c>
      <c r="B1182" s="1" t="s">
        <v>55</v>
      </c>
      <c r="C1182" s="1" t="s">
        <v>703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697</v>
      </c>
    </row>
    <row r="1183" customFormat="false" ht="15" hidden="false" customHeight="true" outlineLevel="0" collapsed="false">
      <c r="A1183" s="1" t="s">
        <v>655</v>
      </c>
      <c r="B1183" s="1" t="s">
        <v>55</v>
      </c>
      <c r="C1183" s="1" t="s">
        <v>703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697</v>
      </c>
    </row>
    <row r="1184" customFormat="false" ht="15" hidden="false" customHeight="true" outlineLevel="0" collapsed="false">
      <c r="A1184" s="1" t="s">
        <v>655</v>
      </c>
      <c r="B1184" s="1" t="s">
        <v>55</v>
      </c>
      <c r="C1184" s="1" t="s">
        <v>703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697</v>
      </c>
    </row>
    <row r="1185" customFormat="false" ht="15" hidden="false" customHeight="true" outlineLevel="0" collapsed="false">
      <c r="A1185" s="1" t="s">
        <v>655</v>
      </c>
      <c r="B1185" s="1" t="s">
        <v>55</v>
      </c>
      <c r="C1185" s="1" t="s">
        <v>703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697</v>
      </c>
    </row>
    <row r="1186" customFormat="false" ht="15" hidden="false" customHeight="true" outlineLevel="0" collapsed="false">
      <c r="A1186" s="1" t="s">
        <v>655</v>
      </c>
      <c r="B1186" s="1" t="s">
        <v>55</v>
      </c>
      <c r="C1186" s="1" t="s">
        <v>703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697</v>
      </c>
    </row>
    <row r="1187" customFormat="false" ht="15" hidden="false" customHeight="true" outlineLevel="0" collapsed="false">
      <c r="A1187" s="1" t="s">
        <v>682</v>
      </c>
      <c r="B1187" s="1" t="s">
        <v>55</v>
      </c>
      <c r="C1187" s="1" t="s">
        <v>703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697</v>
      </c>
    </row>
    <row r="1188" customFormat="false" ht="15" hidden="false" customHeight="true" outlineLevel="0" collapsed="false">
      <c r="A1188" s="1" t="s">
        <v>682</v>
      </c>
      <c r="B1188" s="1" t="s">
        <v>55</v>
      </c>
      <c r="C1188" s="1" t="s">
        <v>703</v>
      </c>
      <c r="D1188" s="1" t="s">
        <v>289</v>
      </c>
      <c r="H1188" s="1" t="s">
        <v>704</v>
      </c>
    </row>
    <row r="1189" customFormat="false" ht="15" hidden="false" customHeight="true" outlineLevel="0" collapsed="false">
      <c r="A1189" s="1" t="s">
        <v>682</v>
      </c>
      <c r="B1189" s="1" t="s">
        <v>55</v>
      </c>
      <c r="C1189" s="1" t="s">
        <v>703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697</v>
      </c>
    </row>
    <row r="1190" customFormat="false" ht="15" hidden="false" customHeight="true" outlineLevel="0" collapsed="false">
      <c r="A1190" s="1" t="s">
        <v>682</v>
      </c>
      <c r="B1190" s="1" t="s">
        <v>55</v>
      </c>
      <c r="C1190" s="1" t="s">
        <v>703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697</v>
      </c>
    </row>
    <row r="1191" customFormat="false" ht="15" hidden="false" customHeight="true" outlineLevel="0" collapsed="false">
      <c r="A1191" s="1" t="s">
        <v>682</v>
      </c>
      <c r="B1191" s="1" t="s">
        <v>55</v>
      </c>
      <c r="C1191" s="1" t="s">
        <v>703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697</v>
      </c>
    </row>
    <row r="1192" customFormat="false" ht="15" hidden="false" customHeight="true" outlineLevel="0" collapsed="false">
      <c r="A1192" s="1" t="s">
        <v>682</v>
      </c>
      <c r="B1192" s="1" t="s">
        <v>55</v>
      </c>
      <c r="C1192" s="1" t="s">
        <v>703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697</v>
      </c>
    </row>
    <row r="1193" customFormat="false" ht="15" hidden="false" customHeight="true" outlineLevel="0" collapsed="false">
      <c r="A1193" s="1" t="s">
        <v>682</v>
      </c>
      <c r="B1193" s="1" t="s">
        <v>55</v>
      </c>
      <c r="C1193" s="1" t="s">
        <v>703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697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705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706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705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706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705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706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705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706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705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706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705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706</v>
      </c>
    </row>
    <row r="1200" customFormat="false" ht="15" hidden="false" customHeight="true" outlineLevel="0" collapsed="false">
      <c r="A1200" s="1" t="s">
        <v>655</v>
      </c>
      <c r="B1200" s="1" t="s">
        <v>55</v>
      </c>
      <c r="C1200" s="1" t="s">
        <v>705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706</v>
      </c>
    </row>
    <row r="1201" customFormat="false" ht="15" hidden="false" customHeight="true" outlineLevel="0" collapsed="false">
      <c r="A1201" s="1" t="s">
        <v>655</v>
      </c>
      <c r="B1201" s="1" t="s">
        <v>55</v>
      </c>
      <c r="C1201" s="1" t="s">
        <v>705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706</v>
      </c>
    </row>
    <row r="1202" customFormat="false" ht="15" hidden="false" customHeight="true" outlineLevel="0" collapsed="false">
      <c r="A1202" s="1" t="s">
        <v>655</v>
      </c>
      <c r="B1202" s="1" t="s">
        <v>55</v>
      </c>
      <c r="C1202" s="1" t="s">
        <v>705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706</v>
      </c>
    </row>
    <row r="1203" customFormat="false" ht="15" hidden="false" customHeight="true" outlineLevel="0" collapsed="false">
      <c r="A1203" s="1" t="s">
        <v>655</v>
      </c>
      <c r="B1203" s="1" t="s">
        <v>55</v>
      </c>
      <c r="C1203" s="1" t="s">
        <v>705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706</v>
      </c>
    </row>
    <row r="1204" customFormat="false" ht="15" hidden="false" customHeight="true" outlineLevel="0" collapsed="false">
      <c r="A1204" s="1" t="s">
        <v>655</v>
      </c>
      <c r="B1204" s="1" t="s">
        <v>55</v>
      </c>
      <c r="C1204" s="1" t="s">
        <v>705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706</v>
      </c>
    </row>
    <row r="1205" customFormat="false" ht="15" hidden="false" customHeight="true" outlineLevel="0" collapsed="false">
      <c r="A1205" s="1" t="s">
        <v>655</v>
      </c>
      <c r="B1205" s="1" t="s">
        <v>55</v>
      </c>
      <c r="C1205" s="1" t="s">
        <v>705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706</v>
      </c>
    </row>
    <row r="1206" customFormat="false" ht="15" hidden="false" customHeight="true" outlineLevel="0" collapsed="false">
      <c r="A1206" s="1" t="s">
        <v>682</v>
      </c>
      <c r="B1206" s="1" t="s">
        <v>55</v>
      </c>
      <c r="C1206" s="1" t="s">
        <v>705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706</v>
      </c>
    </row>
    <row r="1207" customFormat="false" ht="15" hidden="false" customHeight="true" outlineLevel="0" collapsed="false">
      <c r="A1207" s="1" t="s">
        <v>682</v>
      </c>
      <c r="B1207" s="1" t="s">
        <v>55</v>
      </c>
      <c r="C1207" s="1" t="s">
        <v>705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706</v>
      </c>
    </row>
    <row r="1208" customFormat="false" ht="15" hidden="false" customHeight="true" outlineLevel="0" collapsed="false">
      <c r="A1208" s="1" t="s">
        <v>682</v>
      </c>
      <c r="B1208" s="1" t="s">
        <v>55</v>
      </c>
      <c r="C1208" s="1" t="s">
        <v>705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706</v>
      </c>
    </row>
    <row r="1209" customFormat="false" ht="15" hidden="false" customHeight="true" outlineLevel="0" collapsed="false">
      <c r="A1209" s="1" t="s">
        <v>682</v>
      </c>
      <c r="B1209" s="1" t="s">
        <v>55</v>
      </c>
      <c r="C1209" s="1" t="s">
        <v>705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706</v>
      </c>
    </row>
    <row r="1210" customFormat="false" ht="15" hidden="false" customHeight="true" outlineLevel="0" collapsed="false">
      <c r="A1210" s="1" t="s">
        <v>682</v>
      </c>
      <c r="B1210" s="1" t="s">
        <v>55</v>
      </c>
      <c r="C1210" s="1" t="s">
        <v>705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706</v>
      </c>
    </row>
    <row r="1211" customFormat="false" ht="15" hidden="false" customHeight="true" outlineLevel="0" collapsed="false">
      <c r="A1211" s="1" t="s">
        <v>682</v>
      </c>
      <c r="B1211" s="1" t="s">
        <v>55</v>
      </c>
      <c r="C1211" s="1" t="s">
        <v>705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706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655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655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655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655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655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655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682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682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682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682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682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682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707</v>
      </c>
      <c r="B1230" s="1" t="s">
        <v>43</v>
      </c>
      <c r="C1230" s="1" t="s">
        <v>43</v>
      </c>
      <c r="D1230" s="1" t="s">
        <v>287</v>
      </c>
      <c r="E1230" s="1" t="n">
        <v>6711</v>
      </c>
      <c r="F1230" s="1" t="n">
        <v>0.133549418333057</v>
      </c>
      <c r="G1230" s="1" t="n">
        <v>896.250146433146</v>
      </c>
      <c r="H1230" s="1" t="s">
        <v>708</v>
      </c>
    </row>
    <row r="1231" customFormat="false" ht="15" hidden="false" customHeight="true" outlineLevel="0" collapsed="false">
      <c r="A1231" s="1" t="s">
        <v>707</v>
      </c>
      <c r="B1231" s="1" t="s">
        <v>43</v>
      </c>
      <c r="C1231" s="1" t="s">
        <v>43</v>
      </c>
      <c r="D1231" s="1" t="s">
        <v>293</v>
      </c>
      <c r="E1231" s="1" t="n">
        <v>3823</v>
      </c>
      <c r="F1231" s="1" t="n">
        <v>0.133549418333057</v>
      </c>
      <c r="G1231" s="1" t="n">
        <v>510.559426287277</v>
      </c>
      <c r="H1231" s="1" t="s">
        <v>709</v>
      </c>
    </row>
    <row r="1232" customFormat="false" ht="15" hidden="false" customHeight="true" outlineLevel="0" collapsed="false">
      <c r="A1232" s="1" t="s">
        <v>707</v>
      </c>
      <c r="B1232" s="1" t="s">
        <v>43</v>
      </c>
      <c r="C1232" s="1" t="s">
        <v>43</v>
      </c>
      <c r="D1232" s="1" t="s">
        <v>290</v>
      </c>
      <c r="E1232" s="1" t="n">
        <v>6701</v>
      </c>
      <c r="F1232" s="1" t="n">
        <v>0.133549418333057</v>
      </c>
      <c r="G1232" s="1" t="n">
        <v>894.914652249815</v>
      </c>
      <c r="H1232" s="1" t="s">
        <v>710</v>
      </c>
    </row>
    <row r="1233" customFormat="false" ht="15" hidden="false" customHeight="true" outlineLevel="0" collapsed="false">
      <c r="A1233" s="1" t="s">
        <v>707</v>
      </c>
      <c r="B1233" s="1" t="s">
        <v>43</v>
      </c>
      <c r="C1233" s="1" t="s">
        <v>43</v>
      </c>
      <c r="D1233" s="1" t="s">
        <v>284</v>
      </c>
      <c r="E1233" s="1" t="n">
        <v>14824</v>
      </c>
      <c r="F1233" s="1" t="n">
        <v>0.133549418333057</v>
      </c>
      <c r="G1233" s="1" t="n">
        <v>1979.73657736924</v>
      </c>
      <c r="H1233" s="1" t="s">
        <v>711</v>
      </c>
    </row>
    <row r="1234" customFormat="false" ht="15" hidden="false" customHeight="true" outlineLevel="0" collapsed="false">
      <c r="A1234" s="1" t="s">
        <v>707</v>
      </c>
      <c r="B1234" s="1" t="s">
        <v>43</v>
      </c>
      <c r="C1234" s="1" t="s">
        <v>43</v>
      </c>
      <c r="D1234" s="1" t="s">
        <v>285</v>
      </c>
      <c r="E1234" s="1" t="n">
        <v>4839</v>
      </c>
      <c r="F1234" s="1" t="n">
        <v>0.133549418333057</v>
      </c>
      <c r="G1234" s="1" t="n">
        <v>646.245635313663</v>
      </c>
      <c r="H1234" s="1" t="s">
        <v>712</v>
      </c>
    </row>
    <row r="1235" customFormat="false" ht="15" hidden="false" customHeight="true" outlineLevel="0" collapsed="false">
      <c r="A1235" s="1" t="s">
        <v>707</v>
      </c>
      <c r="B1235" s="1" t="s">
        <v>43</v>
      </c>
      <c r="C1235" s="1" t="s">
        <v>43</v>
      </c>
      <c r="D1235" s="1" t="s">
        <v>282</v>
      </c>
      <c r="E1235" s="1" t="n">
        <v>4839</v>
      </c>
      <c r="F1235" s="1" t="n">
        <v>0.133549418333057</v>
      </c>
      <c r="G1235" s="1" t="n">
        <v>646.245635313663</v>
      </c>
      <c r="H1235" s="1" t="s">
        <v>712</v>
      </c>
    </row>
    <row r="1236" customFormat="false" ht="15" hidden="false" customHeight="true" outlineLevel="0" collapsed="false">
      <c r="A1236" s="1" t="s">
        <v>707</v>
      </c>
      <c r="B1236" s="1" t="s">
        <v>31</v>
      </c>
      <c r="C1236" s="1" t="s">
        <v>31</v>
      </c>
      <c r="D1236" s="1" t="s">
        <v>287</v>
      </c>
      <c r="E1236" s="1" t="n">
        <v>6711</v>
      </c>
      <c r="F1236" s="1" t="n">
        <v>0.2292008608622</v>
      </c>
      <c r="G1236" s="1" t="n">
        <v>1538.16697724622</v>
      </c>
      <c r="H1236" s="1" t="s">
        <v>708</v>
      </c>
    </row>
    <row r="1237" customFormat="false" ht="15" hidden="false" customHeight="true" outlineLevel="0" collapsed="false">
      <c r="A1237" s="1" t="s">
        <v>707</v>
      </c>
      <c r="B1237" s="1" t="s">
        <v>31</v>
      </c>
      <c r="C1237" s="1" t="s">
        <v>31</v>
      </c>
      <c r="D1237" s="1" t="s">
        <v>289</v>
      </c>
      <c r="E1237" s="1" t="n">
        <v>13611</v>
      </c>
      <c r="F1237" s="1" t="n">
        <v>0.2292008608622</v>
      </c>
      <c r="G1237" s="1" t="n">
        <v>3119.6529171954</v>
      </c>
      <c r="H1237" s="1" t="s">
        <v>713</v>
      </c>
    </row>
    <row r="1238" customFormat="false" ht="15" hidden="false" customHeight="true" outlineLevel="0" collapsed="false">
      <c r="A1238" s="1" t="s">
        <v>707</v>
      </c>
      <c r="B1238" s="1" t="s">
        <v>31</v>
      </c>
      <c r="C1238" s="1" t="s">
        <v>31</v>
      </c>
      <c r="D1238" s="1" t="s">
        <v>293</v>
      </c>
      <c r="E1238" s="1" t="n">
        <v>3823</v>
      </c>
      <c r="F1238" s="1" t="n">
        <v>0.2292008608622</v>
      </c>
      <c r="G1238" s="1" t="n">
        <v>876.234891076191</v>
      </c>
      <c r="H1238" s="1" t="s">
        <v>709</v>
      </c>
    </row>
    <row r="1239" customFormat="false" ht="15" hidden="false" customHeight="true" outlineLevel="0" collapsed="false">
      <c r="A1239" s="1" t="s">
        <v>707</v>
      </c>
      <c r="B1239" s="1" t="s">
        <v>31</v>
      </c>
      <c r="C1239" s="1" t="s">
        <v>31</v>
      </c>
      <c r="D1239" s="1" t="s">
        <v>290</v>
      </c>
      <c r="E1239" s="1" t="n">
        <v>6701</v>
      </c>
      <c r="F1239" s="1" t="n">
        <v>0.2292008608622</v>
      </c>
      <c r="G1239" s="1" t="n">
        <v>1535.8749686376</v>
      </c>
      <c r="H1239" s="1" t="s">
        <v>710</v>
      </c>
    </row>
    <row r="1240" customFormat="false" ht="15" hidden="false" customHeight="true" outlineLevel="0" collapsed="false">
      <c r="A1240" s="1" t="s">
        <v>707</v>
      </c>
      <c r="B1240" s="1" t="s">
        <v>31</v>
      </c>
      <c r="C1240" s="1" t="s">
        <v>31</v>
      </c>
      <c r="D1240" s="1" t="s">
        <v>284</v>
      </c>
      <c r="E1240" s="1" t="n">
        <v>14824</v>
      </c>
      <c r="F1240" s="1" t="n">
        <v>0.2292008608622</v>
      </c>
      <c r="G1240" s="1" t="n">
        <v>3397.67356142125</v>
      </c>
      <c r="H1240" s="1" t="s">
        <v>711</v>
      </c>
    </row>
    <row r="1241" customFormat="false" ht="15" hidden="false" customHeight="true" outlineLevel="0" collapsed="false">
      <c r="A1241" s="1" t="s">
        <v>707</v>
      </c>
      <c r="B1241" s="1" t="s">
        <v>31</v>
      </c>
      <c r="C1241" s="1" t="s">
        <v>31</v>
      </c>
      <c r="D1241" s="1" t="s">
        <v>285</v>
      </c>
      <c r="E1241" s="1" t="n">
        <v>4839</v>
      </c>
      <c r="F1241" s="1" t="n">
        <v>0.2292008608622</v>
      </c>
      <c r="G1241" s="1" t="n">
        <v>1109.10296571219</v>
      </c>
      <c r="H1241" s="1" t="s">
        <v>712</v>
      </c>
    </row>
    <row r="1242" customFormat="false" ht="15" hidden="false" customHeight="true" outlineLevel="0" collapsed="false">
      <c r="A1242" s="1" t="s">
        <v>707</v>
      </c>
      <c r="B1242" s="1" t="s">
        <v>31</v>
      </c>
      <c r="C1242" s="1" t="s">
        <v>31</v>
      </c>
      <c r="D1242" s="1" t="s">
        <v>282</v>
      </c>
      <c r="E1242" s="1" t="n">
        <v>4839</v>
      </c>
      <c r="F1242" s="1" t="n">
        <v>0.2292008608622</v>
      </c>
      <c r="G1242" s="1" t="n">
        <v>1109.10296571219</v>
      </c>
      <c r="H1242" s="1" t="s">
        <v>712</v>
      </c>
    </row>
    <row r="1243" customFormat="false" ht="15" hidden="false" customHeight="true" outlineLevel="0" collapsed="false">
      <c r="A1243" s="1" t="s">
        <v>707</v>
      </c>
      <c r="B1243" s="1" t="s">
        <v>452</v>
      </c>
      <c r="C1243" s="1" t="s">
        <v>86</v>
      </c>
      <c r="D1243" s="1" t="s">
        <v>287</v>
      </c>
      <c r="E1243" s="1" t="n">
        <v>6711</v>
      </c>
      <c r="F1243" s="1" t="n">
        <v>0.227639578183536</v>
      </c>
      <c r="G1243" s="1" t="n">
        <v>1527.68920918971</v>
      </c>
      <c r="H1243" s="1" t="s">
        <v>714</v>
      </c>
    </row>
    <row r="1244" customFormat="false" ht="15" hidden="false" customHeight="true" outlineLevel="0" collapsed="false">
      <c r="A1244" s="1" t="s">
        <v>707</v>
      </c>
      <c r="B1244" s="1" t="s">
        <v>452</v>
      </c>
      <c r="C1244" s="1" t="s">
        <v>86</v>
      </c>
      <c r="D1244" s="1" t="s">
        <v>289</v>
      </c>
      <c r="E1244" s="1" t="n">
        <v>13611</v>
      </c>
      <c r="F1244" s="1" t="n">
        <v>0.227639578183536</v>
      </c>
      <c r="G1244" s="1" t="n">
        <v>3098.40229865611</v>
      </c>
      <c r="H1244" s="1" t="s">
        <v>715</v>
      </c>
    </row>
    <row r="1245" customFormat="false" ht="15" hidden="false" customHeight="true" outlineLevel="0" collapsed="false">
      <c r="A1245" s="1" t="s">
        <v>707</v>
      </c>
      <c r="B1245" s="1" t="s">
        <v>452</v>
      </c>
      <c r="C1245" s="1" t="s">
        <v>86</v>
      </c>
      <c r="D1245" s="1" t="s">
        <v>293</v>
      </c>
      <c r="E1245" s="1" t="n">
        <v>3823</v>
      </c>
      <c r="F1245" s="1" t="n">
        <v>0.227639578183536</v>
      </c>
      <c r="G1245" s="1" t="n">
        <v>870.266107395658</v>
      </c>
      <c r="H1245" s="1" t="s">
        <v>716</v>
      </c>
    </row>
    <row r="1246" customFormat="false" ht="15" hidden="false" customHeight="true" outlineLevel="0" collapsed="false">
      <c r="A1246" s="1" t="s">
        <v>707</v>
      </c>
      <c r="B1246" s="1" t="s">
        <v>452</v>
      </c>
      <c r="C1246" s="1" t="s">
        <v>86</v>
      </c>
      <c r="D1246" s="1" t="s">
        <v>290</v>
      </c>
      <c r="E1246" s="1" t="n">
        <v>6701</v>
      </c>
      <c r="F1246" s="1" t="n">
        <v>0.227639578183536</v>
      </c>
      <c r="G1246" s="1" t="n">
        <v>1525.41281340788</v>
      </c>
      <c r="H1246" s="1" t="s">
        <v>717</v>
      </c>
    </row>
    <row r="1247" customFormat="false" ht="15" hidden="false" customHeight="true" outlineLevel="0" collapsed="false">
      <c r="A1247" s="1" t="s">
        <v>707</v>
      </c>
      <c r="B1247" s="1" t="s">
        <v>452</v>
      </c>
      <c r="C1247" s="1" t="s">
        <v>86</v>
      </c>
      <c r="D1247" s="1" t="s">
        <v>284</v>
      </c>
      <c r="E1247" s="1" t="n">
        <v>14824</v>
      </c>
      <c r="F1247" s="1" t="n">
        <v>0.227639578183536</v>
      </c>
      <c r="G1247" s="1" t="n">
        <v>3374.52910699274</v>
      </c>
      <c r="H1247" s="1" t="s">
        <v>718</v>
      </c>
    </row>
    <row r="1248" customFormat="false" ht="15" hidden="false" customHeight="true" outlineLevel="0" collapsed="false">
      <c r="A1248" s="1" t="s">
        <v>707</v>
      </c>
      <c r="B1248" s="1" t="s">
        <v>452</v>
      </c>
      <c r="C1248" s="1" t="s">
        <v>86</v>
      </c>
      <c r="D1248" s="1" t="s">
        <v>285</v>
      </c>
      <c r="E1248" s="1" t="n">
        <v>4839</v>
      </c>
      <c r="F1248" s="1" t="n">
        <v>0.227639578183536</v>
      </c>
      <c r="G1248" s="1" t="n">
        <v>1101.54791883013</v>
      </c>
      <c r="H1248" s="1" t="s">
        <v>719</v>
      </c>
    </row>
    <row r="1249" customFormat="false" ht="15" hidden="false" customHeight="true" outlineLevel="0" collapsed="false">
      <c r="A1249" s="1" t="s">
        <v>707</v>
      </c>
      <c r="B1249" s="1" t="s">
        <v>452</v>
      </c>
      <c r="C1249" s="1" t="s">
        <v>86</v>
      </c>
      <c r="D1249" s="1" t="s">
        <v>282</v>
      </c>
      <c r="E1249" s="1" t="n">
        <v>4839</v>
      </c>
      <c r="F1249" s="1" t="n">
        <v>0.227639578183536</v>
      </c>
      <c r="G1249" s="1" t="n">
        <v>1101.54791883013</v>
      </c>
      <c r="H1249" s="1" t="s">
        <v>719</v>
      </c>
    </row>
    <row r="1250" customFormat="false" ht="15" hidden="false" customHeight="true" outlineLevel="0" collapsed="false">
      <c r="A1250" s="1" t="s">
        <v>707</v>
      </c>
      <c r="B1250" s="1" t="s">
        <v>81</v>
      </c>
      <c r="C1250" s="1" t="s">
        <v>81</v>
      </c>
      <c r="D1250" s="1" t="s">
        <v>287</v>
      </c>
      <c r="E1250" s="1" t="n">
        <v>6711</v>
      </c>
      <c r="F1250" s="1" t="n">
        <v>0.0755298089150293</v>
      </c>
      <c r="G1250" s="1" t="n">
        <v>506.880547628762</v>
      </c>
      <c r="H1250" s="1" t="s">
        <v>708</v>
      </c>
    </row>
    <row r="1251" customFormat="false" ht="15" hidden="false" customHeight="true" outlineLevel="0" collapsed="false">
      <c r="A1251" s="1" t="s">
        <v>707</v>
      </c>
      <c r="B1251" s="1" t="s">
        <v>81</v>
      </c>
      <c r="C1251" s="1" t="s">
        <v>81</v>
      </c>
      <c r="D1251" s="1" t="s">
        <v>289</v>
      </c>
      <c r="E1251" s="1" t="n">
        <v>13611</v>
      </c>
      <c r="F1251" s="1" t="n">
        <v>0.0755298089150293</v>
      </c>
      <c r="G1251" s="1" t="n">
        <v>1028.03622914246</v>
      </c>
      <c r="H1251" s="1" t="s">
        <v>713</v>
      </c>
    </row>
    <row r="1252" customFormat="false" ht="15" hidden="false" customHeight="true" outlineLevel="0" collapsed="false">
      <c r="A1252" s="1" t="s">
        <v>707</v>
      </c>
      <c r="B1252" s="1" t="s">
        <v>81</v>
      </c>
      <c r="C1252" s="1" t="s">
        <v>81</v>
      </c>
      <c r="D1252" s="1" t="s">
        <v>293</v>
      </c>
      <c r="E1252" s="1" t="n">
        <v>3823</v>
      </c>
      <c r="F1252" s="1" t="n">
        <v>0.0755298089150293</v>
      </c>
      <c r="G1252" s="1" t="n">
        <v>288.750459482157</v>
      </c>
      <c r="H1252" s="1" t="s">
        <v>709</v>
      </c>
    </row>
    <row r="1253" customFormat="false" ht="15" hidden="false" customHeight="true" outlineLevel="0" collapsed="false">
      <c r="A1253" s="1" t="s">
        <v>707</v>
      </c>
      <c r="B1253" s="1" t="s">
        <v>81</v>
      </c>
      <c r="C1253" s="1" t="s">
        <v>81</v>
      </c>
      <c r="D1253" s="1" t="s">
        <v>290</v>
      </c>
      <c r="E1253" s="1" t="n">
        <v>6701</v>
      </c>
      <c r="F1253" s="1" t="n">
        <v>0.0755298089150293</v>
      </c>
      <c r="G1253" s="1" t="n">
        <v>506.125249539611</v>
      </c>
      <c r="H1253" s="1" t="s">
        <v>710</v>
      </c>
    </row>
    <row r="1254" customFormat="false" ht="15" hidden="false" customHeight="true" outlineLevel="0" collapsed="false">
      <c r="A1254" s="1" t="s">
        <v>707</v>
      </c>
      <c r="B1254" s="1" t="s">
        <v>81</v>
      </c>
      <c r="C1254" s="1" t="s">
        <v>81</v>
      </c>
      <c r="D1254" s="1" t="s">
        <v>284</v>
      </c>
      <c r="E1254" s="1" t="n">
        <v>14824</v>
      </c>
      <c r="F1254" s="1" t="n">
        <v>0.0755298089150293</v>
      </c>
      <c r="G1254" s="1" t="n">
        <v>1119.6538873564</v>
      </c>
      <c r="H1254" s="1" t="s">
        <v>711</v>
      </c>
    </row>
    <row r="1255" customFormat="false" ht="14.25" hidden="false" customHeight="true" outlineLevel="0" collapsed="false">
      <c r="A1255" s="1" t="s">
        <v>707</v>
      </c>
      <c r="B1255" s="1" t="s">
        <v>81</v>
      </c>
      <c r="C1255" s="1" t="s">
        <v>81</v>
      </c>
      <c r="D1255" s="1" t="s">
        <v>285</v>
      </c>
      <c r="E1255" s="1" t="n">
        <v>4839</v>
      </c>
      <c r="F1255" s="1" t="n">
        <v>0.0755298089150293</v>
      </c>
      <c r="G1255" s="1" t="n">
        <v>365.488745339827</v>
      </c>
      <c r="H1255" s="1" t="s">
        <v>712</v>
      </c>
    </row>
    <row r="1256" customFormat="false" ht="14.25" hidden="false" customHeight="true" outlineLevel="0" collapsed="false">
      <c r="A1256" s="1" t="s">
        <v>707</v>
      </c>
      <c r="B1256" s="1" t="s">
        <v>81</v>
      </c>
      <c r="C1256" s="1" t="s">
        <v>81</v>
      </c>
      <c r="D1256" s="1" t="s">
        <v>282</v>
      </c>
      <c r="E1256" s="1" t="n">
        <v>4839</v>
      </c>
      <c r="F1256" s="1" t="n">
        <v>0.0755298089150293</v>
      </c>
      <c r="G1256" s="1" t="n">
        <v>365.488745339827</v>
      </c>
      <c r="H1256" s="1" t="s">
        <v>712</v>
      </c>
    </row>
    <row r="1257" customFormat="false" ht="14.25" hidden="false" customHeight="true" outlineLevel="0" collapsed="false">
      <c r="A1257" s="1" t="s">
        <v>707</v>
      </c>
      <c r="B1257" s="1" t="s">
        <v>85</v>
      </c>
      <c r="C1257" s="1" t="s">
        <v>702</v>
      </c>
      <c r="D1257" s="1" t="s">
        <v>287</v>
      </c>
      <c r="E1257" s="1" t="n">
        <v>6711</v>
      </c>
      <c r="F1257" s="1" t="n">
        <v>0.354864617185628</v>
      </c>
      <c r="G1257" s="1" t="n">
        <v>2381.49644593275</v>
      </c>
      <c r="H1257" s="1" t="s">
        <v>708</v>
      </c>
    </row>
    <row r="1258" customFormat="false" ht="14.25" hidden="false" customHeight="true" outlineLevel="0" collapsed="false">
      <c r="A1258" s="1" t="s">
        <v>707</v>
      </c>
      <c r="B1258" s="1" t="s">
        <v>85</v>
      </c>
      <c r="C1258" s="1" t="s">
        <v>702</v>
      </c>
      <c r="D1258" s="1" t="s">
        <v>289</v>
      </c>
      <c r="E1258" s="1" t="n">
        <v>13611</v>
      </c>
      <c r="F1258" s="1" t="n">
        <v>0.354864617185628</v>
      </c>
      <c r="G1258" s="1" t="n">
        <v>4830.06230451358</v>
      </c>
      <c r="H1258" s="1" t="s">
        <v>713</v>
      </c>
    </row>
    <row r="1259" customFormat="false" ht="14.25" hidden="false" customHeight="true" outlineLevel="0" collapsed="false">
      <c r="A1259" s="1" t="s">
        <v>707</v>
      </c>
      <c r="B1259" s="1" t="s">
        <v>85</v>
      </c>
      <c r="C1259" s="1" t="s">
        <v>702</v>
      </c>
      <c r="D1259" s="1" t="s">
        <v>293</v>
      </c>
      <c r="E1259" s="1" t="n">
        <v>3823</v>
      </c>
      <c r="F1259" s="1" t="n">
        <v>0.354864617185628</v>
      </c>
      <c r="G1259" s="1" t="n">
        <v>1356.64743150066</v>
      </c>
      <c r="H1259" s="1" t="s">
        <v>709</v>
      </c>
    </row>
    <row r="1260" customFormat="false" ht="14.25" hidden="false" customHeight="true" outlineLevel="0" collapsed="false">
      <c r="A1260" s="1" t="s">
        <v>707</v>
      </c>
      <c r="B1260" s="1" t="s">
        <v>85</v>
      </c>
      <c r="C1260" s="1" t="s">
        <v>702</v>
      </c>
      <c r="D1260" s="1" t="s">
        <v>290</v>
      </c>
      <c r="E1260" s="1" t="n">
        <v>6701</v>
      </c>
      <c r="F1260" s="1" t="n">
        <v>0.354864617185628</v>
      </c>
      <c r="G1260" s="1" t="n">
        <v>2377.94779976089</v>
      </c>
      <c r="H1260" s="1" t="s">
        <v>710</v>
      </c>
    </row>
    <row r="1261" customFormat="false" ht="14.25" hidden="false" customHeight="true" outlineLevel="0" collapsed="false">
      <c r="A1261" s="1" t="s">
        <v>707</v>
      </c>
      <c r="B1261" s="1" t="s">
        <v>85</v>
      </c>
      <c r="C1261" s="1" t="s">
        <v>702</v>
      </c>
      <c r="D1261" s="1" t="s">
        <v>284</v>
      </c>
      <c r="E1261" s="1" t="n">
        <v>14824</v>
      </c>
      <c r="F1261" s="1" t="n">
        <v>0.354864617185628</v>
      </c>
      <c r="G1261" s="1" t="n">
        <v>5260.51308515975</v>
      </c>
      <c r="H1261" s="1" t="s">
        <v>711</v>
      </c>
    </row>
    <row r="1262" customFormat="false" ht="14.25" hidden="false" customHeight="true" outlineLevel="0" collapsed="false">
      <c r="A1262" s="1" t="s">
        <v>707</v>
      </c>
      <c r="B1262" s="1" t="s">
        <v>85</v>
      </c>
      <c r="C1262" s="1" t="s">
        <v>702</v>
      </c>
      <c r="D1262" s="1" t="s">
        <v>285</v>
      </c>
      <c r="E1262" s="1" t="n">
        <v>4839</v>
      </c>
      <c r="F1262" s="1" t="n">
        <v>0.354864617185628</v>
      </c>
      <c r="G1262" s="1" t="n">
        <v>1717.18988256125</v>
      </c>
      <c r="H1262" s="1" t="s">
        <v>712</v>
      </c>
    </row>
    <row r="1263" customFormat="false" ht="14.25" hidden="false" customHeight="true" outlineLevel="0" collapsed="false">
      <c r="A1263" s="1" t="s">
        <v>707</v>
      </c>
      <c r="B1263" s="1" t="s">
        <v>85</v>
      </c>
      <c r="C1263" s="1" t="s">
        <v>702</v>
      </c>
      <c r="D1263" s="1" t="s">
        <v>282</v>
      </c>
      <c r="E1263" s="1" t="n">
        <v>4839</v>
      </c>
      <c r="F1263" s="1" t="n">
        <v>0.354864617185628</v>
      </c>
      <c r="G1263" s="1" t="n">
        <v>1717.18988256125</v>
      </c>
      <c r="H1263" s="1" t="s">
        <v>712</v>
      </c>
    </row>
    <row r="1264" customFormat="false" ht="14.25" hidden="false" customHeight="true" outlineLevel="0" collapsed="false">
      <c r="A1264" s="1" t="s">
        <v>707</v>
      </c>
      <c r="B1264" s="1" t="s">
        <v>87</v>
      </c>
      <c r="C1264" s="1" t="s">
        <v>701</v>
      </c>
      <c r="D1264" s="1" t="s">
        <v>287</v>
      </c>
      <c r="E1264" s="1" t="n">
        <v>6711</v>
      </c>
      <c r="F1264" s="1" t="n">
        <v>0.189483363159789</v>
      </c>
      <c r="G1264" s="1" t="n">
        <v>1271.62285016534</v>
      </c>
      <c r="H1264" s="1" t="s">
        <v>708</v>
      </c>
    </row>
    <row r="1265" customFormat="false" ht="14.25" hidden="false" customHeight="true" outlineLevel="0" collapsed="false">
      <c r="A1265" s="1" t="s">
        <v>707</v>
      </c>
      <c r="B1265" s="1" t="s">
        <v>87</v>
      </c>
      <c r="C1265" s="1" t="s">
        <v>701</v>
      </c>
      <c r="D1265" s="1" t="s">
        <v>293</v>
      </c>
      <c r="E1265" s="1" t="n">
        <v>3823</v>
      </c>
      <c r="F1265" s="1" t="n">
        <v>0.189483363159789</v>
      </c>
      <c r="G1265" s="1" t="n">
        <v>724.394897359873</v>
      </c>
      <c r="H1265" s="1" t="s">
        <v>709</v>
      </c>
    </row>
    <row r="1266" customFormat="false" ht="14.25" hidden="false" customHeight="true" outlineLevel="0" collapsed="false">
      <c r="A1266" s="1" t="s">
        <v>707</v>
      </c>
      <c r="B1266" s="1" t="s">
        <v>87</v>
      </c>
      <c r="C1266" s="1" t="s">
        <v>701</v>
      </c>
      <c r="D1266" s="1" t="s">
        <v>290</v>
      </c>
      <c r="E1266" s="1" t="n">
        <v>6701</v>
      </c>
      <c r="F1266" s="1" t="n">
        <v>0.189483363159789</v>
      </c>
      <c r="G1266" s="1" t="n">
        <v>1269.72801653375</v>
      </c>
      <c r="H1266" s="1" t="s">
        <v>710</v>
      </c>
    </row>
    <row r="1267" customFormat="false" ht="14.25" hidden="false" customHeight="true" outlineLevel="0" collapsed="false">
      <c r="A1267" s="1" t="s">
        <v>707</v>
      </c>
      <c r="B1267" s="1" t="s">
        <v>87</v>
      </c>
      <c r="C1267" s="1" t="s">
        <v>701</v>
      </c>
      <c r="D1267" s="1" t="s">
        <v>284</v>
      </c>
      <c r="E1267" s="1" t="n">
        <v>14824</v>
      </c>
      <c r="F1267" s="1" t="n">
        <v>0.189483363159789</v>
      </c>
      <c r="G1267" s="1" t="n">
        <v>2808.90137548071</v>
      </c>
      <c r="H1267" s="1" t="s">
        <v>711</v>
      </c>
    </row>
    <row r="1268" customFormat="false" ht="14.25" hidden="false" customHeight="true" outlineLevel="0" collapsed="false">
      <c r="A1268" s="1" t="s">
        <v>707</v>
      </c>
      <c r="B1268" s="1" t="s">
        <v>87</v>
      </c>
      <c r="C1268" s="1" t="s">
        <v>701</v>
      </c>
      <c r="D1268" s="1" t="s">
        <v>285</v>
      </c>
      <c r="E1268" s="1" t="n">
        <v>4839</v>
      </c>
      <c r="F1268" s="1" t="n">
        <v>0.189483363159789</v>
      </c>
      <c r="G1268" s="1" t="n">
        <v>916.909994330219</v>
      </c>
      <c r="H1268" s="1" t="s">
        <v>712</v>
      </c>
    </row>
    <row r="1269" customFormat="false" ht="14.25" hidden="false" customHeight="true" outlineLevel="0" collapsed="false">
      <c r="A1269" s="1" t="s">
        <v>707</v>
      </c>
      <c r="B1269" s="1" t="s">
        <v>87</v>
      </c>
      <c r="C1269" s="1" t="s">
        <v>701</v>
      </c>
      <c r="D1269" s="1" t="s">
        <v>282</v>
      </c>
      <c r="E1269" s="1" t="n">
        <v>4839</v>
      </c>
      <c r="F1269" s="1" t="n">
        <v>0.189483363159789</v>
      </c>
      <c r="G1269" s="1" t="n">
        <v>916.909994330219</v>
      </c>
      <c r="H1269" s="1" t="s">
        <v>712</v>
      </c>
    </row>
    <row r="1270" customFormat="false" ht="14.25" hidden="false" customHeight="true" outlineLevel="0" collapsed="false">
      <c r="A1270" s="1" t="s">
        <v>707</v>
      </c>
      <c r="B1270" s="1" t="s">
        <v>35</v>
      </c>
      <c r="C1270" s="1" t="s">
        <v>35</v>
      </c>
      <c r="D1270" s="1" t="s">
        <v>287</v>
      </c>
      <c r="E1270" s="1" t="n">
        <v>6711</v>
      </c>
      <c r="F1270" s="1" t="n">
        <v>0.121489966963165</v>
      </c>
      <c r="G1270" s="1" t="n">
        <v>815.3191682898</v>
      </c>
      <c r="H1270" s="1" t="s">
        <v>708</v>
      </c>
    </row>
    <row r="1271" customFormat="false" ht="14.25" hidden="false" customHeight="true" outlineLevel="0" collapsed="false">
      <c r="A1271" s="1" t="s">
        <v>707</v>
      </c>
      <c r="B1271" s="1" t="s">
        <v>35</v>
      </c>
      <c r="C1271" s="1" t="s">
        <v>35</v>
      </c>
      <c r="D1271" s="1" t="s">
        <v>293</v>
      </c>
      <c r="E1271" s="1" t="n">
        <v>3823</v>
      </c>
      <c r="F1271" s="1" t="n">
        <v>0.121489966963165</v>
      </c>
      <c r="G1271" s="1" t="n">
        <v>464.45614370018</v>
      </c>
      <c r="H1271" s="1" t="s">
        <v>709</v>
      </c>
    </row>
    <row r="1272" customFormat="false" ht="14.25" hidden="false" customHeight="true" outlineLevel="0" collapsed="false">
      <c r="A1272" s="1" t="s">
        <v>707</v>
      </c>
      <c r="B1272" s="1" t="s">
        <v>35</v>
      </c>
      <c r="C1272" s="1" t="s">
        <v>35</v>
      </c>
      <c r="D1272" s="1" t="s">
        <v>290</v>
      </c>
      <c r="E1272" s="1" t="n">
        <v>6701</v>
      </c>
      <c r="F1272" s="1" t="n">
        <v>0.121489966963165</v>
      </c>
      <c r="G1272" s="1" t="n">
        <v>814.104268620169</v>
      </c>
      <c r="H1272" s="1" t="s">
        <v>710</v>
      </c>
    </row>
    <row r="1273" customFormat="false" ht="14.25" hidden="false" customHeight="true" outlineLevel="0" collapsed="false">
      <c r="A1273" s="1" t="s">
        <v>707</v>
      </c>
      <c r="B1273" s="1" t="s">
        <v>35</v>
      </c>
      <c r="C1273" s="1" t="s">
        <v>35</v>
      </c>
      <c r="D1273" s="1" t="s">
        <v>284</v>
      </c>
      <c r="E1273" s="1" t="n">
        <v>14824</v>
      </c>
      <c r="F1273" s="1" t="n">
        <v>0.121489966963165</v>
      </c>
      <c r="G1273" s="1" t="n">
        <v>1800.96727026196</v>
      </c>
      <c r="H1273" s="1" t="s">
        <v>711</v>
      </c>
    </row>
    <row r="1274" customFormat="false" ht="14.25" hidden="false" customHeight="true" outlineLevel="0" collapsed="false">
      <c r="A1274" s="1" t="s">
        <v>707</v>
      </c>
      <c r="B1274" s="1" t="s">
        <v>35</v>
      </c>
      <c r="C1274" s="1" t="s">
        <v>35</v>
      </c>
      <c r="D1274" s="1" t="s">
        <v>285</v>
      </c>
      <c r="E1274" s="1" t="n">
        <v>4839</v>
      </c>
      <c r="F1274" s="1" t="n">
        <v>0.121489966963165</v>
      </c>
      <c r="G1274" s="1" t="n">
        <v>587.889950134755</v>
      </c>
      <c r="H1274" s="1" t="s">
        <v>712</v>
      </c>
    </row>
    <row r="1275" customFormat="false" ht="14.25" hidden="false" customHeight="true" outlineLevel="0" collapsed="false">
      <c r="A1275" s="1" t="s">
        <v>707</v>
      </c>
      <c r="B1275" s="1" t="s">
        <v>35</v>
      </c>
      <c r="C1275" s="1" t="s">
        <v>35</v>
      </c>
      <c r="D1275" s="1" t="s">
        <v>282</v>
      </c>
      <c r="E1275" s="1" t="n">
        <v>4839</v>
      </c>
      <c r="F1275" s="1" t="n">
        <v>0.121489966963165</v>
      </c>
      <c r="G1275" s="1" t="n">
        <v>587.889950134755</v>
      </c>
      <c r="H1275" s="1" t="s">
        <v>712</v>
      </c>
    </row>
    <row r="1276" customFormat="false" ht="14.25" hidden="false" customHeight="true" outlineLevel="0" collapsed="false">
      <c r="A1276" s="1" t="s">
        <v>707</v>
      </c>
      <c r="B1276" s="1" t="s">
        <v>40</v>
      </c>
      <c r="C1276" s="1" t="s">
        <v>40</v>
      </c>
      <c r="D1276" s="1" t="s">
        <v>287</v>
      </c>
      <c r="E1276" s="1" t="n">
        <v>6711</v>
      </c>
      <c r="F1276" s="1" t="n">
        <v>0.206774854369887</v>
      </c>
      <c r="G1276" s="1" t="n">
        <v>1387.66604767631</v>
      </c>
      <c r="H1276" s="1" t="s">
        <v>708</v>
      </c>
    </row>
    <row r="1277" customFormat="false" ht="14.25" hidden="false" customHeight="true" outlineLevel="0" collapsed="false">
      <c r="A1277" s="1" t="s">
        <v>707</v>
      </c>
      <c r="B1277" s="1" t="s">
        <v>40</v>
      </c>
      <c r="C1277" s="1" t="s">
        <v>40</v>
      </c>
      <c r="D1277" s="1" t="s">
        <v>293</v>
      </c>
      <c r="E1277" s="1" t="n">
        <v>3823</v>
      </c>
      <c r="F1277" s="1" t="n">
        <v>0.206774854369887</v>
      </c>
      <c r="G1277" s="1" t="n">
        <v>790.500268256078</v>
      </c>
      <c r="H1277" s="1" t="s">
        <v>709</v>
      </c>
    </row>
    <row r="1278" customFormat="false" ht="14.25" hidden="false" customHeight="true" outlineLevel="0" collapsed="false">
      <c r="A1278" s="1" t="s">
        <v>707</v>
      </c>
      <c r="B1278" s="1" t="s">
        <v>40</v>
      </c>
      <c r="C1278" s="1" t="s">
        <v>40</v>
      </c>
      <c r="D1278" s="1" t="s">
        <v>290</v>
      </c>
      <c r="E1278" s="1" t="n">
        <v>6701</v>
      </c>
      <c r="F1278" s="1" t="n">
        <v>0.206774854369887</v>
      </c>
      <c r="G1278" s="1" t="n">
        <v>1385.59829913261</v>
      </c>
      <c r="H1278" s="1" t="s">
        <v>710</v>
      </c>
    </row>
    <row r="1279" customFormat="false" ht="14.25" hidden="false" customHeight="true" outlineLevel="0" collapsed="false">
      <c r="A1279" s="1" t="s">
        <v>707</v>
      </c>
      <c r="B1279" s="1" t="s">
        <v>40</v>
      </c>
      <c r="C1279" s="1" t="s">
        <v>40</v>
      </c>
      <c r="D1279" s="1" t="s">
        <v>284</v>
      </c>
      <c r="E1279" s="1" t="n">
        <v>14824</v>
      </c>
      <c r="F1279" s="1" t="n">
        <v>0.206774854369887</v>
      </c>
      <c r="G1279" s="1" t="n">
        <v>3065.23044117921</v>
      </c>
      <c r="H1279" s="1" t="s">
        <v>711</v>
      </c>
    </row>
    <row r="1280" customFormat="false" ht="14.25" hidden="false" customHeight="true" outlineLevel="0" collapsed="false">
      <c r="A1280" s="1" t="s">
        <v>707</v>
      </c>
      <c r="B1280" s="1" t="s">
        <v>40</v>
      </c>
      <c r="C1280" s="1" t="s">
        <v>40</v>
      </c>
      <c r="D1280" s="1" t="s">
        <v>285</v>
      </c>
      <c r="E1280" s="1" t="n">
        <v>4839</v>
      </c>
      <c r="F1280" s="1" t="n">
        <v>0.206774854369887</v>
      </c>
      <c r="G1280" s="1" t="n">
        <v>1000.58352029588</v>
      </c>
      <c r="H1280" s="1" t="s">
        <v>712</v>
      </c>
    </row>
    <row r="1281" customFormat="false" ht="14.25" hidden="false" customHeight="true" outlineLevel="0" collapsed="false">
      <c r="A1281" s="1" t="s">
        <v>707</v>
      </c>
      <c r="B1281" s="1" t="s">
        <v>40</v>
      </c>
      <c r="C1281" s="1" t="s">
        <v>40</v>
      </c>
      <c r="D1281" s="1" t="s">
        <v>282</v>
      </c>
      <c r="E1281" s="1" t="n">
        <v>4839</v>
      </c>
      <c r="F1281" s="1" t="n">
        <v>0.206774854369887</v>
      </c>
      <c r="G1281" s="1" t="n">
        <v>1000.58352029588</v>
      </c>
      <c r="H1281" s="1" t="s">
        <v>712</v>
      </c>
    </row>
    <row r="1282" customFormat="false" ht="14.25" hidden="false" customHeight="true" outlineLevel="0" collapsed="false">
      <c r="A1282" s="1" t="s">
        <v>707</v>
      </c>
      <c r="B1282" s="1" t="s">
        <v>41</v>
      </c>
      <c r="C1282" s="1" t="s">
        <v>41</v>
      </c>
      <c r="D1282" s="1" t="s">
        <v>287</v>
      </c>
      <c r="E1282" s="1" t="n">
        <v>6711</v>
      </c>
      <c r="F1282" s="1" t="n">
        <v>0.100200858026981</v>
      </c>
      <c r="G1282" s="1" t="n">
        <v>672.44795821907</v>
      </c>
      <c r="H1282" s="1" t="s">
        <v>708</v>
      </c>
    </row>
    <row r="1283" customFormat="false" ht="14.25" hidden="false" customHeight="true" outlineLevel="0" collapsed="false">
      <c r="A1283" s="1" t="s">
        <v>707</v>
      </c>
      <c r="B1283" s="1" t="s">
        <v>41</v>
      </c>
      <c r="C1283" s="1" t="s">
        <v>41</v>
      </c>
      <c r="D1283" s="1" t="s">
        <v>293</v>
      </c>
      <c r="E1283" s="1" t="n">
        <v>3823</v>
      </c>
      <c r="F1283" s="1" t="n">
        <v>0.100200858026981</v>
      </c>
      <c r="G1283" s="1" t="n">
        <v>383.067880237148</v>
      </c>
      <c r="H1283" s="1" t="s">
        <v>709</v>
      </c>
    </row>
    <row r="1284" customFormat="false" ht="14.25" hidden="false" customHeight="true" outlineLevel="0" collapsed="false">
      <c r="A1284" s="1" t="s">
        <v>707</v>
      </c>
      <c r="B1284" s="1" t="s">
        <v>41</v>
      </c>
      <c r="C1284" s="1" t="s">
        <v>41</v>
      </c>
      <c r="D1284" s="1" t="s">
        <v>290</v>
      </c>
      <c r="E1284" s="1" t="n">
        <v>6701</v>
      </c>
      <c r="F1284" s="1" t="n">
        <v>0.100200858026981</v>
      </c>
      <c r="G1284" s="1" t="n">
        <v>671.4459496388</v>
      </c>
      <c r="H1284" s="1" t="s">
        <v>710</v>
      </c>
    </row>
    <row r="1285" customFormat="false" ht="14.25" hidden="false" customHeight="true" outlineLevel="0" collapsed="false">
      <c r="A1285" s="1" t="s">
        <v>707</v>
      </c>
      <c r="B1285" s="1" t="s">
        <v>41</v>
      </c>
      <c r="C1285" s="1" t="s">
        <v>41</v>
      </c>
      <c r="D1285" s="1" t="s">
        <v>284</v>
      </c>
      <c r="E1285" s="1" t="n">
        <v>14824</v>
      </c>
      <c r="F1285" s="1" t="n">
        <v>0.100200858026981</v>
      </c>
      <c r="G1285" s="1" t="n">
        <v>1485.37751939197</v>
      </c>
      <c r="H1285" s="1" t="s">
        <v>711</v>
      </c>
    </row>
    <row r="1286" customFormat="false" ht="14.25" hidden="false" customHeight="true" outlineLevel="0" collapsed="false">
      <c r="A1286" s="1" t="s">
        <v>707</v>
      </c>
      <c r="B1286" s="1" t="s">
        <v>41</v>
      </c>
      <c r="C1286" s="1" t="s">
        <v>41</v>
      </c>
      <c r="D1286" s="1" t="s">
        <v>285</v>
      </c>
      <c r="E1286" s="1" t="n">
        <v>4839</v>
      </c>
      <c r="F1286" s="1" t="n">
        <v>0.100200858026981</v>
      </c>
      <c r="G1286" s="1" t="n">
        <v>484.871951992561</v>
      </c>
      <c r="H1286" s="1" t="s">
        <v>712</v>
      </c>
    </row>
    <row r="1287" customFormat="false" ht="14.25" hidden="false" customHeight="true" outlineLevel="0" collapsed="false">
      <c r="A1287" s="1" t="s">
        <v>707</v>
      </c>
      <c r="B1287" s="1" t="s">
        <v>41</v>
      </c>
      <c r="C1287" s="1" t="s">
        <v>41</v>
      </c>
      <c r="D1287" s="1" t="s">
        <v>282</v>
      </c>
      <c r="E1287" s="1" t="n">
        <v>4839</v>
      </c>
      <c r="F1287" s="1" t="n">
        <v>0.100200858026981</v>
      </c>
      <c r="G1287" s="1" t="n">
        <v>484.871951992561</v>
      </c>
      <c r="H1287" s="1" t="s">
        <v>712</v>
      </c>
    </row>
    <row r="1288" customFormat="false" ht="14.25" hidden="false" customHeight="true" outlineLevel="0" collapsed="false">
      <c r="A1288" s="1" t="s">
        <v>707</v>
      </c>
      <c r="B1288" s="1" t="s">
        <v>141</v>
      </c>
      <c r="C1288" s="1" t="s">
        <v>528</v>
      </c>
      <c r="D1288" s="1" t="s">
        <v>287</v>
      </c>
      <c r="E1288" s="1" t="n">
        <v>6711</v>
      </c>
      <c r="F1288" s="1" t="n">
        <v>0.127886007343671</v>
      </c>
      <c r="G1288" s="1" t="n">
        <v>858.242995283376</v>
      </c>
      <c r="H1288" s="1" t="s">
        <v>720</v>
      </c>
    </row>
    <row r="1289" customFormat="false" ht="14.25" hidden="false" customHeight="true" outlineLevel="0" collapsed="false">
      <c r="A1289" s="1" t="s">
        <v>707</v>
      </c>
      <c r="B1289" s="1" t="s">
        <v>141</v>
      </c>
      <c r="C1289" s="1" t="s">
        <v>528</v>
      </c>
      <c r="D1289" s="1" t="s">
        <v>293</v>
      </c>
      <c r="E1289" s="1" t="n">
        <v>3823</v>
      </c>
      <c r="F1289" s="1" t="n">
        <v>0.127886007343671</v>
      </c>
      <c r="G1289" s="1" t="n">
        <v>488.908206074854</v>
      </c>
      <c r="H1289" s="1" t="s">
        <v>721</v>
      </c>
    </row>
    <row r="1290" customFormat="false" ht="14.25" hidden="false" customHeight="true" outlineLevel="0" collapsed="false">
      <c r="A1290" s="1" t="s">
        <v>707</v>
      </c>
      <c r="B1290" s="1" t="s">
        <v>141</v>
      </c>
      <c r="C1290" s="1" t="s">
        <v>528</v>
      </c>
      <c r="D1290" s="1" t="s">
        <v>290</v>
      </c>
      <c r="E1290" s="1" t="n">
        <v>6701</v>
      </c>
      <c r="F1290" s="1" t="n">
        <v>0.127886007343671</v>
      </c>
      <c r="G1290" s="1" t="n">
        <v>856.964135209939</v>
      </c>
      <c r="H1290" s="1" t="s">
        <v>722</v>
      </c>
    </row>
    <row r="1291" customFormat="false" ht="14.25" hidden="false" customHeight="true" outlineLevel="0" collapsed="false">
      <c r="A1291" s="1" t="s">
        <v>707</v>
      </c>
      <c r="B1291" s="1" t="s">
        <v>141</v>
      </c>
      <c r="C1291" s="1" t="s">
        <v>528</v>
      </c>
      <c r="D1291" s="1" t="s">
        <v>284</v>
      </c>
      <c r="E1291" s="1" t="n">
        <v>14824</v>
      </c>
      <c r="F1291" s="1" t="n">
        <v>0.127886007343671</v>
      </c>
      <c r="G1291" s="1" t="n">
        <v>1895.78217286258</v>
      </c>
      <c r="H1291" s="1" t="s">
        <v>723</v>
      </c>
    </row>
    <row r="1292" customFormat="false" ht="14.25" hidden="false" customHeight="true" outlineLevel="0" collapsed="false">
      <c r="A1292" s="1" t="s">
        <v>707</v>
      </c>
      <c r="B1292" s="1" t="s">
        <v>141</v>
      </c>
      <c r="C1292" s="1" t="s">
        <v>528</v>
      </c>
      <c r="D1292" s="1" t="s">
        <v>285</v>
      </c>
      <c r="E1292" s="1" t="n">
        <v>4839</v>
      </c>
      <c r="F1292" s="1" t="n">
        <v>0.127886007343671</v>
      </c>
      <c r="G1292" s="1" t="n">
        <v>618.840389536024</v>
      </c>
      <c r="H1292" s="1" t="s">
        <v>724</v>
      </c>
    </row>
    <row r="1293" customFormat="false" ht="14.25" hidden="false" customHeight="true" outlineLevel="0" collapsed="false">
      <c r="A1293" s="1" t="s">
        <v>707</v>
      </c>
      <c r="B1293" s="1" t="s">
        <v>141</v>
      </c>
      <c r="C1293" s="1" t="s">
        <v>528</v>
      </c>
      <c r="D1293" s="1" t="s">
        <v>282</v>
      </c>
      <c r="E1293" s="1" t="n">
        <v>4839</v>
      </c>
      <c r="F1293" s="1" t="n">
        <v>0.127886007343671</v>
      </c>
      <c r="G1293" s="1" t="n">
        <v>618.840389536024</v>
      </c>
      <c r="H1293" s="1" t="s">
        <v>724</v>
      </c>
    </row>
    <row r="1294" customFormat="false" ht="14.25" hidden="false" customHeight="true" outlineLevel="0" collapsed="false">
      <c r="A1294" s="1" t="s">
        <v>707</v>
      </c>
      <c r="B1294" s="1" t="s">
        <v>80</v>
      </c>
      <c r="C1294" s="1" t="s">
        <v>80</v>
      </c>
      <c r="D1294" s="1" t="s">
        <v>287</v>
      </c>
      <c r="E1294" s="1" t="n">
        <v>6711</v>
      </c>
      <c r="F1294" s="1" t="n">
        <v>0.0592394872348271</v>
      </c>
      <c r="G1294" s="1" t="n">
        <v>397.556198832925</v>
      </c>
      <c r="H1294" s="1" t="s">
        <v>708</v>
      </c>
    </row>
    <row r="1295" customFormat="false" ht="14.25" hidden="false" customHeight="true" outlineLevel="0" collapsed="false">
      <c r="A1295" s="1" t="s">
        <v>707</v>
      </c>
      <c r="B1295" s="1" t="s">
        <v>80</v>
      </c>
      <c r="C1295" s="1" t="s">
        <v>80</v>
      </c>
      <c r="D1295" s="1" t="s">
        <v>293</v>
      </c>
      <c r="E1295" s="1" t="n">
        <v>3823</v>
      </c>
      <c r="F1295" s="1" t="n">
        <v>0.0592394872348271</v>
      </c>
      <c r="G1295" s="1" t="n">
        <v>226.472559698744</v>
      </c>
      <c r="H1295" s="1" t="s">
        <v>709</v>
      </c>
    </row>
    <row r="1296" customFormat="false" ht="14.25" hidden="false" customHeight="true" outlineLevel="0" collapsed="false">
      <c r="A1296" s="1" t="s">
        <v>707</v>
      </c>
      <c r="B1296" s="1" t="s">
        <v>80</v>
      </c>
      <c r="C1296" s="1" t="s">
        <v>80</v>
      </c>
      <c r="D1296" s="1" t="s">
        <v>290</v>
      </c>
      <c r="E1296" s="1" t="n">
        <v>6701</v>
      </c>
      <c r="F1296" s="1" t="n">
        <v>0.0592394872348271</v>
      </c>
      <c r="G1296" s="1" t="n">
        <v>396.963803960576</v>
      </c>
      <c r="H1296" s="1" t="s">
        <v>710</v>
      </c>
    </row>
    <row r="1297" customFormat="false" ht="14.25" hidden="false" customHeight="true" outlineLevel="0" collapsed="false">
      <c r="A1297" s="1" t="s">
        <v>707</v>
      </c>
      <c r="B1297" s="1" t="s">
        <v>80</v>
      </c>
      <c r="C1297" s="1" t="s">
        <v>80</v>
      </c>
      <c r="D1297" s="1" t="s">
        <v>284</v>
      </c>
      <c r="E1297" s="1" t="n">
        <v>14824</v>
      </c>
      <c r="F1297" s="1" t="n">
        <v>0.0592394872348271</v>
      </c>
      <c r="G1297" s="1" t="n">
        <v>878.166158769077</v>
      </c>
      <c r="H1297" s="1" t="s">
        <v>711</v>
      </c>
    </row>
    <row r="1298" customFormat="false" ht="14.25" hidden="false" customHeight="true" outlineLevel="0" collapsed="false">
      <c r="A1298" s="1" t="s">
        <v>707</v>
      </c>
      <c r="B1298" s="1" t="s">
        <v>80</v>
      </c>
      <c r="C1298" s="1" t="s">
        <v>80</v>
      </c>
      <c r="D1298" s="1" t="s">
        <v>285</v>
      </c>
      <c r="E1298" s="1" t="n">
        <v>4839</v>
      </c>
      <c r="F1298" s="1" t="n">
        <v>0.0592394872348271</v>
      </c>
      <c r="G1298" s="1" t="n">
        <v>286.659878729328</v>
      </c>
      <c r="H1298" s="1" t="s">
        <v>712</v>
      </c>
    </row>
    <row r="1299" customFormat="false" ht="14.25" hidden="false" customHeight="true" outlineLevel="0" collapsed="false">
      <c r="A1299" s="1" t="s">
        <v>707</v>
      </c>
      <c r="B1299" s="1" t="s">
        <v>80</v>
      </c>
      <c r="C1299" s="1" t="s">
        <v>80</v>
      </c>
      <c r="D1299" s="1" t="s">
        <v>282</v>
      </c>
      <c r="E1299" s="1" t="n">
        <v>4839</v>
      </c>
      <c r="F1299" s="1" t="n">
        <v>0.0592394872348271</v>
      </c>
      <c r="G1299" s="1" t="n">
        <v>286.659878729328</v>
      </c>
      <c r="H1299" s="1" t="s">
        <v>712</v>
      </c>
    </row>
    <row r="1300" customFormat="false" ht="14.25" hidden="false" customHeight="true" outlineLevel="0" collapsed="false">
      <c r="A1300" s="1" t="s">
        <v>707</v>
      </c>
      <c r="B1300" s="1" t="s">
        <v>42</v>
      </c>
      <c r="C1300" s="1" t="s">
        <v>42</v>
      </c>
      <c r="D1300" s="1" t="s">
        <v>287</v>
      </c>
      <c r="E1300" s="1" t="n">
        <v>6711</v>
      </c>
      <c r="F1300" s="1" t="n">
        <v>0.146015404816941</v>
      </c>
      <c r="G1300" s="1" t="n">
        <v>979.909381726491</v>
      </c>
      <c r="H1300" s="1" t="s">
        <v>708</v>
      </c>
    </row>
    <row r="1301" customFormat="false" ht="14.25" hidden="false" customHeight="true" outlineLevel="0" collapsed="false">
      <c r="A1301" s="1" t="s">
        <v>707</v>
      </c>
      <c r="B1301" s="1" t="s">
        <v>42</v>
      </c>
      <c r="C1301" s="1" t="s">
        <v>42</v>
      </c>
      <c r="D1301" s="1" t="s">
        <v>293</v>
      </c>
      <c r="E1301" s="1" t="n">
        <v>3823</v>
      </c>
      <c r="F1301" s="1" t="n">
        <v>0.146015404816941</v>
      </c>
      <c r="G1301" s="1" t="n">
        <v>558.216892615165</v>
      </c>
      <c r="H1301" s="1" t="s">
        <v>709</v>
      </c>
    </row>
    <row r="1302" customFormat="false" ht="14.25" hidden="false" customHeight="true" outlineLevel="0" collapsed="false">
      <c r="A1302" s="1" t="s">
        <v>707</v>
      </c>
      <c r="B1302" s="1" t="s">
        <v>42</v>
      </c>
      <c r="C1302" s="1" t="s">
        <v>42</v>
      </c>
      <c r="D1302" s="1" t="s">
        <v>290</v>
      </c>
      <c r="E1302" s="1" t="n">
        <v>6701</v>
      </c>
      <c r="F1302" s="1" t="n">
        <v>0.146015404816941</v>
      </c>
      <c r="G1302" s="1" t="n">
        <v>978.449227678322</v>
      </c>
      <c r="H1302" s="1" t="s">
        <v>710</v>
      </c>
    </row>
    <row r="1303" customFormat="false" ht="14.25" hidden="false" customHeight="true" outlineLevel="0" collapsed="false">
      <c r="A1303" s="1" t="s">
        <v>707</v>
      </c>
      <c r="B1303" s="1" t="s">
        <v>42</v>
      </c>
      <c r="C1303" s="1" t="s">
        <v>42</v>
      </c>
      <c r="D1303" s="1" t="s">
        <v>284</v>
      </c>
      <c r="E1303" s="1" t="n">
        <v>14824</v>
      </c>
      <c r="F1303" s="1" t="n">
        <v>0.146015404816941</v>
      </c>
      <c r="G1303" s="1" t="n">
        <v>2164.53236100633</v>
      </c>
      <c r="H1303" s="1" t="s">
        <v>711</v>
      </c>
    </row>
    <row r="1304" customFormat="false" ht="14.25" hidden="false" customHeight="true" outlineLevel="0" collapsed="false">
      <c r="A1304" s="1" t="s">
        <v>707</v>
      </c>
      <c r="B1304" s="1" t="s">
        <v>42</v>
      </c>
      <c r="C1304" s="1" t="s">
        <v>42</v>
      </c>
      <c r="D1304" s="1" t="s">
        <v>285</v>
      </c>
      <c r="E1304" s="1" t="n">
        <v>4839</v>
      </c>
      <c r="F1304" s="1" t="n">
        <v>0.146015404816941</v>
      </c>
      <c r="G1304" s="1" t="n">
        <v>706.568543909178</v>
      </c>
      <c r="H1304" s="1" t="s">
        <v>712</v>
      </c>
    </row>
    <row r="1305" customFormat="false" ht="14.25" hidden="false" customHeight="true" outlineLevel="0" collapsed="false">
      <c r="A1305" s="1" t="s">
        <v>707</v>
      </c>
      <c r="B1305" s="1" t="s">
        <v>42</v>
      </c>
      <c r="C1305" s="1" t="s">
        <v>42</v>
      </c>
      <c r="D1305" s="1" t="s">
        <v>282</v>
      </c>
      <c r="E1305" s="1" t="n">
        <v>4839</v>
      </c>
      <c r="F1305" s="1" t="n">
        <v>0.146015404816941</v>
      </c>
      <c r="G1305" s="1" t="n">
        <v>706.568543909178</v>
      </c>
      <c r="H1305" s="1" t="s">
        <v>712</v>
      </c>
    </row>
    <row r="1306" customFormat="false" ht="14.25" hidden="false" customHeight="true" outlineLevel="0" collapsed="false">
      <c r="A1306" s="1" t="s">
        <v>707</v>
      </c>
      <c r="B1306" s="1" t="s">
        <v>36</v>
      </c>
      <c r="C1306" s="1" t="s">
        <v>36</v>
      </c>
      <c r="D1306" s="1" t="s">
        <v>287</v>
      </c>
      <c r="E1306" s="1" t="n">
        <v>6711</v>
      </c>
      <c r="F1306" s="1" t="n">
        <v>0.385410473461211</v>
      </c>
      <c r="G1306" s="1" t="n">
        <v>2586.48968739819</v>
      </c>
      <c r="H1306" s="1" t="s">
        <v>708</v>
      </c>
    </row>
    <row r="1307" customFormat="false" ht="14.25" hidden="false" customHeight="true" outlineLevel="0" collapsed="false">
      <c r="A1307" s="1" t="s">
        <v>707</v>
      </c>
      <c r="B1307" s="1" t="s">
        <v>36</v>
      </c>
      <c r="C1307" s="1" t="s">
        <v>36</v>
      </c>
      <c r="D1307" s="1" t="s">
        <v>293</v>
      </c>
      <c r="E1307" s="1" t="n">
        <v>3823</v>
      </c>
      <c r="F1307" s="1" t="n">
        <v>0.385410473461211</v>
      </c>
      <c r="G1307" s="1" t="n">
        <v>1473.42424004221</v>
      </c>
      <c r="H1307" s="1" t="s">
        <v>709</v>
      </c>
    </row>
    <row r="1308" customFormat="false" ht="14.25" hidden="false" customHeight="true" outlineLevel="0" collapsed="false">
      <c r="A1308" s="1" t="s">
        <v>707</v>
      </c>
      <c r="B1308" s="1" t="s">
        <v>36</v>
      </c>
      <c r="C1308" s="1" t="s">
        <v>36</v>
      </c>
      <c r="D1308" s="1" t="s">
        <v>290</v>
      </c>
      <c r="E1308" s="1" t="n">
        <v>6701</v>
      </c>
      <c r="F1308" s="1" t="n">
        <v>0.385410473461211</v>
      </c>
      <c r="G1308" s="1" t="n">
        <v>2582.63558266358</v>
      </c>
      <c r="H1308" s="1" t="s">
        <v>710</v>
      </c>
    </row>
    <row r="1309" customFormat="false" ht="14.25" hidden="false" customHeight="true" outlineLevel="0" collapsed="false">
      <c r="A1309" s="1" t="s">
        <v>707</v>
      </c>
      <c r="B1309" s="1" t="s">
        <v>36</v>
      </c>
      <c r="C1309" s="1" t="s">
        <v>36</v>
      </c>
      <c r="D1309" s="1" t="s">
        <v>284</v>
      </c>
      <c r="E1309" s="1" t="n">
        <v>14824</v>
      </c>
      <c r="F1309" s="1" t="n">
        <v>0.385410473461211</v>
      </c>
      <c r="G1309" s="1" t="n">
        <v>5713.32485858899</v>
      </c>
      <c r="H1309" s="1" t="s">
        <v>711</v>
      </c>
    </row>
    <row r="1310" customFormat="false" ht="14.25" hidden="false" customHeight="true" outlineLevel="0" collapsed="false">
      <c r="A1310" s="1" t="s">
        <v>707</v>
      </c>
      <c r="B1310" s="1" t="s">
        <v>36</v>
      </c>
      <c r="C1310" s="1" t="s">
        <v>36</v>
      </c>
      <c r="D1310" s="1" t="s">
        <v>285</v>
      </c>
      <c r="E1310" s="1" t="n">
        <v>4839</v>
      </c>
      <c r="F1310" s="1" t="n">
        <v>0.385410473461211</v>
      </c>
      <c r="G1310" s="1" t="n">
        <v>1865.0012810788</v>
      </c>
      <c r="H1310" s="1" t="s">
        <v>712</v>
      </c>
    </row>
    <row r="1311" customFormat="false" ht="14.25" hidden="false" customHeight="true" outlineLevel="0" collapsed="false">
      <c r="A1311" s="1" t="s">
        <v>707</v>
      </c>
      <c r="B1311" s="1" t="s">
        <v>36</v>
      </c>
      <c r="C1311" s="1" t="s">
        <v>36</v>
      </c>
      <c r="D1311" s="1" t="s">
        <v>282</v>
      </c>
      <c r="E1311" s="1" t="n">
        <v>4839</v>
      </c>
      <c r="F1311" s="1" t="n">
        <v>0.385410473461211</v>
      </c>
      <c r="G1311" s="1" t="n">
        <v>1865.0012810788</v>
      </c>
      <c r="H1311" s="1" t="s">
        <v>712</v>
      </c>
    </row>
    <row r="1312" customFormat="false" ht="14.25" hidden="false" customHeight="true" outlineLevel="0" collapsed="false">
      <c r="A1312" s="1" t="s">
        <v>707</v>
      </c>
      <c r="B1312" s="1" t="s">
        <v>34</v>
      </c>
      <c r="C1312" s="1" t="s">
        <v>34</v>
      </c>
      <c r="D1312" s="1" t="s">
        <v>287</v>
      </c>
      <c r="E1312" s="1" t="n">
        <v>6711</v>
      </c>
      <c r="F1312" s="1" t="n">
        <v>0.301559381974413</v>
      </c>
      <c r="G1312" s="1" t="n">
        <v>2023.76501243029</v>
      </c>
      <c r="H1312" s="1" t="s">
        <v>708</v>
      </c>
    </row>
    <row r="1313" customFormat="false" ht="14.25" hidden="false" customHeight="true" outlineLevel="0" collapsed="false">
      <c r="A1313" s="1" t="s">
        <v>707</v>
      </c>
      <c r="B1313" s="1" t="s">
        <v>34</v>
      </c>
      <c r="C1313" s="1" t="s">
        <v>34</v>
      </c>
      <c r="D1313" s="1" t="s">
        <v>289</v>
      </c>
      <c r="E1313" s="1" t="n">
        <v>13611</v>
      </c>
      <c r="F1313" s="1" t="n">
        <v>0.301559381974413</v>
      </c>
      <c r="G1313" s="1" t="n">
        <v>4104.52474805374</v>
      </c>
      <c r="H1313" s="1" t="s">
        <v>713</v>
      </c>
    </row>
    <row r="1314" customFormat="false" ht="14.25" hidden="false" customHeight="true" outlineLevel="0" collapsed="false">
      <c r="A1314" s="1" t="s">
        <v>707</v>
      </c>
      <c r="B1314" s="1" t="s">
        <v>34</v>
      </c>
      <c r="C1314" s="1" t="s">
        <v>34</v>
      </c>
      <c r="D1314" s="1" t="s">
        <v>293</v>
      </c>
      <c r="E1314" s="1" t="n">
        <v>3823</v>
      </c>
      <c r="F1314" s="1" t="n">
        <v>0.301559381974413</v>
      </c>
      <c r="G1314" s="1" t="n">
        <v>1152.86151728818</v>
      </c>
      <c r="H1314" s="1" t="s">
        <v>709</v>
      </c>
    </row>
    <row r="1315" customFormat="false" ht="14.25" hidden="false" customHeight="true" outlineLevel="0" collapsed="false">
      <c r="A1315" s="1" t="s">
        <v>707</v>
      </c>
      <c r="B1315" s="1" t="s">
        <v>34</v>
      </c>
      <c r="C1315" s="1" t="s">
        <v>34</v>
      </c>
      <c r="D1315" s="1" t="s">
        <v>290</v>
      </c>
      <c r="E1315" s="1" t="n">
        <v>6701</v>
      </c>
      <c r="F1315" s="1" t="n">
        <v>0.301559381974413</v>
      </c>
      <c r="G1315" s="1" t="n">
        <v>2020.74941861054</v>
      </c>
      <c r="H1315" s="1" t="s">
        <v>710</v>
      </c>
    </row>
    <row r="1316" customFormat="false" ht="14.25" hidden="false" customHeight="true" outlineLevel="0" collapsed="false">
      <c r="A1316" s="1" t="s">
        <v>707</v>
      </c>
      <c r="B1316" s="1" t="s">
        <v>34</v>
      </c>
      <c r="C1316" s="1" t="s">
        <v>34</v>
      </c>
      <c r="D1316" s="1" t="s">
        <v>284</v>
      </c>
      <c r="E1316" s="1" t="n">
        <v>14824</v>
      </c>
      <c r="F1316" s="1" t="n">
        <v>0.301559381974413</v>
      </c>
      <c r="G1316" s="1" t="n">
        <v>4470.3162783887</v>
      </c>
      <c r="H1316" s="1" t="s">
        <v>711</v>
      </c>
    </row>
    <row r="1317" customFormat="false" ht="14.25" hidden="false" customHeight="true" outlineLevel="0" collapsed="false">
      <c r="A1317" s="1" t="s">
        <v>707</v>
      </c>
      <c r="B1317" s="1" t="s">
        <v>34</v>
      </c>
      <c r="C1317" s="1" t="s">
        <v>34</v>
      </c>
      <c r="D1317" s="1" t="s">
        <v>285</v>
      </c>
      <c r="E1317" s="1" t="n">
        <v>4839</v>
      </c>
      <c r="F1317" s="1" t="n">
        <v>0.301559381974413</v>
      </c>
      <c r="G1317" s="1" t="n">
        <v>1459.24584937418</v>
      </c>
      <c r="H1317" s="1" t="s">
        <v>712</v>
      </c>
    </row>
    <row r="1318" customFormat="false" ht="14.25" hidden="false" customHeight="true" outlineLevel="0" collapsed="false">
      <c r="A1318" s="1" t="s">
        <v>707</v>
      </c>
      <c r="B1318" s="1" t="s">
        <v>34</v>
      </c>
      <c r="C1318" s="1" t="s">
        <v>34</v>
      </c>
      <c r="D1318" s="1" t="s">
        <v>282</v>
      </c>
      <c r="E1318" s="1" t="n">
        <v>4839</v>
      </c>
      <c r="F1318" s="1" t="n">
        <v>0.301559381974413</v>
      </c>
      <c r="G1318" s="1" t="n">
        <v>1459.24584937418</v>
      </c>
      <c r="H1318" s="1" t="s">
        <v>712</v>
      </c>
    </row>
    <row r="1319" customFormat="false" ht="14.25" hidden="false" customHeight="true" outlineLevel="0" collapsed="false">
      <c r="A1319" s="1" t="s">
        <v>707</v>
      </c>
      <c r="B1319" s="1" t="s">
        <v>83</v>
      </c>
      <c r="C1319" s="1" t="s">
        <v>83</v>
      </c>
      <c r="D1319" s="1" t="s">
        <v>287</v>
      </c>
      <c r="E1319" s="1" t="n">
        <v>6711</v>
      </c>
      <c r="F1319" s="1" t="n">
        <v>0.0867203628637302</v>
      </c>
      <c r="G1319" s="1" t="n">
        <v>581.980355178493</v>
      </c>
      <c r="H1319" s="1" t="s">
        <v>708</v>
      </c>
    </row>
    <row r="1320" customFormat="false" ht="14.25" hidden="false" customHeight="true" outlineLevel="0" collapsed="false">
      <c r="A1320" s="1" t="s">
        <v>707</v>
      </c>
      <c r="B1320" s="1" t="s">
        <v>83</v>
      </c>
      <c r="C1320" s="1" t="s">
        <v>83</v>
      </c>
      <c r="D1320" s="1" t="s">
        <v>293</v>
      </c>
      <c r="E1320" s="1" t="n">
        <v>3823</v>
      </c>
      <c r="F1320" s="1" t="n">
        <v>0.0867203628637302</v>
      </c>
      <c r="G1320" s="1" t="n">
        <v>331.531947228041</v>
      </c>
      <c r="H1320" s="1" t="s">
        <v>709</v>
      </c>
    </row>
    <row r="1321" customFormat="false" ht="14.25" hidden="false" customHeight="true" outlineLevel="0" collapsed="false">
      <c r="A1321" s="1" t="s">
        <v>707</v>
      </c>
      <c r="B1321" s="1" t="s">
        <v>83</v>
      </c>
      <c r="C1321" s="1" t="s">
        <v>83</v>
      </c>
      <c r="D1321" s="1" t="s">
        <v>290</v>
      </c>
      <c r="E1321" s="1" t="n">
        <v>6701</v>
      </c>
      <c r="F1321" s="1" t="n">
        <v>0.0867203628637302</v>
      </c>
      <c r="G1321" s="1" t="n">
        <v>581.113151549856</v>
      </c>
      <c r="H1321" s="1" t="s">
        <v>710</v>
      </c>
    </row>
    <row r="1322" customFormat="false" ht="14.25" hidden="false" customHeight="true" outlineLevel="0" collapsed="false">
      <c r="A1322" s="1" t="s">
        <v>707</v>
      </c>
      <c r="B1322" s="1" t="s">
        <v>83</v>
      </c>
      <c r="C1322" s="1" t="s">
        <v>83</v>
      </c>
      <c r="D1322" s="1" t="s">
        <v>284</v>
      </c>
      <c r="E1322" s="1" t="n">
        <v>14824</v>
      </c>
      <c r="F1322" s="1" t="n">
        <v>0.0867203628637302</v>
      </c>
      <c r="G1322" s="1" t="n">
        <v>1285.54265909194</v>
      </c>
      <c r="H1322" s="1" t="s">
        <v>711</v>
      </c>
    </row>
    <row r="1323" customFormat="false" ht="14.25" hidden="false" customHeight="true" outlineLevel="0" collapsed="false">
      <c r="A1323" s="1" t="s">
        <v>707</v>
      </c>
      <c r="B1323" s="1" t="s">
        <v>83</v>
      </c>
      <c r="C1323" s="1" t="s">
        <v>83</v>
      </c>
      <c r="D1323" s="1" t="s">
        <v>285</v>
      </c>
      <c r="E1323" s="1" t="n">
        <v>4839</v>
      </c>
      <c r="F1323" s="1" t="n">
        <v>0.0867203628637302</v>
      </c>
      <c r="G1323" s="1" t="n">
        <v>419.63983589759</v>
      </c>
      <c r="H1323" s="1" t="s">
        <v>712</v>
      </c>
    </row>
    <row r="1324" customFormat="false" ht="14.25" hidden="false" customHeight="true" outlineLevel="0" collapsed="false">
      <c r="A1324" s="1" t="s">
        <v>707</v>
      </c>
      <c r="B1324" s="1" t="s">
        <v>83</v>
      </c>
      <c r="C1324" s="1" t="s">
        <v>83</v>
      </c>
      <c r="D1324" s="1" t="s">
        <v>282</v>
      </c>
      <c r="E1324" s="1" t="n">
        <v>4839</v>
      </c>
      <c r="F1324" s="1" t="n">
        <v>0.0867203628637302</v>
      </c>
      <c r="G1324" s="1" t="n">
        <v>419.63983589759</v>
      </c>
      <c r="H1324" s="1" t="s">
        <v>712</v>
      </c>
    </row>
    <row r="1325" customFormat="false" ht="14.25" hidden="false" customHeight="true" outlineLevel="0" collapsed="false">
      <c r="A1325" s="1" t="s">
        <v>707</v>
      </c>
      <c r="B1325" s="1" t="s">
        <v>32</v>
      </c>
      <c r="C1325" s="1" t="s">
        <v>696</v>
      </c>
      <c r="D1325" s="1" t="s">
        <v>287</v>
      </c>
      <c r="E1325" s="1" t="n">
        <v>30</v>
      </c>
      <c r="F1325" s="1" t="n">
        <v>36.2501330798479</v>
      </c>
      <c r="G1325" s="1" t="n">
        <v>1087.50399239544</v>
      </c>
      <c r="H1325" s="1" t="s">
        <v>697</v>
      </c>
    </row>
    <row r="1326" customFormat="false" ht="14.25" hidden="false" customHeight="true" outlineLevel="0" collapsed="false">
      <c r="A1326" s="1" t="s">
        <v>707</v>
      </c>
      <c r="B1326" s="1" t="s">
        <v>32</v>
      </c>
      <c r="C1326" s="1" t="s">
        <v>696</v>
      </c>
      <c r="D1326" s="1" t="s">
        <v>293</v>
      </c>
      <c r="E1326" s="1" t="n">
        <v>10</v>
      </c>
      <c r="F1326" s="1" t="n">
        <v>36.2501330798479</v>
      </c>
      <c r="G1326" s="1" t="n">
        <v>362.501330798479</v>
      </c>
      <c r="H1326" s="1" t="s">
        <v>697</v>
      </c>
    </row>
    <row r="1327" customFormat="false" ht="14.25" hidden="false" customHeight="true" outlineLevel="0" collapsed="false">
      <c r="A1327" s="1" t="s">
        <v>707</v>
      </c>
      <c r="B1327" s="1" t="s">
        <v>32</v>
      </c>
      <c r="C1327" s="1" t="s">
        <v>696</v>
      </c>
      <c r="D1327" s="1" t="s">
        <v>290</v>
      </c>
      <c r="E1327" s="1" t="n">
        <v>46</v>
      </c>
      <c r="F1327" s="1" t="n">
        <v>36.2501330798479</v>
      </c>
      <c r="G1327" s="1" t="n">
        <v>1667.506121673</v>
      </c>
      <c r="H1327" s="1" t="s">
        <v>697</v>
      </c>
    </row>
    <row r="1328" customFormat="false" ht="14.25" hidden="false" customHeight="true" outlineLevel="0" collapsed="false">
      <c r="A1328" s="1" t="s">
        <v>707</v>
      </c>
      <c r="B1328" s="1" t="s">
        <v>32</v>
      </c>
      <c r="C1328" s="1" t="s">
        <v>696</v>
      </c>
      <c r="D1328" s="1" t="s">
        <v>284</v>
      </c>
      <c r="E1328" s="1" t="n">
        <v>45</v>
      </c>
      <c r="F1328" s="1" t="n">
        <v>36.2501330798479</v>
      </c>
      <c r="G1328" s="1" t="n">
        <v>1631.25598859316</v>
      </c>
      <c r="H1328" s="1" t="s">
        <v>697</v>
      </c>
    </row>
    <row r="1329" customFormat="false" ht="14.25" hidden="false" customHeight="true" outlineLevel="0" collapsed="false">
      <c r="A1329" s="1" t="s">
        <v>707</v>
      </c>
      <c r="B1329" s="1" t="s">
        <v>32</v>
      </c>
      <c r="C1329" s="1" t="s">
        <v>696</v>
      </c>
      <c r="D1329" s="1" t="s">
        <v>285</v>
      </c>
      <c r="E1329" s="1" t="n">
        <v>17</v>
      </c>
      <c r="F1329" s="1" t="n">
        <v>36.2501330798479</v>
      </c>
      <c r="G1329" s="1" t="n">
        <v>616.252262357414</v>
      </c>
      <c r="H1329" s="1" t="s">
        <v>697</v>
      </c>
    </row>
    <row r="1330" customFormat="false" ht="14.25" hidden="false" customHeight="true" outlineLevel="0" collapsed="false">
      <c r="A1330" s="1" t="s">
        <v>707</v>
      </c>
      <c r="B1330" s="1" t="s">
        <v>32</v>
      </c>
      <c r="C1330" s="1" t="s">
        <v>696</v>
      </c>
      <c r="D1330" s="1" t="s">
        <v>282</v>
      </c>
      <c r="E1330" s="1" t="n">
        <v>23</v>
      </c>
      <c r="F1330" s="1" t="n">
        <v>36.2501330798479</v>
      </c>
      <c r="G1330" s="1" t="n">
        <v>833.753060836502</v>
      </c>
      <c r="H1330" s="1" t="s">
        <v>697</v>
      </c>
    </row>
    <row r="1331" customFormat="false" ht="14.25" hidden="false" customHeight="true" outlineLevel="0" collapsed="false">
      <c r="A1331" s="1" t="s">
        <v>707</v>
      </c>
      <c r="B1331" s="1" t="s">
        <v>33</v>
      </c>
      <c r="C1331" s="1" t="s">
        <v>698</v>
      </c>
      <c r="D1331" s="1" t="s">
        <v>287</v>
      </c>
      <c r="E1331" s="1" t="n">
        <v>30</v>
      </c>
      <c r="F1331" s="1" t="n">
        <v>49.5105988593156</v>
      </c>
      <c r="G1331" s="1" t="n">
        <v>1485.31796577947</v>
      </c>
      <c r="H1331" s="1" t="s">
        <v>697</v>
      </c>
    </row>
    <row r="1332" customFormat="false" ht="14.25" hidden="false" customHeight="true" outlineLevel="0" collapsed="false">
      <c r="A1332" s="1" t="s">
        <v>707</v>
      </c>
      <c r="B1332" s="1" t="s">
        <v>33</v>
      </c>
      <c r="C1332" s="1" t="s">
        <v>698</v>
      </c>
      <c r="D1332" s="1" t="s">
        <v>293</v>
      </c>
      <c r="E1332" s="1" t="n">
        <v>10</v>
      </c>
      <c r="F1332" s="1" t="n">
        <v>49.5105988593156</v>
      </c>
      <c r="G1332" s="1" t="n">
        <v>495.105988593156</v>
      </c>
      <c r="H1332" s="1" t="s">
        <v>697</v>
      </c>
    </row>
    <row r="1333" customFormat="false" ht="14.25" hidden="false" customHeight="true" outlineLevel="0" collapsed="false">
      <c r="A1333" s="1" t="s">
        <v>707</v>
      </c>
      <c r="B1333" s="1" t="s">
        <v>33</v>
      </c>
      <c r="C1333" s="1" t="s">
        <v>698</v>
      </c>
      <c r="D1333" s="1" t="s">
        <v>290</v>
      </c>
      <c r="E1333" s="1" t="n">
        <v>46</v>
      </c>
      <c r="F1333" s="1" t="n">
        <v>49.5105988593156</v>
      </c>
      <c r="G1333" s="1" t="n">
        <v>2277.48754752852</v>
      </c>
      <c r="H1333" s="1" t="s">
        <v>697</v>
      </c>
    </row>
    <row r="1334" customFormat="false" ht="14.25" hidden="false" customHeight="true" outlineLevel="0" collapsed="false">
      <c r="A1334" s="1" t="s">
        <v>707</v>
      </c>
      <c r="B1334" s="1" t="s">
        <v>33</v>
      </c>
      <c r="C1334" s="1" t="s">
        <v>698</v>
      </c>
      <c r="D1334" s="1" t="s">
        <v>284</v>
      </c>
      <c r="E1334" s="1" t="n">
        <v>45</v>
      </c>
      <c r="F1334" s="1" t="n">
        <v>49.5105988593156</v>
      </c>
      <c r="G1334" s="1" t="n">
        <v>2227.9769486692</v>
      </c>
      <c r="H1334" s="1" t="s">
        <v>697</v>
      </c>
    </row>
    <row r="1335" customFormat="false" ht="14.25" hidden="false" customHeight="true" outlineLevel="0" collapsed="false">
      <c r="A1335" s="1" t="s">
        <v>707</v>
      </c>
      <c r="B1335" s="1" t="s">
        <v>33</v>
      </c>
      <c r="C1335" s="1" t="s">
        <v>698</v>
      </c>
      <c r="D1335" s="1" t="s">
        <v>285</v>
      </c>
      <c r="E1335" s="1" t="n">
        <v>17</v>
      </c>
      <c r="F1335" s="1" t="n">
        <v>49.5105988593156</v>
      </c>
      <c r="G1335" s="1" t="n">
        <v>841.680180608365</v>
      </c>
      <c r="H1335" s="1" t="s">
        <v>697</v>
      </c>
    </row>
    <row r="1336" customFormat="false" ht="14.25" hidden="false" customHeight="true" outlineLevel="0" collapsed="false">
      <c r="A1336" s="1" t="s">
        <v>707</v>
      </c>
      <c r="B1336" s="1" t="s">
        <v>33</v>
      </c>
      <c r="C1336" s="1" t="s">
        <v>698</v>
      </c>
      <c r="D1336" s="1" t="s">
        <v>282</v>
      </c>
      <c r="E1336" s="1" t="n">
        <v>23</v>
      </c>
      <c r="F1336" s="1" t="n">
        <v>49.5105988593156</v>
      </c>
      <c r="G1336" s="1" t="n">
        <v>1138.74377376426</v>
      </c>
      <c r="H1336" s="1" t="s">
        <v>697</v>
      </c>
    </row>
    <row r="1337" customFormat="false" ht="14.25" hidden="false" customHeight="true" outlineLevel="0" collapsed="false">
      <c r="A1337" s="1" t="s">
        <v>707</v>
      </c>
      <c r="B1337" s="1" t="s">
        <v>44</v>
      </c>
      <c r="C1337" s="1" t="s">
        <v>699</v>
      </c>
      <c r="D1337" s="1" t="s">
        <v>287</v>
      </c>
      <c r="E1337" s="1" t="n">
        <v>30</v>
      </c>
      <c r="F1337" s="1" t="n">
        <v>49.7823098859316</v>
      </c>
      <c r="G1337" s="1" t="n">
        <v>1493.46929657795</v>
      </c>
      <c r="H1337" s="1" t="s">
        <v>697</v>
      </c>
    </row>
    <row r="1338" customFormat="false" ht="14.25" hidden="false" customHeight="true" outlineLevel="0" collapsed="false">
      <c r="A1338" s="1" t="s">
        <v>707</v>
      </c>
      <c r="B1338" s="1" t="s">
        <v>44</v>
      </c>
      <c r="C1338" s="1" t="s">
        <v>699</v>
      </c>
      <c r="D1338" s="1" t="s">
        <v>289</v>
      </c>
      <c r="E1338" s="1" t="n">
        <v>37</v>
      </c>
      <c r="F1338" s="1" t="n">
        <v>49.7823098859316</v>
      </c>
      <c r="G1338" s="1" t="n">
        <v>1841.94546577947</v>
      </c>
      <c r="H1338" s="1" t="s">
        <v>697</v>
      </c>
    </row>
    <row r="1339" customFormat="false" ht="14.25" hidden="false" customHeight="true" outlineLevel="0" collapsed="false">
      <c r="A1339" s="1" t="s">
        <v>707</v>
      </c>
      <c r="B1339" s="1" t="s">
        <v>44</v>
      </c>
      <c r="C1339" s="1" t="s">
        <v>699</v>
      </c>
      <c r="D1339" s="1" t="s">
        <v>293</v>
      </c>
      <c r="E1339" s="1" t="n">
        <v>10</v>
      </c>
      <c r="F1339" s="1" t="n">
        <v>49.7823098859316</v>
      </c>
      <c r="G1339" s="1" t="n">
        <v>497.823098859316</v>
      </c>
      <c r="H1339" s="1" t="s">
        <v>697</v>
      </c>
    </row>
    <row r="1340" customFormat="false" ht="14.25" hidden="false" customHeight="true" outlineLevel="0" collapsed="false">
      <c r="A1340" s="1" t="s">
        <v>707</v>
      </c>
      <c r="B1340" s="1" t="s">
        <v>44</v>
      </c>
      <c r="C1340" s="1" t="s">
        <v>699</v>
      </c>
      <c r="D1340" s="1" t="s">
        <v>290</v>
      </c>
      <c r="E1340" s="1" t="n">
        <v>46</v>
      </c>
      <c r="F1340" s="1" t="n">
        <v>49.7823098859316</v>
      </c>
      <c r="G1340" s="1" t="n">
        <v>2289.98625475285</v>
      </c>
      <c r="H1340" s="1" t="s">
        <v>697</v>
      </c>
    </row>
    <row r="1341" customFormat="false" ht="14.25" hidden="false" customHeight="true" outlineLevel="0" collapsed="false">
      <c r="A1341" s="1" t="s">
        <v>707</v>
      </c>
      <c r="B1341" s="1" t="s">
        <v>44</v>
      </c>
      <c r="C1341" s="1" t="s">
        <v>699</v>
      </c>
      <c r="D1341" s="1" t="s">
        <v>284</v>
      </c>
      <c r="E1341" s="1" t="n">
        <v>45</v>
      </c>
      <c r="F1341" s="1" t="n">
        <v>49.7823098859316</v>
      </c>
      <c r="G1341" s="1" t="n">
        <v>2240.20394486692</v>
      </c>
      <c r="H1341" s="1" t="s">
        <v>697</v>
      </c>
    </row>
    <row r="1342" customFormat="false" ht="14.25" hidden="false" customHeight="true" outlineLevel="0" collapsed="false">
      <c r="A1342" s="1" t="s">
        <v>707</v>
      </c>
      <c r="B1342" s="1" t="s">
        <v>44</v>
      </c>
      <c r="C1342" s="1" t="s">
        <v>699</v>
      </c>
      <c r="D1342" s="1" t="s">
        <v>285</v>
      </c>
      <c r="E1342" s="1" t="n">
        <v>17</v>
      </c>
      <c r="F1342" s="1" t="n">
        <v>49.7823098859316</v>
      </c>
      <c r="G1342" s="1" t="n">
        <v>846.299268060837</v>
      </c>
      <c r="H1342" s="1" t="s">
        <v>697</v>
      </c>
    </row>
    <row r="1343" customFormat="false" ht="14.25" hidden="false" customHeight="true" outlineLevel="0" collapsed="false">
      <c r="A1343" s="1" t="s">
        <v>707</v>
      </c>
      <c r="B1343" s="1" t="s">
        <v>44</v>
      </c>
      <c r="C1343" s="1" t="s">
        <v>699</v>
      </c>
      <c r="D1343" s="1" t="s">
        <v>282</v>
      </c>
      <c r="E1343" s="1" t="n">
        <v>23</v>
      </c>
      <c r="F1343" s="1" t="n">
        <v>49.7823098859316</v>
      </c>
      <c r="G1343" s="1" t="n">
        <v>1144.99312737643</v>
      </c>
      <c r="H1343" s="1" t="s">
        <v>697</v>
      </c>
    </row>
    <row r="1344" customFormat="false" ht="14.25" hidden="false" customHeight="true" outlineLevel="0" collapsed="false">
      <c r="A1344" s="1" t="s">
        <v>707</v>
      </c>
      <c r="B1344" s="1" t="s">
        <v>55</v>
      </c>
      <c r="C1344" s="1" t="s">
        <v>703</v>
      </c>
      <c r="D1344" s="1" t="s">
        <v>287</v>
      </c>
      <c r="E1344" s="1" t="n">
        <v>30</v>
      </c>
      <c r="F1344" s="1" t="n">
        <v>22.186397338403</v>
      </c>
      <c r="G1344" s="1" t="n">
        <v>665.59192015209</v>
      </c>
      <c r="H1344" s="1" t="s">
        <v>697</v>
      </c>
    </row>
    <row r="1345" customFormat="false" ht="14.25" hidden="false" customHeight="true" outlineLevel="0" collapsed="false">
      <c r="A1345" s="1" t="s">
        <v>707</v>
      </c>
      <c r="B1345" s="1" t="s">
        <v>55</v>
      </c>
      <c r="C1345" s="1" t="s">
        <v>703</v>
      </c>
      <c r="D1345" s="1" t="s">
        <v>289</v>
      </c>
      <c r="F1345" s="1" t="n">
        <v>22.186397338403</v>
      </c>
      <c r="H1345" s="1" t="s">
        <v>704</v>
      </c>
    </row>
    <row r="1346" customFormat="false" ht="14.25" hidden="false" customHeight="true" outlineLevel="0" collapsed="false">
      <c r="A1346" s="1" t="s">
        <v>707</v>
      </c>
      <c r="B1346" s="1" t="s">
        <v>55</v>
      </c>
      <c r="C1346" s="1" t="s">
        <v>703</v>
      </c>
      <c r="D1346" s="1" t="s">
        <v>293</v>
      </c>
      <c r="E1346" s="1" t="n">
        <v>10</v>
      </c>
      <c r="F1346" s="1" t="n">
        <v>22.186397338403</v>
      </c>
      <c r="G1346" s="1" t="n">
        <v>221.86397338403</v>
      </c>
      <c r="H1346" s="1" t="s">
        <v>697</v>
      </c>
    </row>
    <row r="1347" customFormat="false" ht="14.25" hidden="false" customHeight="true" outlineLevel="0" collapsed="false">
      <c r="A1347" s="1" t="s">
        <v>707</v>
      </c>
      <c r="B1347" s="1" t="s">
        <v>55</v>
      </c>
      <c r="C1347" s="1" t="s">
        <v>703</v>
      </c>
      <c r="D1347" s="1" t="s">
        <v>290</v>
      </c>
      <c r="E1347" s="1" t="n">
        <v>46</v>
      </c>
      <c r="F1347" s="1" t="n">
        <v>22.186397338403</v>
      </c>
      <c r="G1347" s="1" t="n">
        <v>1020.57427756654</v>
      </c>
      <c r="H1347" s="1" t="s">
        <v>697</v>
      </c>
    </row>
    <row r="1348" customFormat="false" ht="14.25" hidden="false" customHeight="true" outlineLevel="0" collapsed="false">
      <c r="A1348" s="1" t="s">
        <v>707</v>
      </c>
      <c r="B1348" s="1" t="s">
        <v>55</v>
      </c>
      <c r="C1348" s="1" t="s">
        <v>703</v>
      </c>
      <c r="D1348" s="1" t="s">
        <v>284</v>
      </c>
      <c r="E1348" s="1" t="n">
        <v>45</v>
      </c>
      <c r="F1348" s="1" t="n">
        <v>22.186397338403</v>
      </c>
      <c r="G1348" s="1" t="n">
        <v>998.387880228135</v>
      </c>
      <c r="H1348" s="1" t="s">
        <v>697</v>
      </c>
    </row>
    <row r="1349" customFormat="false" ht="14.25" hidden="false" customHeight="true" outlineLevel="0" collapsed="false">
      <c r="A1349" s="1" t="s">
        <v>707</v>
      </c>
      <c r="B1349" s="1" t="s">
        <v>55</v>
      </c>
      <c r="C1349" s="1" t="s">
        <v>703</v>
      </c>
      <c r="D1349" s="1" t="s">
        <v>285</v>
      </c>
      <c r="E1349" s="1" t="n">
        <v>17</v>
      </c>
      <c r="F1349" s="1" t="n">
        <v>22.186397338403</v>
      </c>
      <c r="G1349" s="1" t="n">
        <v>377.168754752851</v>
      </c>
      <c r="H1349" s="1" t="s">
        <v>697</v>
      </c>
    </row>
    <row r="1350" customFormat="false" ht="14.25" hidden="false" customHeight="true" outlineLevel="0" collapsed="false">
      <c r="A1350" s="1" t="s">
        <v>707</v>
      </c>
      <c r="B1350" s="1" t="s">
        <v>55</v>
      </c>
      <c r="C1350" s="1" t="s">
        <v>703</v>
      </c>
      <c r="D1350" s="1" t="s">
        <v>282</v>
      </c>
      <c r="E1350" s="1" t="n">
        <v>23</v>
      </c>
      <c r="F1350" s="1" t="n">
        <v>22.186397338403</v>
      </c>
      <c r="G1350" s="1" t="n">
        <v>510.287138783269</v>
      </c>
      <c r="H1350" s="1" t="s">
        <v>697</v>
      </c>
    </row>
    <row r="1351" customFormat="false" ht="14.25" hidden="false" customHeight="true" outlineLevel="0" collapsed="false">
      <c r="A1351" s="1" t="s">
        <v>707</v>
      </c>
      <c r="B1351" s="1" t="s">
        <v>593</v>
      </c>
      <c r="C1351" s="1" t="s">
        <v>594</v>
      </c>
      <c r="D1351" s="1" t="s">
        <v>289</v>
      </c>
      <c r="E1351" s="1" t="n">
        <v>1</v>
      </c>
      <c r="F1351" s="1" t="n">
        <v>238.88</v>
      </c>
      <c r="G1351" s="1" t="n">
        <v>238.88</v>
      </c>
      <c r="H1351" s="1" t="s">
        <v>725</v>
      </c>
    </row>
    <row r="1352" customFormat="false" ht="14.25" hidden="false" customHeight="true" outlineLevel="0" collapsed="false">
      <c r="A1352" s="1" t="s">
        <v>707</v>
      </c>
      <c r="B1352" s="1" t="s">
        <v>593</v>
      </c>
      <c r="C1352" s="1" t="s">
        <v>596</v>
      </c>
      <c r="D1352" s="1" t="s">
        <v>289</v>
      </c>
      <c r="E1352" s="1" t="n">
        <v>1</v>
      </c>
      <c r="F1352" s="1" t="n">
        <v>624.79</v>
      </c>
      <c r="G1352" s="1" t="n">
        <v>624.79</v>
      </c>
      <c r="H1352" s="1" t="s">
        <v>725</v>
      </c>
    </row>
    <row r="1353" customFormat="false" ht="14.25" hidden="false" customHeight="true" outlineLevel="0" collapsed="false">
      <c r="A1353" s="1" t="s">
        <v>707</v>
      </c>
      <c r="B1353" s="1" t="s">
        <v>593</v>
      </c>
      <c r="C1353" s="1" t="s">
        <v>597</v>
      </c>
      <c r="D1353" s="1" t="s">
        <v>289</v>
      </c>
      <c r="E1353" s="1" t="n">
        <v>1</v>
      </c>
      <c r="F1353" s="1" t="n">
        <v>510</v>
      </c>
      <c r="G1353" s="1" t="n">
        <v>510</v>
      </c>
      <c r="H1353" s="1" t="s">
        <v>725</v>
      </c>
    </row>
    <row r="1354" customFormat="false" ht="14.25" hidden="false" customHeight="true" outlineLevel="0" collapsed="false">
      <c r="A1354" s="1" t="s">
        <v>707</v>
      </c>
      <c r="B1354" s="1" t="s">
        <v>593</v>
      </c>
      <c r="C1354" s="1" t="s">
        <v>598</v>
      </c>
      <c r="D1354" s="1" t="s">
        <v>289</v>
      </c>
      <c r="E1354" s="1" t="n">
        <v>1</v>
      </c>
      <c r="F1354" s="1" t="n">
        <v>333.1</v>
      </c>
      <c r="G1354" s="1" t="n">
        <v>333.1</v>
      </c>
      <c r="H1354" s="1" t="s">
        <v>725</v>
      </c>
    </row>
    <row r="1355" customFormat="false" ht="14.25" hidden="false" customHeight="true" outlineLevel="0" collapsed="false">
      <c r="A1355" s="1" t="s">
        <v>707</v>
      </c>
      <c r="B1355" s="1" t="s">
        <v>593</v>
      </c>
      <c r="C1355" s="1" t="s">
        <v>601</v>
      </c>
      <c r="D1355" s="1" t="s">
        <v>289</v>
      </c>
      <c r="E1355" s="1" t="n">
        <v>1</v>
      </c>
      <c r="F1355" s="1" t="n">
        <v>2973.2</v>
      </c>
      <c r="G1355" s="1" t="n">
        <v>2973.2</v>
      </c>
      <c r="H1355" s="1" t="s">
        <v>725</v>
      </c>
    </row>
    <row r="1356" customFormat="false" ht="14.25" hidden="false" customHeight="true" outlineLevel="0" collapsed="false">
      <c r="A1356" s="1" t="s">
        <v>707</v>
      </c>
      <c r="B1356" s="1" t="s">
        <v>593</v>
      </c>
      <c r="C1356" s="1" t="s">
        <v>676</v>
      </c>
      <c r="D1356" s="1" t="s">
        <v>289</v>
      </c>
      <c r="E1356" s="1" t="n">
        <v>1</v>
      </c>
      <c r="F1356" s="1" t="n">
        <v>1833.24</v>
      </c>
      <c r="G1356" s="1" t="n">
        <v>1833.24</v>
      </c>
      <c r="H1356" s="1" t="s">
        <v>725</v>
      </c>
    </row>
    <row r="1357" customFormat="false" ht="14.25" hidden="false" customHeight="true" outlineLevel="0" collapsed="false">
      <c r="A1357" s="1" t="s">
        <v>707</v>
      </c>
      <c r="B1357" s="1" t="s">
        <v>593</v>
      </c>
      <c r="C1357" s="1" t="s">
        <v>602</v>
      </c>
      <c r="D1357" s="1" t="s">
        <v>289</v>
      </c>
      <c r="E1357" s="1" t="n">
        <v>1</v>
      </c>
      <c r="F1357" s="1" t="n">
        <v>7615.46</v>
      </c>
      <c r="G1357" s="1" t="n">
        <v>7615.46</v>
      </c>
      <c r="H1357" s="1" t="s">
        <v>725</v>
      </c>
    </row>
    <row r="1358" customFormat="false" ht="14.25" hidden="false" customHeight="true" outlineLevel="0" collapsed="false">
      <c r="A1358" s="1" t="s">
        <v>644</v>
      </c>
      <c r="B1358" s="1" t="s">
        <v>143</v>
      </c>
      <c r="C1358" s="1" t="s">
        <v>527</v>
      </c>
      <c r="D1358" s="1" t="s">
        <v>275</v>
      </c>
      <c r="E1358" s="1" t="n">
        <v>137756</v>
      </c>
      <c r="F1358" s="1" t="n">
        <v>0.212371943123151</v>
      </c>
      <c r="G1358" s="1" t="n">
        <v>29255.5093968728</v>
      </c>
      <c r="H1358" s="1" t="s">
        <v>451</v>
      </c>
    </row>
    <row r="1359" customFormat="false" ht="14.25" hidden="false" customHeight="true" outlineLevel="0" collapsed="false">
      <c r="A1359" s="1" t="s">
        <v>644</v>
      </c>
      <c r="B1359" s="1" t="s">
        <v>141</v>
      </c>
      <c r="C1359" s="1" t="s">
        <v>528</v>
      </c>
      <c r="D1359" s="1" t="s">
        <v>275</v>
      </c>
      <c r="E1359" s="1" t="n">
        <v>137756</v>
      </c>
      <c r="F1359" s="1" t="n">
        <v>0.0959225828032635</v>
      </c>
      <c r="G1359" s="1" t="n">
        <v>13213.9113166464</v>
      </c>
      <c r="H1359" s="1" t="s">
        <v>451</v>
      </c>
    </row>
    <row r="1360" customFormat="false" ht="14.25" hidden="false" customHeight="true" outlineLevel="0" collapsed="false">
      <c r="A1360" s="1" t="s">
        <v>644</v>
      </c>
      <c r="B1360" s="1" t="s">
        <v>624</v>
      </c>
      <c r="C1360" s="1" t="s">
        <v>625</v>
      </c>
      <c r="D1360" s="1" t="s">
        <v>275</v>
      </c>
      <c r="E1360" s="1" t="n">
        <v>137756</v>
      </c>
      <c r="F1360" s="1" t="n">
        <v>2.35573300476439</v>
      </c>
      <c r="G1360" s="1" t="n">
        <v>324516.355804323</v>
      </c>
      <c r="H1360" s="1" t="s">
        <v>451</v>
      </c>
    </row>
    <row r="1361" customFormat="false" ht="14.25" hidden="false" customHeight="true" outlineLevel="0" collapsed="false">
      <c r="A1361" s="1" t="s">
        <v>655</v>
      </c>
      <c r="B1361" s="1" t="s">
        <v>143</v>
      </c>
      <c r="C1361" s="1" t="s">
        <v>527</v>
      </c>
      <c r="D1361" s="1" t="s">
        <v>275</v>
      </c>
      <c r="E1361" s="1" t="n">
        <v>140857</v>
      </c>
      <c r="F1361" s="1" t="n">
        <v>0.253754640366083</v>
      </c>
      <c r="G1361" s="1" t="n">
        <v>35743.1173780453</v>
      </c>
      <c r="H1361" s="1" t="s">
        <v>451</v>
      </c>
    </row>
    <row r="1362" customFormat="false" ht="14.25" hidden="false" customHeight="true" outlineLevel="0" collapsed="false">
      <c r="A1362" s="1" t="s">
        <v>655</v>
      </c>
      <c r="B1362" s="1" t="s">
        <v>141</v>
      </c>
      <c r="C1362" s="1" t="s">
        <v>528</v>
      </c>
      <c r="D1362" s="1" t="s">
        <v>275</v>
      </c>
      <c r="E1362" s="1" t="n">
        <v>140857</v>
      </c>
      <c r="F1362" s="1" t="n">
        <v>0.105895207936646</v>
      </c>
      <c r="G1362" s="1" t="n">
        <v>14916.0813043321</v>
      </c>
      <c r="H1362" s="1" t="s">
        <v>451</v>
      </c>
    </row>
    <row r="1363" customFormat="false" ht="14.25" hidden="false" customHeight="true" outlineLevel="0" collapsed="false">
      <c r="A1363" s="1" t="s">
        <v>655</v>
      </c>
      <c r="B1363" s="1" t="s">
        <v>624</v>
      </c>
      <c r="C1363" s="1" t="s">
        <v>625</v>
      </c>
      <c r="D1363" s="1" t="s">
        <v>275</v>
      </c>
      <c r="E1363" s="1" t="n">
        <v>140857</v>
      </c>
      <c r="F1363" s="1" t="n">
        <v>2.99991610765306</v>
      </c>
      <c r="G1363" s="1" t="n">
        <v>422559.183175687</v>
      </c>
      <c r="H1363" s="1" t="s">
        <v>451</v>
      </c>
    </row>
    <row r="1364" customFormat="false" ht="14.25" hidden="false" customHeight="true" outlineLevel="0" collapsed="false">
      <c r="A1364" s="1" t="s">
        <v>682</v>
      </c>
      <c r="B1364" s="1" t="s">
        <v>452</v>
      </c>
      <c r="C1364" s="1" t="s">
        <v>86</v>
      </c>
      <c r="D1364" s="1" t="s">
        <v>275</v>
      </c>
      <c r="E1364" s="1" t="n">
        <v>146740</v>
      </c>
      <c r="F1364" s="1" t="n">
        <v>0.23</v>
      </c>
      <c r="G1364" s="1" t="n">
        <v>33750.2</v>
      </c>
      <c r="H1364" s="1" t="s">
        <v>451</v>
      </c>
    </row>
    <row r="1365" customFormat="false" ht="14.25" hidden="false" customHeight="true" outlineLevel="0" collapsed="false">
      <c r="A1365" s="1" t="s">
        <v>682</v>
      </c>
      <c r="B1365" s="1" t="s">
        <v>143</v>
      </c>
      <c r="C1365" s="1" t="s">
        <v>527</v>
      </c>
      <c r="D1365" s="1" t="s">
        <v>275</v>
      </c>
      <c r="E1365" s="1" t="n">
        <v>146740</v>
      </c>
      <c r="F1365" s="1" t="n">
        <v>0.2</v>
      </c>
      <c r="G1365" s="1" t="n">
        <v>29348</v>
      </c>
      <c r="H1365" s="1" t="s">
        <v>451</v>
      </c>
    </row>
    <row r="1366" customFormat="false" ht="14.25" hidden="false" customHeight="true" outlineLevel="0" collapsed="false">
      <c r="A1366" s="1" t="s">
        <v>682</v>
      </c>
      <c r="B1366" s="1" t="s">
        <v>141</v>
      </c>
      <c r="C1366" s="1" t="s">
        <v>528</v>
      </c>
      <c r="D1366" s="1" t="s">
        <v>275</v>
      </c>
      <c r="E1366" s="1" t="n">
        <v>146740</v>
      </c>
      <c r="F1366" s="1" t="n">
        <v>0.101057218436555</v>
      </c>
      <c r="G1366" s="1" t="n">
        <v>14829.1362333801</v>
      </c>
      <c r="H1366" s="1" t="s">
        <v>451</v>
      </c>
    </row>
    <row r="1367" customFormat="false" ht="14.25" hidden="false" customHeight="true" outlineLevel="0" collapsed="false">
      <c r="A1367" s="1" t="s">
        <v>682</v>
      </c>
      <c r="B1367" s="1" t="s">
        <v>624</v>
      </c>
      <c r="C1367" s="1" t="s">
        <v>625</v>
      </c>
      <c r="D1367" s="1" t="s">
        <v>275</v>
      </c>
      <c r="E1367" s="1" t="n">
        <v>146740</v>
      </c>
      <c r="F1367" s="1" t="n">
        <v>3.18253026831306</v>
      </c>
      <c r="G1367" s="1" t="n">
        <v>467004.491572258</v>
      </c>
      <c r="H1367" s="1" t="s">
        <v>451</v>
      </c>
    </row>
    <row r="1368" customFormat="false" ht="14.25" hidden="false" customHeight="true" outlineLevel="0" collapsed="false">
      <c r="A1368" s="1" t="s">
        <v>682</v>
      </c>
      <c r="B1368" s="1" t="s">
        <v>43</v>
      </c>
      <c r="C1368" s="1" t="s">
        <v>43</v>
      </c>
      <c r="D1368" s="1" t="s">
        <v>275</v>
      </c>
      <c r="E1368" s="1" t="n">
        <v>146740</v>
      </c>
      <c r="F1368" s="1" t="n">
        <v>0.138633956355371</v>
      </c>
      <c r="G1368" s="1" t="n">
        <v>20343.1467555871</v>
      </c>
      <c r="H1368" s="1" t="s">
        <v>451</v>
      </c>
    </row>
    <row r="1369" customFormat="false" ht="14.25" hidden="false" customHeight="true" outlineLevel="0" collapsed="false">
      <c r="A1369" s="1" t="s">
        <v>682</v>
      </c>
      <c r="B1369" s="1" t="s">
        <v>81</v>
      </c>
      <c r="C1369" s="1" t="s">
        <v>81</v>
      </c>
      <c r="D1369" s="1" t="s">
        <v>275</v>
      </c>
      <c r="E1369" s="1" t="n">
        <v>146740</v>
      </c>
      <c r="F1369" s="1" t="n">
        <v>0.071167700671494</v>
      </c>
      <c r="G1369" s="1" t="n">
        <v>10443.148396535</v>
      </c>
      <c r="H1369" s="1" t="s">
        <v>451</v>
      </c>
    </row>
    <row r="1370" customFormat="false" ht="14.25" hidden="false" customHeight="true" outlineLevel="0" collapsed="false">
      <c r="A1370" s="1" t="s">
        <v>682</v>
      </c>
      <c r="B1370" s="1" t="s">
        <v>36</v>
      </c>
      <c r="C1370" s="1" t="s">
        <v>36</v>
      </c>
      <c r="D1370" s="1" t="s">
        <v>275</v>
      </c>
      <c r="E1370" s="1" t="n">
        <v>146740</v>
      </c>
      <c r="F1370" s="1" t="n">
        <v>0.373762045947462</v>
      </c>
      <c r="G1370" s="1" t="n">
        <v>54845.8426223306</v>
      </c>
      <c r="H1370" s="1" t="s">
        <v>451</v>
      </c>
    </row>
    <row r="1371" customFormat="false" ht="14.25" hidden="false" customHeight="true" outlineLevel="0" collapsed="false">
      <c r="A1371" s="1" t="s">
        <v>682</v>
      </c>
      <c r="B1371" s="1" t="s">
        <v>83</v>
      </c>
      <c r="C1371" s="1" t="s">
        <v>83</v>
      </c>
      <c r="D1371" s="1" t="s">
        <v>275</v>
      </c>
      <c r="E1371" s="1" t="n">
        <v>146740</v>
      </c>
      <c r="F1371" s="1" t="n">
        <v>0.0793753070856763</v>
      </c>
      <c r="G1371" s="1" t="n">
        <v>11647.5325617521</v>
      </c>
      <c r="H1371" s="1" t="s">
        <v>451</v>
      </c>
    </row>
    <row r="1372" customFormat="false" ht="14.25" hidden="false" customHeight="true" outlineLevel="0" collapsed="false">
      <c r="A1372" s="1" t="s">
        <v>682</v>
      </c>
      <c r="B1372" s="1" t="s">
        <v>726</v>
      </c>
      <c r="C1372" s="1" t="s">
        <v>726</v>
      </c>
      <c r="D1372" s="1" t="s">
        <v>275</v>
      </c>
      <c r="E1372" s="1" t="n">
        <v>146740</v>
      </c>
      <c r="F1372" s="1" t="n">
        <v>0.713317605064246</v>
      </c>
      <c r="G1372" s="1" t="n">
        <v>104672.225367128</v>
      </c>
      <c r="H1372" s="1" t="s">
        <v>451</v>
      </c>
    </row>
    <row r="1373" customFormat="false" ht="14.25" hidden="false" customHeight="true" outlineLevel="0" collapsed="false">
      <c r="A1373" s="1" t="s">
        <v>682</v>
      </c>
      <c r="B1373" s="1" t="s">
        <v>31</v>
      </c>
      <c r="C1373" s="1" t="s">
        <v>31</v>
      </c>
      <c r="D1373" s="1" t="s">
        <v>275</v>
      </c>
      <c r="E1373" s="1" t="n">
        <v>146740</v>
      </c>
      <c r="F1373" s="1" t="n">
        <v>0.371854</v>
      </c>
      <c r="G1373" s="1" t="n">
        <v>54565.85596</v>
      </c>
      <c r="H1373" s="1" t="s">
        <v>451</v>
      </c>
    </row>
    <row r="1374" customFormat="false" ht="14.25" hidden="false" customHeight="true" outlineLevel="0" collapsed="false">
      <c r="A1374" s="1" t="s">
        <v>644</v>
      </c>
      <c r="B1374" s="1" t="s">
        <v>80</v>
      </c>
      <c r="C1374" s="1" t="s">
        <v>80</v>
      </c>
      <c r="D1374" s="1" t="s">
        <v>275</v>
      </c>
      <c r="E1374" s="1" t="n">
        <v>137756</v>
      </c>
      <c r="F1374" s="1" t="n">
        <v>0.154543612417484</v>
      </c>
      <c r="G1374" s="1" t="n">
        <v>21289.3098721829</v>
      </c>
      <c r="H1374" s="1" t="s">
        <v>451</v>
      </c>
    </row>
    <row r="1375" customFormat="false" ht="14.25" hidden="false" customHeight="true" outlineLevel="0" collapsed="false">
      <c r="A1375" s="1" t="s">
        <v>655</v>
      </c>
      <c r="B1375" s="1" t="s">
        <v>80</v>
      </c>
      <c r="C1375" s="1" t="s">
        <v>80</v>
      </c>
      <c r="D1375" s="1" t="s">
        <v>275</v>
      </c>
      <c r="E1375" s="1" t="n">
        <v>140857</v>
      </c>
      <c r="F1375" s="1" t="n">
        <v>0.150676625241861</v>
      </c>
      <c r="G1375" s="1" t="n">
        <v>21223.8574016928</v>
      </c>
      <c r="H1375" s="1" t="s">
        <v>451</v>
      </c>
    </row>
    <row r="1376" customFormat="false" ht="14.25" hidden="false" customHeight="true" outlineLevel="0" collapsed="false">
      <c r="A1376" s="1" t="s">
        <v>682</v>
      </c>
      <c r="B1376" s="1" t="s">
        <v>80</v>
      </c>
      <c r="C1376" s="1" t="s">
        <v>80</v>
      </c>
      <c r="D1376" s="1" t="s">
        <v>275</v>
      </c>
      <c r="E1376" s="1" t="n">
        <v>146740</v>
      </c>
      <c r="F1376" s="1" t="n">
        <v>0.145289779573281</v>
      </c>
      <c r="G1376" s="1" t="n">
        <v>21319.8222545833</v>
      </c>
      <c r="H1376" s="1" t="s">
        <v>451</v>
      </c>
    </row>
    <row r="1377" customFormat="false" ht="14.25" hidden="false" customHeight="true" outlineLevel="0" collapsed="false">
      <c r="A1377" s="1" t="s">
        <v>644</v>
      </c>
      <c r="B1377" s="1" t="s">
        <v>42</v>
      </c>
      <c r="C1377" s="1" t="s">
        <v>42</v>
      </c>
      <c r="D1377" s="1" t="s">
        <v>275</v>
      </c>
      <c r="E1377" s="1" t="n">
        <v>137756</v>
      </c>
      <c r="F1377" s="1" t="n">
        <v>0.145293801710045</v>
      </c>
      <c r="G1377" s="1" t="n">
        <v>20015.092948369</v>
      </c>
      <c r="H1377" s="1" t="s">
        <v>451</v>
      </c>
    </row>
    <row r="1378" customFormat="false" ht="14.25" hidden="false" customHeight="true" outlineLevel="0" collapsed="false">
      <c r="A1378" s="1" t="s">
        <v>655</v>
      </c>
      <c r="B1378" s="1" t="s">
        <v>42</v>
      </c>
      <c r="C1378" s="1" t="s">
        <v>42</v>
      </c>
      <c r="D1378" s="1" t="s">
        <v>275</v>
      </c>
      <c r="E1378" s="1" t="n">
        <v>140857</v>
      </c>
      <c r="F1378" s="1" t="n">
        <v>0.146782423739836</v>
      </c>
      <c r="G1378" s="1" t="n">
        <v>20675.3318607221</v>
      </c>
      <c r="H1378" s="1" t="s">
        <v>451</v>
      </c>
    </row>
    <row r="1379" customFormat="false" ht="14.25" hidden="false" customHeight="true" outlineLevel="0" collapsed="false">
      <c r="A1379" s="1" t="s">
        <v>682</v>
      </c>
      <c r="B1379" s="1" t="s">
        <v>42</v>
      </c>
      <c r="C1379" s="1" t="s">
        <v>42</v>
      </c>
      <c r="D1379" s="1" t="s">
        <v>275</v>
      </c>
      <c r="E1379" s="1" t="n">
        <v>146740</v>
      </c>
      <c r="F1379" s="1" t="n">
        <v>0.136978220673766</v>
      </c>
      <c r="G1379" s="1" t="n">
        <v>20100.1841016684</v>
      </c>
      <c r="H1379" s="1" t="s">
        <v>451</v>
      </c>
    </row>
    <row r="1380" customFormat="false" ht="14.25" hidden="false" customHeight="true" outlineLevel="0" collapsed="false">
      <c r="A1380" s="1" t="s">
        <v>644</v>
      </c>
      <c r="B1380" s="1" t="s">
        <v>34</v>
      </c>
      <c r="C1380" s="1" t="s">
        <v>34</v>
      </c>
      <c r="D1380" s="1" t="s">
        <v>275</v>
      </c>
      <c r="E1380" s="1" t="n">
        <v>137756</v>
      </c>
      <c r="F1380" s="1" t="n">
        <v>0.23174321635211</v>
      </c>
      <c r="G1380" s="1" t="n">
        <v>31924.0185118013</v>
      </c>
      <c r="H1380" s="1" t="s">
        <v>451</v>
      </c>
    </row>
    <row r="1381" customFormat="false" ht="14.25" hidden="false" customHeight="true" outlineLevel="0" collapsed="false">
      <c r="A1381" s="1" t="s">
        <v>655</v>
      </c>
      <c r="B1381" s="1" t="s">
        <v>34</v>
      </c>
      <c r="C1381" s="1" t="s">
        <v>34</v>
      </c>
      <c r="D1381" s="1" t="s">
        <v>275</v>
      </c>
      <c r="E1381" s="1" t="n">
        <v>140857</v>
      </c>
      <c r="F1381" s="1" t="n">
        <v>0.251543736341568</v>
      </c>
      <c r="G1381" s="1" t="n">
        <v>35431.6960698642</v>
      </c>
      <c r="H1381" s="1" t="s">
        <v>451</v>
      </c>
    </row>
    <row r="1382" customFormat="false" ht="14.25" hidden="false" customHeight="true" outlineLevel="0" collapsed="false">
      <c r="A1382" s="1" t="s">
        <v>682</v>
      </c>
      <c r="B1382" s="1" t="s">
        <v>34</v>
      </c>
      <c r="C1382" s="1" t="s">
        <v>34</v>
      </c>
      <c r="D1382" s="1" t="s">
        <v>275</v>
      </c>
      <c r="E1382" s="1" t="n">
        <v>146740</v>
      </c>
      <c r="F1382" s="1" t="n">
        <v>0.229782928031525</v>
      </c>
      <c r="G1382" s="1" t="n">
        <v>33718.346859346</v>
      </c>
      <c r="H1382" s="1" t="s">
        <v>451</v>
      </c>
    </row>
    <row r="1383" customFormat="false" ht="14.25" hidden="false" customHeight="true" outlineLevel="0" collapsed="false">
      <c r="A1383" s="1" t="s">
        <v>644</v>
      </c>
      <c r="B1383" s="1" t="s">
        <v>35</v>
      </c>
      <c r="C1383" s="1" t="s">
        <v>35</v>
      </c>
      <c r="D1383" s="1" t="s">
        <v>275</v>
      </c>
      <c r="E1383" s="1" t="n">
        <v>137756</v>
      </c>
      <c r="F1383" s="1" t="n">
        <v>0.0855440852571775</v>
      </c>
      <c r="G1383" s="1" t="n">
        <v>11784.2110086877</v>
      </c>
      <c r="H1383" s="1" t="s">
        <v>451</v>
      </c>
    </row>
    <row r="1384" customFormat="false" ht="14.25" hidden="false" customHeight="true" outlineLevel="0" collapsed="false">
      <c r="A1384" s="1" t="s">
        <v>655</v>
      </c>
      <c r="B1384" s="1" t="s">
        <v>35</v>
      </c>
      <c r="C1384" s="1" t="s">
        <v>35</v>
      </c>
      <c r="D1384" s="1" t="s">
        <v>275</v>
      </c>
      <c r="E1384" s="1" t="n">
        <v>140857</v>
      </c>
      <c r="F1384" s="1" t="n">
        <v>0.0861250796795369</v>
      </c>
      <c r="G1384" s="1" t="n">
        <v>12131.3203484205</v>
      </c>
      <c r="H1384" s="1" t="s">
        <v>451</v>
      </c>
    </row>
    <row r="1385" customFormat="false" ht="14.25" hidden="false" customHeight="true" outlineLevel="0" collapsed="false">
      <c r="A1385" s="1" t="s">
        <v>682</v>
      </c>
      <c r="B1385" s="1" t="s">
        <v>35</v>
      </c>
      <c r="C1385" s="1" t="s">
        <v>35</v>
      </c>
      <c r="D1385" s="1" t="s">
        <v>275</v>
      </c>
      <c r="E1385" s="1" t="n">
        <v>146740</v>
      </c>
      <c r="F1385" s="1" t="n">
        <v>0.055610036180276</v>
      </c>
      <c r="G1385" s="1" t="n">
        <v>8160.2167090937</v>
      </c>
      <c r="H1385" s="1" t="s">
        <v>451</v>
      </c>
    </row>
    <row r="1386" customFormat="false" ht="14.25" hidden="false" customHeight="true" outlineLevel="0" collapsed="false">
      <c r="A1386" s="1" t="s">
        <v>644</v>
      </c>
      <c r="B1386" s="1" t="s">
        <v>40</v>
      </c>
      <c r="C1386" s="1" t="s">
        <v>40</v>
      </c>
      <c r="D1386" s="1" t="s">
        <v>275</v>
      </c>
      <c r="E1386" s="1" t="n">
        <v>137756</v>
      </c>
      <c r="F1386" s="1" t="n">
        <v>0.142966123730576</v>
      </c>
      <c r="G1386" s="1" t="n">
        <v>19694.4413406292</v>
      </c>
      <c r="H1386" s="1" t="s">
        <v>451</v>
      </c>
    </row>
    <row r="1387" customFormat="false" ht="14.25" hidden="false" customHeight="true" outlineLevel="0" collapsed="false">
      <c r="A1387" s="1" t="s">
        <v>655</v>
      </c>
      <c r="B1387" s="1" t="s">
        <v>40</v>
      </c>
      <c r="C1387" s="1" t="s">
        <v>40</v>
      </c>
      <c r="D1387" s="1" t="s">
        <v>275</v>
      </c>
      <c r="E1387" s="1" t="n">
        <v>140857</v>
      </c>
      <c r="F1387" s="1" t="n">
        <v>0.193641774947009</v>
      </c>
      <c r="G1387" s="1" t="n">
        <v>27275.7994937108</v>
      </c>
      <c r="H1387" s="1" t="s">
        <v>451</v>
      </c>
    </row>
    <row r="1388" customFormat="false" ht="14.25" hidden="false" customHeight="true" outlineLevel="0" collapsed="false">
      <c r="A1388" s="1" t="s">
        <v>682</v>
      </c>
      <c r="B1388" s="1" t="s">
        <v>40</v>
      </c>
      <c r="C1388" s="1" t="s">
        <v>40</v>
      </c>
      <c r="D1388" s="1" t="s">
        <v>275</v>
      </c>
      <c r="E1388" s="1" t="n">
        <v>146740</v>
      </c>
      <c r="F1388" s="1" t="n">
        <v>0.182358458491943</v>
      </c>
      <c r="G1388" s="1" t="n">
        <v>26759.2801991077</v>
      </c>
      <c r="H1388" s="1" t="s">
        <v>451</v>
      </c>
    </row>
    <row r="1389" customFormat="false" ht="14.25" hidden="false" customHeight="true" outlineLevel="0" collapsed="false">
      <c r="A1389" s="1" t="s">
        <v>644</v>
      </c>
      <c r="B1389" s="1" t="s">
        <v>87</v>
      </c>
      <c r="C1389" s="1" t="s">
        <v>701</v>
      </c>
      <c r="D1389" s="1" t="s">
        <v>275</v>
      </c>
      <c r="E1389" s="1" t="n">
        <v>137756</v>
      </c>
      <c r="F1389" s="1" t="n">
        <v>0.148830177998923</v>
      </c>
      <c r="G1389" s="1" t="n">
        <v>20502.2500004196</v>
      </c>
      <c r="H1389" s="1" t="s">
        <v>451</v>
      </c>
    </row>
    <row r="1390" customFormat="false" ht="14.25" hidden="false" customHeight="true" outlineLevel="0" collapsed="false">
      <c r="A1390" s="1" t="s">
        <v>655</v>
      </c>
      <c r="B1390" s="1" t="s">
        <v>87</v>
      </c>
      <c r="C1390" s="1" t="s">
        <v>701</v>
      </c>
      <c r="D1390" s="1" t="s">
        <v>275</v>
      </c>
      <c r="E1390" s="1" t="n">
        <v>140857</v>
      </c>
      <c r="F1390" s="1" t="n">
        <v>0.165505113968682</v>
      </c>
      <c r="G1390" s="1" t="n">
        <v>23312.5538382866</v>
      </c>
      <c r="H1390" s="1" t="s">
        <v>451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701</v>
      </c>
      <c r="D1391" s="1" t="s">
        <v>275</v>
      </c>
      <c r="E1391" s="1" t="n">
        <v>146740</v>
      </c>
      <c r="F1391" s="1" t="n">
        <v>0.170974700825347</v>
      </c>
      <c r="G1391" s="1" t="n">
        <v>25088.8275991114</v>
      </c>
      <c r="H1391" s="1" t="s">
        <v>451</v>
      </c>
    </row>
    <row r="1392" customFormat="false" ht="14.25" hidden="false" customHeight="true" outlineLevel="0" collapsed="false">
      <c r="A1392" s="1" t="s">
        <v>644</v>
      </c>
      <c r="B1392" s="1" t="s">
        <v>85</v>
      </c>
      <c r="C1392" s="1" t="s">
        <v>702</v>
      </c>
      <c r="D1392" s="1" t="s">
        <v>275</v>
      </c>
      <c r="E1392" s="1" t="n">
        <v>137756</v>
      </c>
      <c r="F1392" s="1" t="n">
        <v>0.319464004034977</v>
      </c>
      <c r="G1392" s="1" t="n">
        <v>44008.0833398423</v>
      </c>
      <c r="H1392" s="1" t="s">
        <v>451</v>
      </c>
    </row>
    <row r="1393" customFormat="false" ht="14.25" hidden="false" customHeight="true" outlineLevel="0" collapsed="false">
      <c r="A1393" s="1" t="s">
        <v>655</v>
      </c>
      <c r="B1393" s="1" t="s">
        <v>85</v>
      </c>
      <c r="C1393" s="1" t="s">
        <v>702</v>
      </c>
      <c r="D1393" s="1" t="s">
        <v>275</v>
      </c>
      <c r="E1393" s="1" t="n">
        <v>140857</v>
      </c>
      <c r="F1393" s="1" t="n">
        <v>0.293099708996474</v>
      </c>
      <c r="G1393" s="1" t="n">
        <v>41285.1457101163</v>
      </c>
      <c r="H1393" s="1" t="s">
        <v>451</v>
      </c>
    </row>
    <row r="1394" customFormat="false" ht="14.25" hidden="false" customHeight="true" outlineLevel="0" collapsed="false">
      <c r="A1394" s="1" t="s">
        <v>682</v>
      </c>
      <c r="B1394" s="1" t="s">
        <v>85</v>
      </c>
      <c r="C1394" s="1" t="s">
        <v>702</v>
      </c>
      <c r="D1394" s="1" t="s">
        <v>275</v>
      </c>
      <c r="E1394" s="1" t="n">
        <v>146740</v>
      </c>
      <c r="F1394" s="1" t="n">
        <v>0.299382438917867</v>
      </c>
      <c r="G1394" s="1" t="n">
        <v>43931.3790868078</v>
      </c>
      <c r="H1394" s="1" t="s">
        <v>451</v>
      </c>
    </row>
    <row r="1395" customFormat="false" ht="14.25" hidden="false" customHeight="true" outlineLevel="0" collapsed="false">
      <c r="A1395" s="1" t="s">
        <v>644</v>
      </c>
      <c r="B1395" s="1" t="s">
        <v>50</v>
      </c>
      <c r="C1395" s="1" t="s">
        <v>50</v>
      </c>
      <c r="D1395" s="1" t="s">
        <v>275</v>
      </c>
      <c r="E1395" s="1" t="n">
        <v>137756</v>
      </c>
      <c r="F1395" s="1" t="n">
        <v>0.305046267385157</v>
      </c>
      <c r="G1395" s="1" t="n">
        <v>42021.9536099097</v>
      </c>
      <c r="H1395" s="1" t="s">
        <v>451</v>
      </c>
    </row>
    <row r="1396" customFormat="false" ht="14.25" hidden="false" customHeight="true" outlineLevel="0" collapsed="false">
      <c r="A1396" s="1" t="s">
        <v>655</v>
      </c>
      <c r="B1396" s="1" t="s">
        <v>50</v>
      </c>
      <c r="C1396" s="1" t="s">
        <v>50</v>
      </c>
      <c r="D1396" s="1" t="s">
        <v>275</v>
      </c>
      <c r="E1396" s="1" t="n">
        <v>140857</v>
      </c>
      <c r="F1396" s="1" t="n">
        <v>0.340289469983525</v>
      </c>
      <c r="G1396" s="1" t="n">
        <v>47932.1538734694</v>
      </c>
      <c r="H1396" s="1" t="s">
        <v>451</v>
      </c>
    </row>
    <row r="1397" customFormat="false" ht="14.25" hidden="false" customHeight="true" outlineLevel="0" collapsed="false">
      <c r="A1397" s="1" t="s">
        <v>682</v>
      </c>
      <c r="B1397" s="1" t="s">
        <v>50</v>
      </c>
      <c r="C1397" s="1" t="s">
        <v>50</v>
      </c>
      <c r="D1397" s="1" t="s">
        <v>275</v>
      </c>
      <c r="E1397" s="1" t="n">
        <v>146740</v>
      </c>
      <c r="F1397" s="1" t="n">
        <v>0.581586901648213</v>
      </c>
      <c r="G1397" s="1" t="n">
        <v>85342.0619478588</v>
      </c>
      <c r="H1397" s="1" t="s">
        <v>451</v>
      </c>
    </row>
    <row r="1398" customFormat="false" ht="14.25" hidden="false" customHeight="true" outlineLevel="0" collapsed="false">
      <c r="A1398" s="1" t="s">
        <v>644</v>
      </c>
      <c r="B1398" s="1" t="s">
        <v>45</v>
      </c>
      <c r="C1398" s="1" t="s">
        <v>727</v>
      </c>
      <c r="D1398" s="1" t="s">
        <v>275</v>
      </c>
      <c r="E1398" s="1" t="n">
        <v>137756</v>
      </c>
      <c r="F1398" s="1" t="n">
        <v>0.378228421498273</v>
      </c>
      <c r="G1398" s="1" t="n">
        <v>52103.2344319161</v>
      </c>
      <c r="H1398" s="1" t="s">
        <v>728</v>
      </c>
    </row>
    <row r="1399" customFormat="false" ht="14.25" hidden="false" customHeight="true" outlineLevel="0" collapsed="false">
      <c r="A1399" s="1" t="s">
        <v>655</v>
      </c>
      <c r="B1399" s="1" t="s">
        <v>45</v>
      </c>
      <c r="C1399" s="1" t="s">
        <v>727</v>
      </c>
      <c r="D1399" s="1" t="s">
        <v>275</v>
      </c>
      <c r="E1399" s="1" t="n">
        <v>140857</v>
      </c>
      <c r="F1399" s="1" t="n">
        <v>0.377040492601736</v>
      </c>
      <c r="G1399" s="1" t="n">
        <v>53108.7926664027</v>
      </c>
      <c r="H1399" s="1" t="s">
        <v>728</v>
      </c>
    </row>
    <row r="1400" customFormat="false" ht="14.25" hidden="false" customHeight="true" outlineLevel="0" collapsed="false">
      <c r="A1400" s="1" t="s">
        <v>682</v>
      </c>
      <c r="B1400" s="1" t="s">
        <v>45</v>
      </c>
      <c r="C1400" s="1" t="s">
        <v>727</v>
      </c>
      <c r="D1400" s="1" t="s">
        <v>275</v>
      </c>
      <c r="E1400" s="1" t="n">
        <v>146740</v>
      </c>
      <c r="F1400" s="1" t="n">
        <v>0.444492255237207</v>
      </c>
      <c r="G1400" s="1" t="n">
        <v>65224.7935335077</v>
      </c>
      <c r="H1400" s="1" t="s">
        <v>728</v>
      </c>
    </row>
    <row r="1401" customFormat="false" ht="14.25" hidden="false" customHeight="true" outlineLevel="0" collapsed="false">
      <c r="A1401" s="1" t="s">
        <v>644</v>
      </c>
      <c r="B1401" s="1" t="s">
        <v>41</v>
      </c>
      <c r="C1401" s="1" t="s">
        <v>41</v>
      </c>
      <c r="D1401" s="1" t="s">
        <v>275</v>
      </c>
      <c r="E1401" s="1" t="n">
        <v>137756</v>
      </c>
      <c r="F1401" s="1" t="n">
        <v>0.0950854396452147</v>
      </c>
      <c r="G1401" s="1" t="n">
        <v>13098.5898237662</v>
      </c>
      <c r="H1401" s="1" t="s">
        <v>451</v>
      </c>
    </row>
    <row r="1402" customFormat="false" ht="14.25" hidden="false" customHeight="true" outlineLevel="0" collapsed="false">
      <c r="A1402" s="1" t="s">
        <v>655</v>
      </c>
      <c r="B1402" s="1" t="s">
        <v>41</v>
      </c>
      <c r="C1402" s="1" t="s">
        <v>41</v>
      </c>
      <c r="D1402" s="1" t="s">
        <v>275</v>
      </c>
      <c r="E1402" s="1" t="n">
        <v>140857</v>
      </c>
      <c r="F1402" s="1" t="n">
        <v>0.0926479707456773</v>
      </c>
      <c r="G1402" s="1" t="n">
        <v>13050.1152153239</v>
      </c>
      <c r="H1402" s="1" t="s">
        <v>451</v>
      </c>
    </row>
    <row r="1403" customFormat="false" ht="14.25" hidden="false" customHeight="true" outlineLevel="0" collapsed="false">
      <c r="A1403" s="1" t="s">
        <v>682</v>
      </c>
      <c r="B1403" s="1" t="s">
        <v>41</v>
      </c>
      <c r="C1403" s="1" t="s">
        <v>41</v>
      </c>
      <c r="D1403" s="1" t="s">
        <v>275</v>
      </c>
      <c r="E1403" s="1" t="n">
        <v>146740</v>
      </c>
      <c r="F1403" s="1" t="n">
        <v>0.0997407208857964</v>
      </c>
      <c r="G1403" s="1" t="n">
        <v>14635.9533827818</v>
      </c>
      <c r="H1403" s="1" t="s">
        <v>451</v>
      </c>
    </row>
    <row r="1404" customFormat="false" ht="14.25" hidden="false" customHeight="true" outlineLevel="0" collapsed="false">
      <c r="A1404" s="1" t="s">
        <v>707</v>
      </c>
      <c r="B1404" s="1" t="s">
        <v>43</v>
      </c>
      <c r="C1404" s="1" t="s">
        <v>43</v>
      </c>
      <c r="D1404" s="1" t="s">
        <v>275</v>
      </c>
      <c r="E1404" s="1" t="n">
        <v>143735</v>
      </c>
      <c r="F1404" s="1" t="n">
        <v>0.133549418333057</v>
      </c>
      <c r="G1404" s="1" t="n">
        <v>19195.725644102</v>
      </c>
      <c r="H1404" s="1" t="s">
        <v>729</v>
      </c>
    </row>
    <row r="1405" customFormat="false" ht="14.25" hidden="false" customHeight="true" outlineLevel="0" collapsed="false">
      <c r="A1405" s="1" t="s">
        <v>707</v>
      </c>
      <c r="B1405" s="1" t="s">
        <v>31</v>
      </c>
      <c r="C1405" s="1" t="s">
        <v>31</v>
      </c>
      <c r="D1405" s="1" t="s">
        <v>275</v>
      </c>
      <c r="E1405" s="1" t="n">
        <v>143735</v>
      </c>
      <c r="F1405" s="1" t="n">
        <v>0.2292008608622</v>
      </c>
      <c r="G1405" s="1" t="n">
        <v>32944.1857360283</v>
      </c>
      <c r="H1405" s="1" t="s">
        <v>729</v>
      </c>
    </row>
    <row r="1406" customFormat="false" ht="14.25" hidden="false" customHeight="true" outlineLevel="0" collapsed="false">
      <c r="A1406" s="1" t="s">
        <v>707</v>
      </c>
      <c r="B1406" s="1" t="s">
        <v>452</v>
      </c>
      <c r="C1406" s="1" t="s">
        <v>86</v>
      </c>
      <c r="D1406" s="1" t="s">
        <v>275</v>
      </c>
      <c r="E1406" s="1" t="n">
        <v>143735</v>
      </c>
      <c r="F1406" s="1" t="n">
        <v>0.227639578183536</v>
      </c>
      <c r="G1406" s="1" t="n">
        <v>32719.7747702106</v>
      </c>
      <c r="H1406" s="1" t="s">
        <v>730</v>
      </c>
    </row>
    <row r="1407" customFormat="false" ht="14.25" hidden="false" customHeight="true" outlineLevel="0" collapsed="false">
      <c r="A1407" s="1" t="s">
        <v>707</v>
      </c>
      <c r="B1407" s="1" t="s">
        <v>81</v>
      </c>
      <c r="C1407" s="1" t="s">
        <v>81</v>
      </c>
      <c r="D1407" s="1" t="s">
        <v>275</v>
      </c>
      <c r="E1407" s="1" t="n">
        <v>143735</v>
      </c>
      <c r="F1407" s="1" t="n">
        <v>0.0755298089150293</v>
      </c>
      <c r="G1407" s="1" t="n">
        <v>10856.2770844017</v>
      </c>
      <c r="H1407" s="1" t="s">
        <v>729</v>
      </c>
    </row>
    <row r="1408" customFormat="false" ht="14.25" hidden="false" customHeight="true" outlineLevel="0" collapsed="false">
      <c r="A1408" s="1" t="s">
        <v>707</v>
      </c>
      <c r="B1408" s="1" t="s">
        <v>85</v>
      </c>
      <c r="C1408" s="1" t="s">
        <v>702</v>
      </c>
      <c r="D1408" s="1" t="s">
        <v>275</v>
      </c>
      <c r="E1408" s="1" t="n">
        <v>143735</v>
      </c>
      <c r="F1408" s="1" t="n">
        <v>0.354864617185628</v>
      </c>
      <c r="G1408" s="1" t="n">
        <v>51006.4657511762</v>
      </c>
      <c r="H1408" s="1" t="s">
        <v>729</v>
      </c>
    </row>
    <row r="1409" customFormat="false" ht="14.25" hidden="false" customHeight="true" outlineLevel="0" collapsed="false">
      <c r="A1409" s="1" t="s">
        <v>707</v>
      </c>
      <c r="B1409" s="1" t="s">
        <v>87</v>
      </c>
      <c r="C1409" s="1" t="s">
        <v>701</v>
      </c>
      <c r="D1409" s="1" t="s">
        <v>275</v>
      </c>
      <c r="E1409" s="1" t="n">
        <v>143735</v>
      </c>
      <c r="F1409" s="1" t="n">
        <v>0.189483363159789</v>
      </c>
      <c r="G1409" s="1" t="n">
        <v>27235.3912037723</v>
      </c>
      <c r="H1409" s="1" t="s">
        <v>729</v>
      </c>
    </row>
    <row r="1410" customFormat="false" ht="14.25" hidden="false" customHeight="true" outlineLevel="0" collapsed="false">
      <c r="A1410" s="1" t="s">
        <v>707</v>
      </c>
      <c r="B1410" s="1" t="s">
        <v>35</v>
      </c>
      <c r="C1410" s="1" t="s">
        <v>35</v>
      </c>
      <c r="D1410" s="1" t="s">
        <v>275</v>
      </c>
      <c r="E1410" s="1" t="n">
        <v>143735</v>
      </c>
      <c r="F1410" s="1" t="n">
        <v>0.121489966963165</v>
      </c>
      <c r="G1410" s="1" t="n">
        <v>17462.3604014505</v>
      </c>
      <c r="H1410" s="1" t="s">
        <v>729</v>
      </c>
    </row>
    <row r="1411" customFormat="false" ht="14.25" hidden="false" customHeight="true" outlineLevel="0" collapsed="false">
      <c r="A1411" s="1" t="s">
        <v>707</v>
      </c>
      <c r="B1411" s="1" t="s">
        <v>143</v>
      </c>
      <c r="C1411" s="1" t="s">
        <v>527</v>
      </c>
      <c r="D1411" s="1" t="s">
        <v>275</v>
      </c>
      <c r="E1411" s="1" t="n">
        <v>143735</v>
      </c>
      <c r="F1411" s="1" t="n">
        <v>0.250576029595696</v>
      </c>
      <c r="G1411" s="1" t="n">
        <v>36016.5456139374</v>
      </c>
      <c r="H1411" s="1" t="s">
        <v>731</v>
      </c>
    </row>
    <row r="1412" customFormat="false" ht="14.25" hidden="false" customHeight="true" outlineLevel="0" collapsed="false">
      <c r="A1412" s="1" t="s">
        <v>707</v>
      </c>
      <c r="B1412" s="1" t="s">
        <v>40</v>
      </c>
      <c r="C1412" s="1" t="s">
        <v>40</v>
      </c>
      <c r="D1412" s="1" t="s">
        <v>275</v>
      </c>
      <c r="E1412" s="1" t="n">
        <v>143735</v>
      </c>
      <c r="F1412" s="1" t="n">
        <v>0.206774854369887</v>
      </c>
      <c r="G1412" s="1" t="n">
        <v>29720.7836928557</v>
      </c>
      <c r="H1412" s="1" t="s">
        <v>729</v>
      </c>
    </row>
    <row r="1413" customFormat="false" ht="14.25" hidden="false" customHeight="true" outlineLevel="0" collapsed="false">
      <c r="A1413" s="1" t="s">
        <v>707</v>
      </c>
      <c r="B1413" s="1" t="s">
        <v>41</v>
      </c>
      <c r="C1413" s="1" t="s">
        <v>41</v>
      </c>
      <c r="D1413" s="1" t="s">
        <v>275</v>
      </c>
      <c r="E1413" s="1" t="n">
        <v>143735</v>
      </c>
      <c r="F1413" s="1" t="n">
        <v>0.100200858026981</v>
      </c>
      <c r="G1413" s="1" t="n">
        <v>14402.3703285081</v>
      </c>
      <c r="H1413" s="1" t="s">
        <v>729</v>
      </c>
    </row>
    <row r="1414" customFormat="false" ht="14.25" hidden="false" customHeight="true" outlineLevel="0" collapsed="false">
      <c r="A1414" s="1" t="s">
        <v>707</v>
      </c>
      <c r="B1414" s="1" t="s">
        <v>141</v>
      </c>
      <c r="C1414" s="1" t="s">
        <v>528</v>
      </c>
      <c r="D1414" s="1" t="s">
        <v>275</v>
      </c>
      <c r="E1414" s="1" t="n">
        <v>143735</v>
      </c>
      <c r="F1414" s="1" t="n">
        <v>0.127886007343671</v>
      </c>
      <c r="G1414" s="1" t="n">
        <v>18381.6952655426</v>
      </c>
      <c r="H1414" s="1" t="s">
        <v>731</v>
      </c>
    </row>
    <row r="1415" customFormat="false" ht="14.25" hidden="false" customHeight="true" outlineLevel="0" collapsed="false">
      <c r="A1415" s="1" t="s">
        <v>707</v>
      </c>
      <c r="B1415" s="1" t="s">
        <v>80</v>
      </c>
      <c r="C1415" s="1" t="s">
        <v>80</v>
      </c>
      <c r="D1415" s="1" t="s">
        <v>275</v>
      </c>
      <c r="E1415" s="1" t="n">
        <v>143735</v>
      </c>
      <c r="F1415" s="1" t="n">
        <v>0.0592394872348271</v>
      </c>
      <c r="G1415" s="1" t="n">
        <v>8514.78769769787</v>
      </c>
      <c r="H1415" s="1" t="s">
        <v>729</v>
      </c>
    </row>
    <row r="1416" customFormat="false" ht="14.25" hidden="false" customHeight="true" outlineLevel="0" collapsed="false">
      <c r="A1416" s="1" t="s">
        <v>707</v>
      </c>
      <c r="B1416" s="1" t="s">
        <v>42</v>
      </c>
      <c r="C1416" s="1" t="s">
        <v>42</v>
      </c>
      <c r="D1416" s="1" t="s">
        <v>275</v>
      </c>
      <c r="E1416" s="1" t="n">
        <v>143735</v>
      </c>
      <c r="F1416" s="1" t="n">
        <v>0.146015404816941</v>
      </c>
      <c r="G1416" s="1" t="n">
        <v>20987.524211363</v>
      </c>
      <c r="H1416" s="1" t="s">
        <v>729</v>
      </c>
    </row>
    <row r="1417" customFormat="false" ht="14.25" hidden="false" customHeight="true" outlineLevel="0" collapsed="false">
      <c r="A1417" s="1" t="s">
        <v>707</v>
      </c>
      <c r="B1417" s="1" t="s">
        <v>50</v>
      </c>
      <c r="C1417" s="1" t="s">
        <v>50</v>
      </c>
      <c r="D1417" s="1" t="s">
        <v>275</v>
      </c>
      <c r="E1417" s="1" t="n">
        <v>143735</v>
      </c>
      <c r="F1417" s="1" t="n">
        <v>0.514268713652095</v>
      </c>
      <c r="G1417" s="1" t="n">
        <v>73918.4135567839</v>
      </c>
      <c r="H1417" s="1" t="s">
        <v>729</v>
      </c>
    </row>
    <row r="1418" customFormat="false" ht="14.25" hidden="false" customHeight="true" outlineLevel="0" collapsed="false">
      <c r="A1418" s="1" t="s">
        <v>707</v>
      </c>
      <c r="B1418" s="1" t="s">
        <v>36</v>
      </c>
      <c r="C1418" s="1" t="s">
        <v>36</v>
      </c>
      <c r="D1418" s="1" t="s">
        <v>275</v>
      </c>
      <c r="E1418" s="1" t="n">
        <v>143735</v>
      </c>
      <c r="F1418" s="1" t="n">
        <v>0.385410473461211</v>
      </c>
      <c r="G1418" s="1" t="n">
        <v>55396.9744029472</v>
      </c>
      <c r="H1418" s="1" t="s">
        <v>729</v>
      </c>
    </row>
    <row r="1419" customFormat="false" ht="14.25" hidden="false" customHeight="true" outlineLevel="0" collapsed="false">
      <c r="A1419" s="1" t="s">
        <v>707</v>
      </c>
      <c r="B1419" s="1" t="s">
        <v>34</v>
      </c>
      <c r="C1419" s="1" t="s">
        <v>34</v>
      </c>
      <c r="D1419" s="1" t="s">
        <v>275</v>
      </c>
      <c r="E1419" s="1" t="n">
        <v>143735</v>
      </c>
      <c r="F1419" s="1" t="n">
        <v>0.301559381974413</v>
      </c>
      <c r="G1419" s="1" t="n">
        <v>43344.6377680923</v>
      </c>
      <c r="H1419" s="1" t="s">
        <v>729</v>
      </c>
    </row>
    <row r="1420" customFormat="false" ht="14.25" hidden="false" customHeight="true" outlineLevel="0" collapsed="false">
      <c r="A1420" s="1" t="s">
        <v>707</v>
      </c>
      <c r="B1420" s="1" t="s">
        <v>83</v>
      </c>
      <c r="C1420" s="1" t="s">
        <v>83</v>
      </c>
      <c r="D1420" s="1" t="s">
        <v>275</v>
      </c>
      <c r="E1420" s="1" t="n">
        <v>143735</v>
      </c>
      <c r="F1420" s="1" t="n">
        <v>0.0867203628637302</v>
      </c>
      <c r="G1420" s="1" t="n">
        <v>12464.7513562183</v>
      </c>
      <c r="H1420" s="1" t="s">
        <v>729</v>
      </c>
    </row>
    <row r="1421" customFormat="false" ht="14.25" hidden="false" customHeight="true" outlineLevel="0" collapsed="false">
      <c r="A1421" s="1" t="s">
        <v>707</v>
      </c>
      <c r="B1421" s="1" t="s">
        <v>726</v>
      </c>
      <c r="C1421" s="1" t="s">
        <v>726</v>
      </c>
      <c r="D1421" s="1" t="s">
        <v>275</v>
      </c>
      <c r="E1421" s="1" t="n">
        <v>143735</v>
      </c>
      <c r="F1421" s="1" t="n">
        <v>0.539850636506568</v>
      </c>
      <c r="G1421" s="1" t="n">
        <v>77595.4312382715</v>
      </c>
      <c r="H1421" s="1" t="s">
        <v>732</v>
      </c>
    </row>
    <row r="1422" customFormat="false" ht="14.25" hidden="false" customHeight="true" outlineLevel="0" collapsed="false">
      <c r="A1422" s="1" t="s">
        <v>707</v>
      </c>
      <c r="B1422" s="1" t="s">
        <v>45</v>
      </c>
      <c r="C1422" s="1" t="s">
        <v>727</v>
      </c>
      <c r="D1422" s="1" t="s">
        <v>275</v>
      </c>
      <c r="E1422" s="1" t="n">
        <v>143735</v>
      </c>
      <c r="F1422" s="1" t="n">
        <v>0.37013595299448</v>
      </c>
      <c r="G1422" s="1" t="n">
        <v>53201.4912036616</v>
      </c>
      <c r="H1422" s="1" t="s">
        <v>733</v>
      </c>
    </row>
    <row r="1423" customFormat="false" ht="14.25" hidden="false" customHeight="true" outlineLevel="0" collapsed="false">
      <c r="A1423" s="1" t="s">
        <v>707</v>
      </c>
      <c r="B1423" s="1" t="s">
        <v>55</v>
      </c>
      <c r="C1423" s="1" t="s">
        <v>705</v>
      </c>
      <c r="D1423" s="1" t="s">
        <v>287</v>
      </c>
      <c r="E1423" s="1" t="n">
        <v>1</v>
      </c>
      <c r="F1423" s="1" t="n">
        <v>35896.54</v>
      </c>
      <c r="G1423" s="1" t="n">
        <v>35896.54</v>
      </c>
      <c r="H1423" s="1" t="s">
        <v>734</v>
      </c>
    </row>
    <row r="1424" customFormat="false" ht="14.25" hidden="false" customHeight="true" outlineLevel="0" collapsed="false">
      <c r="A1424" s="1" t="s">
        <v>707</v>
      </c>
      <c r="B1424" s="1" t="s">
        <v>55</v>
      </c>
      <c r="C1424" s="1" t="s">
        <v>705</v>
      </c>
      <c r="D1424" s="1" t="s">
        <v>293</v>
      </c>
      <c r="E1424" s="1" t="n">
        <v>1</v>
      </c>
      <c r="F1424" s="1" t="n">
        <v>21063.91</v>
      </c>
      <c r="G1424" s="1" t="n">
        <v>21063.91</v>
      </c>
      <c r="H1424" s="1" t="s">
        <v>734</v>
      </c>
    </row>
    <row r="1425" customFormat="false" ht="14.25" hidden="false" customHeight="true" outlineLevel="0" collapsed="false">
      <c r="A1425" s="1" t="s">
        <v>707</v>
      </c>
      <c r="B1425" s="1" t="s">
        <v>55</v>
      </c>
      <c r="C1425" s="1" t="s">
        <v>705</v>
      </c>
      <c r="D1425" s="1" t="s">
        <v>290</v>
      </c>
      <c r="E1425" s="1" t="n">
        <v>1</v>
      </c>
      <c r="F1425" s="1" t="n">
        <v>39812</v>
      </c>
      <c r="G1425" s="1" t="n">
        <v>39812</v>
      </c>
      <c r="H1425" s="1" t="s">
        <v>734</v>
      </c>
    </row>
    <row r="1426" customFormat="false" ht="14.25" hidden="false" customHeight="true" outlineLevel="0" collapsed="false">
      <c r="A1426" s="1" t="s">
        <v>707</v>
      </c>
      <c r="B1426" s="1" t="s">
        <v>55</v>
      </c>
      <c r="C1426" s="1" t="s">
        <v>705</v>
      </c>
      <c r="D1426" s="1" t="s">
        <v>284</v>
      </c>
      <c r="E1426" s="1" t="n">
        <v>1</v>
      </c>
      <c r="F1426" s="1" t="n">
        <v>86092.65</v>
      </c>
      <c r="G1426" s="1" t="n">
        <v>86092.65</v>
      </c>
      <c r="H1426" s="1" t="s">
        <v>734</v>
      </c>
    </row>
    <row r="1427" customFormat="false" ht="14.25" hidden="false" customHeight="true" outlineLevel="0" collapsed="false">
      <c r="A1427" s="1" t="s">
        <v>707</v>
      </c>
      <c r="B1427" s="1" t="s">
        <v>55</v>
      </c>
      <c r="C1427" s="1" t="s">
        <v>705</v>
      </c>
      <c r="D1427" s="1" t="s">
        <v>285</v>
      </c>
      <c r="E1427" s="1" t="n">
        <v>1</v>
      </c>
      <c r="F1427" s="1" t="n">
        <v>25200.24</v>
      </c>
      <c r="G1427" s="1" t="n">
        <v>25200.24</v>
      </c>
      <c r="H1427" s="1" t="s">
        <v>734</v>
      </c>
    </row>
    <row r="1428" customFormat="false" ht="14.25" hidden="false" customHeight="true" outlineLevel="0" collapsed="false">
      <c r="A1428" s="1" t="s">
        <v>707</v>
      </c>
      <c r="B1428" s="1" t="s">
        <v>55</v>
      </c>
      <c r="C1428" s="1" t="s">
        <v>705</v>
      </c>
      <c r="D1428" s="1" t="s">
        <v>282</v>
      </c>
      <c r="E1428" s="1" t="n">
        <v>1</v>
      </c>
      <c r="F1428" s="1" t="n">
        <v>30881.55</v>
      </c>
      <c r="G1428" s="1" t="n">
        <v>30881.55</v>
      </c>
      <c r="H1428" s="1" t="s">
        <v>734</v>
      </c>
    </row>
    <row r="1429" customFormat="false" ht="14.25" hidden="false" customHeight="true" outlineLevel="0" collapsed="false">
      <c r="A1429" s="1" t="s">
        <v>655</v>
      </c>
      <c r="B1429" s="1" t="s">
        <v>54</v>
      </c>
      <c r="C1429" s="1" t="s">
        <v>54</v>
      </c>
      <c r="D1429" s="1" t="s">
        <v>287</v>
      </c>
      <c r="E1429" s="1" t="n">
        <v>1</v>
      </c>
      <c r="F1429" s="1" t="n">
        <v>1001.17894472222</v>
      </c>
      <c r="G1429" s="1" t="n">
        <v>1001.17894472222</v>
      </c>
      <c r="H1429" s="1" t="s">
        <v>735</v>
      </c>
    </row>
    <row r="1430" customFormat="false" ht="14.25" hidden="false" customHeight="true" outlineLevel="0" collapsed="false">
      <c r="A1430" s="1" t="s">
        <v>655</v>
      </c>
      <c r="B1430" s="1" t="s">
        <v>54</v>
      </c>
      <c r="C1430" s="1" t="s">
        <v>54</v>
      </c>
      <c r="D1430" s="1" t="s">
        <v>289</v>
      </c>
      <c r="E1430" s="1" t="n">
        <v>1</v>
      </c>
      <c r="F1430" s="1" t="n">
        <v>1001.17894472222</v>
      </c>
      <c r="G1430" s="1" t="n">
        <v>1001.17894472222</v>
      </c>
      <c r="H1430" s="1" t="s">
        <v>735</v>
      </c>
    </row>
    <row r="1431" customFormat="false" ht="14.25" hidden="false" customHeight="true" outlineLevel="0" collapsed="false">
      <c r="A1431" s="1" t="s">
        <v>655</v>
      </c>
      <c r="B1431" s="1" t="s">
        <v>54</v>
      </c>
      <c r="C1431" s="1" t="s">
        <v>54</v>
      </c>
      <c r="D1431" s="1" t="s">
        <v>293</v>
      </c>
      <c r="E1431" s="1" t="n">
        <v>1</v>
      </c>
      <c r="F1431" s="1" t="n">
        <v>1001.17894472222</v>
      </c>
      <c r="G1431" s="1" t="n">
        <v>1001.17894472222</v>
      </c>
      <c r="H1431" s="1" t="s">
        <v>735</v>
      </c>
    </row>
    <row r="1432" customFormat="false" ht="14.25" hidden="false" customHeight="true" outlineLevel="0" collapsed="false">
      <c r="A1432" s="1" t="s">
        <v>655</v>
      </c>
      <c r="B1432" s="1" t="s">
        <v>54</v>
      </c>
      <c r="C1432" s="1" t="s">
        <v>54</v>
      </c>
      <c r="D1432" s="1" t="s">
        <v>290</v>
      </c>
      <c r="E1432" s="1" t="n">
        <v>1</v>
      </c>
      <c r="F1432" s="1" t="n">
        <v>1001.17894472222</v>
      </c>
      <c r="G1432" s="1" t="n">
        <v>1001.17894472222</v>
      </c>
      <c r="H1432" s="1" t="s">
        <v>735</v>
      </c>
    </row>
    <row r="1433" customFormat="false" ht="14.25" hidden="false" customHeight="true" outlineLevel="0" collapsed="false">
      <c r="A1433" s="1" t="s">
        <v>655</v>
      </c>
      <c r="B1433" s="1" t="s">
        <v>54</v>
      </c>
      <c r="C1433" s="1" t="s">
        <v>54</v>
      </c>
      <c r="D1433" s="1" t="s">
        <v>284</v>
      </c>
      <c r="E1433" s="1" t="n">
        <v>1</v>
      </c>
      <c r="F1433" s="1" t="n">
        <v>1001.17894472222</v>
      </c>
      <c r="G1433" s="1" t="n">
        <v>1001.17894472222</v>
      </c>
      <c r="H1433" s="1" t="s">
        <v>735</v>
      </c>
    </row>
    <row r="1434" customFormat="false" ht="14.25" hidden="false" customHeight="true" outlineLevel="0" collapsed="false">
      <c r="A1434" s="1" t="s">
        <v>655</v>
      </c>
      <c r="B1434" s="1" t="s">
        <v>54</v>
      </c>
      <c r="C1434" s="1" t="s">
        <v>54</v>
      </c>
      <c r="D1434" s="1" t="s">
        <v>285</v>
      </c>
      <c r="E1434" s="1" t="n">
        <v>1</v>
      </c>
      <c r="F1434" s="1" t="n">
        <v>1001.17894472222</v>
      </c>
      <c r="G1434" s="1" t="n">
        <v>1001.17894472222</v>
      </c>
      <c r="H1434" s="1" t="s">
        <v>735</v>
      </c>
    </row>
    <row r="1435" customFormat="false" ht="14.25" hidden="false" customHeight="true" outlineLevel="0" collapsed="false">
      <c r="A1435" s="1" t="s">
        <v>655</v>
      </c>
      <c r="B1435" s="1" t="s">
        <v>54</v>
      </c>
      <c r="C1435" s="1" t="s">
        <v>54</v>
      </c>
      <c r="D1435" s="1" t="s">
        <v>282</v>
      </c>
      <c r="E1435" s="1" t="n">
        <v>1</v>
      </c>
      <c r="F1435" s="1" t="n">
        <v>1001.17894472222</v>
      </c>
      <c r="G1435" s="1" t="n">
        <v>1001.17894472222</v>
      </c>
      <c r="H1435" s="1" t="s">
        <v>735</v>
      </c>
    </row>
    <row r="1436" customFormat="false" ht="14.25" hidden="false" customHeight="true" outlineLevel="0" collapsed="false">
      <c r="A1436" s="1" t="s">
        <v>655</v>
      </c>
      <c r="B1436" s="1" t="s">
        <v>54</v>
      </c>
      <c r="C1436" s="1" t="s">
        <v>54</v>
      </c>
      <c r="D1436" s="1" t="s">
        <v>275</v>
      </c>
      <c r="E1436" s="1" t="n">
        <v>1</v>
      </c>
      <c r="F1436" s="1" t="n">
        <v>1001.17894472222</v>
      </c>
      <c r="G1436" s="1" t="n">
        <v>1001.17894472222</v>
      </c>
      <c r="H1436" s="1" t="s">
        <v>735</v>
      </c>
    </row>
    <row r="1437" customFormat="false" ht="14.25" hidden="false" customHeight="true" outlineLevel="0" collapsed="false">
      <c r="A1437" s="1" t="s">
        <v>682</v>
      </c>
      <c r="B1437" s="1" t="s">
        <v>54</v>
      </c>
      <c r="C1437" s="1" t="s">
        <v>54</v>
      </c>
      <c r="D1437" s="1" t="s">
        <v>287</v>
      </c>
      <c r="E1437" s="1" t="n">
        <v>1</v>
      </c>
      <c r="F1437" s="1" t="n">
        <v>1705.37694610811</v>
      </c>
      <c r="G1437" s="1" t="n">
        <v>1705.37694610811</v>
      </c>
      <c r="H1437" s="1" t="s">
        <v>736</v>
      </c>
    </row>
    <row r="1438" customFormat="false" ht="14.25" hidden="false" customHeight="true" outlineLevel="0" collapsed="false">
      <c r="A1438" s="1" t="s">
        <v>682</v>
      </c>
      <c r="B1438" s="1" t="s">
        <v>54</v>
      </c>
      <c r="C1438" s="1" t="s">
        <v>54</v>
      </c>
      <c r="D1438" s="1" t="s">
        <v>289</v>
      </c>
      <c r="E1438" s="1" t="n">
        <v>1</v>
      </c>
      <c r="F1438" s="1" t="n">
        <v>1705.37694610811</v>
      </c>
      <c r="G1438" s="1" t="n">
        <v>1705.37694610811</v>
      </c>
      <c r="H1438" s="1" t="s">
        <v>736</v>
      </c>
    </row>
    <row r="1439" customFormat="false" ht="14.25" hidden="false" customHeight="true" outlineLevel="0" collapsed="false">
      <c r="A1439" s="1" t="s">
        <v>682</v>
      </c>
      <c r="B1439" s="1" t="s">
        <v>54</v>
      </c>
      <c r="C1439" s="1" t="s">
        <v>54</v>
      </c>
      <c r="D1439" s="1" t="s">
        <v>293</v>
      </c>
      <c r="E1439" s="1" t="n">
        <v>1</v>
      </c>
      <c r="F1439" s="1" t="n">
        <v>1705.37694610811</v>
      </c>
      <c r="G1439" s="1" t="n">
        <v>1705.37694610811</v>
      </c>
      <c r="H1439" s="1" t="s">
        <v>736</v>
      </c>
    </row>
    <row r="1440" customFormat="false" ht="14.25" hidden="false" customHeight="true" outlineLevel="0" collapsed="false">
      <c r="A1440" s="1" t="s">
        <v>682</v>
      </c>
      <c r="B1440" s="1" t="s">
        <v>54</v>
      </c>
      <c r="C1440" s="1" t="s">
        <v>54</v>
      </c>
      <c r="D1440" s="1" t="s">
        <v>290</v>
      </c>
      <c r="E1440" s="1" t="n">
        <v>1</v>
      </c>
      <c r="F1440" s="1" t="n">
        <v>1705.37694610811</v>
      </c>
      <c r="G1440" s="1" t="n">
        <v>1705.37694610811</v>
      </c>
      <c r="H1440" s="1" t="s">
        <v>736</v>
      </c>
    </row>
    <row r="1441" customFormat="false" ht="14.25" hidden="false" customHeight="true" outlineLevel="0" collapsed="false">
      <c r="A1441" s="1" t="s">
        <v>682</v>
      </c>
      <c r="B1441" s="1" t="s">
        <v>54</v>
      </c>
      <c r="C1441" s="1" t="s">
        <v>54</v>
      </c>
      <c r="D1441" s="1" t="s">
        <v>284</v>
      </c>
      <c r="E1441" s="1" t="n">
        <v>1</v>
      </c>
      <c r="F1441" s="1" t="n">
        <v>1705.37694610811</v>
      </c>
      <c r="G1441" s="1" t="n">
        <v>1705.37694610811</v>
      </c>
      <c r="H1441" s="1" t="s">
        <v>736</v>
      </c>
    </row>
    <row r="1442" customFormat="false" ht="14.25" hidden="false" customHeight="true" outlineLevel="0" collapsed="false">
      <c r="A1442" s="1" t="s">
        <v>682</v>
      </c>
      <c r="B1442" s="1" t="s">
        <v>54</v>
      </c>
      <c r="C1442" s="1" t="s">
        <v>54</v>
      </c>
      <c r="D1442" s="1" t="s">
        <v>285</v>
      </c>
      <c r="E1442" s="1" t="n">
        <v>1</v>
      </c>
      <c r="F1442" s="1" t="n">
        <v>1705.37694610811</v>
      </c>
      <c r="G1442" s="1" t="n">
        <v>1705.37694610811</v>
      </c>
      <c r="H1442" s="1" t="s">
        <v>736</v>
      </c>
    </row>
    <row r="1443" customFormat="false" ht="14.25" hidden="false" customHeight="true" outlineLevel="0" collapsed="false">
      <c r="A1443" s="1" t="s">
        <v>682</v>
      </c>
      <c r="B1443" s="1" t="s">
        <v>54</v>
      </c>
      <c r="C1443" s="1" t="s">
        <v>54</v>
      </c>
      <c r="D1443" s="1" t="s">
        <v>282</v>
      </c>
      <c r="E1443" s="1" t="n">
        <v>1</v>
      </c>
      <c r="F1443" s="1" t="n">
        <v>1705.37694610811</v>
      </c>
      <c r="G1443" s="1" t="n">
        <v>1705.37694610811</v>
      </c>
      <c r="H1443" s="1" t="s">
        <v>736</v>
      </c>
    </row>
    <row r="1444" customFormat="false" ht="14.25" hidden="false" customHeight="true" outlineLevel="0" collapsed="false">
      <c r="A1444" s="1" t="s">
        <v>682</v>
      </c>
      <c r="B1444" s="1" t="s">
        <v>54</v>
      </c>
      <c r="C1444" s="1" t="s">
        <v>54</v>
      </c>
      <c r="D1444" s="1" t="s">
        <v>275</v>
      </c>
      <c r="E1444" s="1" t="n">
        <v>1</v>
      </c>
      <c r="F1444" s="1" t="n">
        <v>1705.37694610811</v>
      </c>
      <c r="G1444" s="1" t="n">
        <v>1705.37694610811</v>
      </c>
      <c r="H1444" s="1" t="s">
        <v>736</v>
      </c>
    </row>
    <row r="1445" customFormat="false" ht="14.25" hidden="false" customHeight="true" outlineLevel="0" collapsed="false">
      <c r="A1445" s="1" t="s">
        <v>707</v>
      </c>
      <c r="B1445" s="1" t="s">
        <v>54</v>
      </c>
      <c r="C1445" s="1" t="s">
        <v>54</v>
      </c>
      <c r="D1445" s="1" t="s">
        <v>287</v>
      </c>
      <c r="E1445" s="1" t="n">
        <v>4</v>
      </c>
      <c r="F1445" s="1" t="n">
        <v>1228.32147703617</v>
      </c>
      <c r="G1445" s="1" t="n">
        <v>4913.28590814468</v>
      </c>
      <c r="H1445" s="1" t="s">
        <v>737</v>
      </c>
    </row>
    <row r="1446" customFormat="false" ht="14.25" hidden="false" customHeight="true" outlineLevel="0" collapsed="false">
      <c r="A1446" s="1" t="s">
        <v>707</v>
      </c>
      <c r="B1446" s="1" t="s">
        <v>54</v>
      </c>
      <c r="C1446" s="1" t="s">
        <v>54</v>
      </c>
      <c r="D1446" s="1" t="s">
        <v>289</v>
      </c>
      <c r="E1446" s="1" t="n">
        <v>8</v>
      </c>
      <c r="F1446" s="1" t="n">
        <v>1228.32147703617</v>
      </c>
      <c r="G1446" s="1" t="n">
        <v>9826.57181628936</v>
      </c>
      <c r="H1446" s="1" t="s">
        <v>737</v>
      </c>
    </row>
    <row r="1447" customFormat="false" ht="14.25" hidden="false" customHeight="true" outlineLevel="0" collapsed="false">
      <c r="A1447" s="1" t="s">
        <v>707</v>
      </c>
      <c r="B1447" s="1" t="s">
        <v>54</v>
      </c>
      <c r="C1447" s="1" t="s">
        <v>54</v>
      </c>
      <c r="D1447" s="1" t="s">
        <v>293</v>
      </c>
      <c r="E1447" s="1" t="n">
        <v>0</v>
      </c>
      <c r="F1447" s="1" t="n">
        <v>1228.32147703617</v>
      </c>
      <c r="G1447" s="1" t="n">
        <v>0</v>
      </c>
      <c r="H1447" s="1" t="s">
        <v>737</v>
      </c>
    </row>
    <row r="1448" customFormat="false" ht="14.25" hidden="false" customHeight="true" outlineLevel="0" collapsed="false">
      <c r="A1448" s="1" t="s">
        <v>707</v>
      </c>
      <c r="B1448" s="1" t="s">
        <v>54</v>
      </c>
      <c r="C1448" s="1" t="s">
        <v>54</v>
      </c>
      <c r="D1448" s="1" t="s">
        <v>290</v>
      </c>
      <c r="E1448" s="1" t="n">
        <v>14</v>
      </c>
      <c r="F1448" s="1" t="n">
        <v>1228.32147703617</v>
      </c>
      <c r="G1448" s="1" t="n">
        <v>17196.5006785064</v>
      </c>
      <c r="H1448" s="1" t="s">
        <v>737</v>
      </c>
    </row>
    <row r="1449" customFormat="false" ht="14.25" hidden="false" customHeight="true" outlineLevel="0" collapsed="false">
      <c r="A1449" s="1" t="s">
        <v>707</v>
      </c>
      <c r="B1449" s="1" t="s">
        <v>54</v>
      </c>
      <c r="C1449" s="1" t="s">
        <v>54</v>
      </c>
      <c r="D1449" s="1" t="s">
        <v>284</v>
      </c>
      <c r="E1449" s="1" t="n">
        <v>16</v>
      </c>
      <c r="F1449" s="1" t="n">
        <v>1228.32147703617</v>
      </c>
      <c r="G1449" s="1" t="n">
        <v>19653.1436325787</v>
      </c>
      <c r="H1449" s="1" t="s">
        <v>737</v>
      </c>
    </row>
    <row r="1450" customFormat="false" ht="14.25" hidden="false" customHeight="true" outlineLevel="0" collapsed="false">
      <c r="A1450" s="1" t="s">
        <v>707</v>
      </c>
      <c r="B1450" s="1" t="s">
        <v>54</v>
      </c>
      <c r="C1450" s="1" t="s">
        <v>54</v>
      </c>
      <c r="D1450" s="1" t="s">
        <v>285</v>
      </c>
      <c r="E1450" s="1" t="n">
        <v>8</v>
      </c>
      <c r="F1450" s="1" t="n">
        <v>1228.32147703617</v>
      </c>
      <c r="G1450" s="1" t="n">
        <v>9826.57181628936</v>
      </c>
      <c r="H1450" s="1" t="s">
        <v>737</v>
      </c>
    </row>
    <row r="1451" customFormat="false" ht="14.25" hidden="false" customHeight="true" outlineLevel="0" collapsed="false">
      <c r="A1451" s="1" t="s">
        <v>707</v>
      </c>
      <c r="B1451" s="1" t="s">
        <v>54</v>
      </c>
      <c r="C1451" s="1" t="s">
        <v>54</v>
      </c>
      <c r="D1451" s="1" t="s">
        <v>282</v>
      </c>
      <c r="E1451" s="1" t="n">
        <v>9</v>
      </c>
      <c r="F1451" s="1" t="n">
        <v>1228.32147703617</v>
      </c>
      <c r="G1451" s="1" t="n">
        <v>11054.8932933255</v>
      </c>
      <c r="H1451" s="1" t="s">
        <v>737</v>
      </c>
    </row>
    <row r="1452" customFormat="false" ht="14.25" hidden="false" customHeight="true" outlineLevel="0" collapsed="false">
      <c r="A1452" s="1" t="s">
        <v>707</v>
      </c>
      <c r="B1452" s="1" t="s">
        <v>54</v>
      </c>
      <c r="C1452" s="1" t="s">
        <v>54</v>
      </c>
      <c r="D1452" s="1" t="s">
        <v>275</v>
      </c>
      <c r="E1452" s="1" t="n">
        <v>129</v>
      </c>
      <c r="F1452" s="1" t="n">
        <v>1228.32147703617</v>
      </c>
      <c r="G1452" s="1" t="n">
        <v>158453.470537666</v>
      </c>
      <c r="H1452" s="1" t="s">
        <v>737</v>
      </c>
    </row>
    <row r="1453" customFormat="false" ht="14.25" hidden="false" customHeight="true" outlineLevel="0" collapsed="false">
      <c r="A1453" s="1" t="s">
        <v>644</v>
      </c>
      <c r="B1453" s="1" t="s">
        <v>44</v>
      </c>
      <c r="C1453" s="1" t="s">
        <v>699</v>
      </c>
      <c r="D1453" s="1" t="s">
        <v>287</v>
      </c>
      <c r="E1453" s="1" t="n">
        <v>35</v>
      </c>
      <c r="F1453" s="1" t="n">
        <v>49.6814849002849</v>
      </c>
      <c r="G1453" s="1" t="n">
        <v>1738.85197150997</v>
      </c>
      <c r="H1453" s="1" t="s">
        <v>738</v>
      </c>
    </row>
    <row r="1454" customFormat="false" ht="14.25" hidden="false" customHeight="true" outlineLevel="0" collapsed="false">
      <c r="A1454" s="1" t="s">
        <v>644</v>
      </c>
      <c r="B1454" s="1" t="s">
        <v>44</v>
      </c>
      <c r="C1454" s="1" t="s">
        <v>699</v>
      </c>
      <c r="D1454" s="1" t="s">
        <v>289</v>
      </c>
      <c r="E1454" s="1" t="n">
        <v>37</v>
      </c>
      <c r="F1454" s="1" t="n">
        <v>49.6814849002849</v>
      </c>
      <c r="G1454" s="1" t="n">
        <v>1838.21494131054</v>
      </c>
      <c r="H1454" s="1" t="s">
        <v>738</v>
      </c>
    </row>
    <row r="1455" customFormat="false" ht="14.25" hidden="false" customHeight="true" outlineLevel="0" collapsed="false">
      <c r="A1455" s="1" t="s">
        <v>644</v>
      </c>
      <c r="B1455" s="1" t="s">
        <v>44</v>
      </c>
      <c r="C1455" s="1" t="s">
        <v>699</v>
      </c>
      <c r="D1455" s="1" t="s">
        <v>293</v>
      </c>
      <c r="E1455" s="1" t="n">
        <v>11</v>
      </c>
      <c r="F1455" s="1" t="n">
        <v>49.6814849002849</v>
      </c>
      <c r="G1455" s="1" t="n">
        <v>546.496333903134</v>
      </c>
      <c r="H1455" s="1" t="s">
        <v>738</v>
      </c>
    </row>
    <row r="1456" customFormat="false" ht="14.25" hidden="false" customHeight="true" outlineLevel="0" collapsed="false">
      <c r="A1456" s="1" t="s">
        <v>644</v>
      </c>
      <c r="B1456" s="1" t="s">
        <v>44</v>
      </c>
      <c r="C1456" s="1" t="s">
        <v>699</v>
      </c>
      <c r="D1456" s="1" t="s">
        <v>290</v>
      </c>
      <c r="E1456" s="1" t="n">
        <v>42</v>
      </c>
      <c r="F1456" s="1" t="n">
        <v>49.6814849002849</v>
      </c>
      <c r="G1456" s="1" t="n">
        <v>2086.62236581197</v>
      </c>
      <c r="H1456" s="1" t="s">
        <v>738</v>
      </c>
    </row>
    <row r="1457" customFormat="false" ht="14.25" hidden="false" customHeight="true" outlineLevel="0" collapsed="false">
      <c r="A1457" s="1" t="s">
        <v>644</v>
      </c>
      <c r="B1457" s="1" t="s">
        <v>44</v>
      </c>
      <c r="C1457" s="1" t="s">
        <v>699</v>
      </c>
      <c r="D1457" s="1" t="s">
        <v>284</v>
      </c>
      <c r="E1457" s="1" t="n">
        <v>42</v>
      </c>
      <c r="F1457" s="1" t="n">
        <v>49.6814849002849</v>
      </c>
      <c r="G1457" s="1" t="n">
        <v>2086.62236581197</v>
      </c>
      <c r="H1457" s="1" t="s">
        <v>738</v>
      </c>
    </row>
    <row r="1458" customFormat="false" ht="14.25" hidden="false" customHeight="true" outlineLevel="0" collapsed="false">
      <c r="A1458" s="1" t="s">
        <v>644</v>
      </c>
      <c r="B1458" s="1" t="s">
        <v>44</v>
      </c>
      <c r="C1458" s="1" t="s">
        <v>699</v>
      </c>
      <c r="D1458" s="1" t="s">
        <v>285</v>
      </c>
      <c r="E1458" s="1" t="n">
        <v>18</v>
      </c>
      <c r="F1458" s="1" t="n">
        <v>49.6814849002849</v>
      </c>
      <c r="G1458" s="1" t="n">
        <v>894.266728205128</v>
      </c>
      <c r="H1458" s="1" t="s">
        <v>738</v>
      </c>
    </row>
    <row r="1459" customFormat="false" ht="14.25" hidden="false" customHeight="true" outlineLevel="0" collapsed="false">
      <c r="A1459" s="1" t="s">
        <v>644</v>
      </c>
      <c r="B1459" s="1" t="s">
        <v>44</v>
      </c>
      <c r="C1459" s="1" t="s">
        <v>699</v>
      </c>
      <c r="D1459" s="1" t="s">
        <v>282</v>
      </c>
      <c r="E1459" s="1" t="n">
        <v>20</v>
      </c>
      <c r="F1459" s="1" t="n">
        <v>49.6814849002849</v>
      </c>
      <c r="G1459" s="1" t="n">
        <v>993.629698005698</v>
      </c>
      <c r="H1459" s="1" t="s">
        <v>738</v>
      </c>
    </row>
    <row r="1460" customFormat="false" ht="14.25" hidden="false" customHeight="true" outlineLevel="0" collapsed="false">
      <c r="A1460" s="1" t="s">
        <v>655</v>
      </c>
      <c r="B1460" s="1" t="s">
        <v>44</v>
      </c>
      <c r="C1460" s="1" t="s">
        <v>699</v>
      </c>
      <c r="D1460" s="1" t="s">
        <v>287</v>
      </c>
      <c r="E1460" s="1" t="n">
        <v>34</v>
      </c>
      <c r="F1460" s="1" t="n">
        <v>48.1177222116301</v>
      </c>
      <c r="G1460" s="1" t="n">
        <v>1636.00255519542</v>
      </c>
      <c r="H1460" s="1" t="s">
        <v>738</v>
      </c>
    </row>
    <row r="1461" customFormat="false" ht="14.25" hidden="false" customHeight="true" outlineLevel="0" collapsed="false">
      <c r="A1461" s="1" t="s">
        <v>655</v>
      </c>
      <c r="B1461" s="1" t="s">
        <v>44</v>
      </c>
      <c r="C1461" s="1" t="s">
        <v>699</v>
      </c>
      <c r="D1461" s="1" t="s">
        <v>289</v>
      </c>
      <c r="E1461" s="1" t="n">
        <v>37</v>
      </c>
      <c r="F1461" s="1" t="n">
        <v>48.1177222116301</v>
      </c>
      <c r="G1461" s="1" t="n">
        <v>1780.35572183031</v>
      </c>
      <c r="H1461" s="1" t="s">
        <v>738</v>
      </c>
    </row>
    <row r="1462" customFormat="false" ht="14.25" hidden="false" customHeight="true" outlineLevel="0" collapsed="false">
      <c r="A1462" s="1" t="s">
        <v>655</v>
      </c>
      <c r="B1462" s="1" t="s">
        <v>44</v>
      </c>
      <c r="C1462" s="1" t="s">
        <v>699</v>
      </c>
      <c r="D1462" s="1" t="s">
        <v>293</v>
      </c>
      <c r="E1462" s="1" t="n">
        <v>11</v>
      </c>
      <c r="F1462" s="1" t="n">
        <v>48.1177222116301</v>
      </c>
      <c r="G1462" s="1" t="n">
        <v>529.294944327931</v>
      </c>
      <c r="H1462" s="1" t="s">
        <v>738</v>
      </c>
    </row>
    <row r="1463" customFormat="false" ht="14.25" hidden="false" customHeight="true" outlineLevel="0" collapsed="false">
      <c r="A1463" s="1" t="s">
        <v>655</v>
      </c>
      <c r="B1463" s="1" t="s">
        <v>44</v>
      </c>
      <c r="C1463" s="1" t="s">
        <v>699</v>
      </c>
      <c r="D1463" s="1" t="s">
        <v>290</v>
      </c>
      <c r="E1463" s="1" t="n">
        <v>42</v>
      </c>
      <c r="F1463" s="1" t="n">
        <v>48.1177222116301</v>
      </c>
      <c r="G1463" s="1" t="n">
        <v>2020.94433288846</v>
      </c>
      <c r="H1463" s="1" t="s">
        <v>738</v>
      </c>
    </row>
    <row r="1464" customFormat="false" ht="14.25" hidden="false" customHeight="true" outlineLevel="0" collapsed="false">
      <c r="A1464" s="1" t="s">
        <v>655</v>
      </c>
      <c r="B1464" s="1" t="s">
        <v>44</v>
      </c>
      <c r="C1464" s="1" t="s">
        <v>699</v>
      </c>
      <c r="D1464" s="1" t="s">
        <v>284</v>
      </c>
      <c r="E1464" s="1" t="n">
        <v>42</v>
      </c>
      <c r="F1464" s="1" t="n">
        <v>48.1177222116301</v>
      </c>
      <c r="G1464" s="1" t="n">
        <v>2020.94433288846</v>
      </c>
      <c r="H1464" s="1" t="s">
        <v>738</v>
      </c>
    </row>
    <row r="1465" customFormat="false" ht="14.25" hidden="false" customHeight="true" outlineLevel="0" collapsed="false">
      <c r="A1465" s="1" t="s">
        <v>655</v>
      </c>
      <c r="B1465" s="1" t="s">
        <v>44</v>
      </c>
      <c r="C1465" s="1" t="s">
        <v>699</v>
      </c>
      <c r="D1465" s="1" t="s">
        <v>285</v>
      </c>
      <c r="E1465" s="1" t="n">
        <v>18</v>
      </c>
      <c r="F1465" s="1" t="n">
        <v>48.1177222116301</v>
      </c>
      <c r="G1465" s="1" t="n">
        <v>866.118999809342</v>
      </c>
      <c r="H1465" s="1" t="s">
        <v>738</v>
      </c>
    </row>
    <row r="1466" customFormat="false" ht="14.25" hidden="false" customHeight="true" outlineLevel="0" collapsed="false">
      <c r="A1466" s="1" t="s">
        <v>655</v>
      </c>
      <c r="B1466" s="1" t="s">
        <v>44</v>
      </c>
      <c r="C1466" s="1" t="s">
        <v>699</v>
      </c>
      <c r="D1466" s="1" t="s">
        <v>282</v>
      </c>
      <c r="E1466" s="1" t="n">
        <v>17</v>
      </c>
      <c r="F1466" s="1" t="n">
        <v>48.1177222116301</v>
      </c>
      <c r="G1466" s="1" t="n">
        <v>818.001277597712</v>
      </c>
      <c r="H1466" s="1" t="s">
        <v>738</v>
      </c>
    </row>
    <row r="1467" customFormat="false" ht="14.25" hidden="false" customHeight="true" outlineLevel="0" collapsed="false">
      <c r="A1467" s="1" t="s">
        <v>707</v>
      </c>
      <c r="B1467" s="1" t="s">
        <v>464</v>
      </c>
      <c r="C1467" s="1" t="s">
        <v>465</v>
      </c>
      <c r="D1467" s="1" t="s">
        <v>275</v>
      </c>
      <c r="E1467" s="1" t="n">
        <v>5506</v>
      </c>
      <c r="F1467" s="1" t="n">
        <v>1.86</v>
      </c>
      <c r="G1467" s="1" t="n">
        <v>10241.16</v>
      </c>
      <c r="H1467" s="1" t="s">
        <v>739</v>
      </c>
    </row>
    <row r="1468" customFormat="false" ht="14.25" hidden="false" customHeight="true" outlineLevel="0" collapsed="false">
      <c r="A1468" s="1" t="s">
        <v>707</v>
      </c>
      <c r="B1468" s="1" t="s">
        <v>85</v>
      </c>
      <c r="C1468" s="1" t="s">
        <v>615</v>
      </c>
      <c r="D1468" s="1" t="s">
        <v>275</v>
      </c>
      <c r="E1468" s="1" t="n">
        <v>119</v>
      </c>
      <c r="F1468" s="1" t="n">
        <v>131.56</v>
      </c>
      <c r="G1468" s="1" t="n">
        <v>15655.64</v>
      </c>
      <c r="H1468" s="1" t="s">
        <v>740</v>
      </c>
    </row>
    <row r="1469" customFormat="false" ht="14.25" hidden="false" customHeight="true" outlineLevel="0" collapsed="false">
      <c r="A1469" s="1" t="s">
        <v>707</v>
      </c>
      <c r="B1469" s="1" t="s">
        <v>453</v>
      </c>
      <c r="C1469" s="1" t="s">
        <v>454</v>
      </c>
      <c r="D1469" s="1" t="s">
        <v>275</v>
      </c>
      <c r="E1469" s="1" t="n">
        <v>0</v>
      </c>
      <c r="F1469" s="1" t="n">
        <v>0</v>
      </c>
      <c r="G1469" s="1" t="n">
        <v>0</v>
      </c>
      <c r="H1469" s="1" t="s">
        <v>656</v>
      </c>
    </row>
    <row r="1470" customFormat="false" ht="14.25" hidden="false" customHeight="true" outlineLevel="0" collapsed="false">
      <c r="A1470" s="1" t="s">
        <v>707</v>
      </c>
      <c r="B1470" s="1" t="s">
        <v>453</v>
      </c>
      <c r="C1470" s="1" t="s">
        <v>456</v>
      </c>
      <c r="D1470" s="1" t="s">
        <v>275</v>
      </c>
      <c r="E1470" s="1" t="n">
        <v>0</v>
      </c>
      <c r="F1470" s="1" t="n">
        <v>0</v>
      </c>
      <c r="G1470" s="1" t="n">
        <v>0</v>
      </c>
      <c r="H1470" s="1" t="s">
        <v>645</v>
      </c>
    </row>
    <row r="1471" customFormat="false" ht="14.25" hidden="false" customHeight="true" outlineLevel="0" collapsed="false">
      <c r="A1471" s="1" t="s">
        <v>707</v>
      </c>
      <c r="B1471" s="1" t="s">
        <v>453</v>
      </c>
      <c r="C1471" s="1" t="s">
        <v>454</v>
      </c>
      <c r="D1471" s="1" t="s">
        <v>287</v>
      </c>
      <c r="E1471" s="1" t="n">
        <v>0</v>
      </c>
      <c r="F1471" s="1" t="n">
        <v>0</v>
      </c>
      <c r="G1471" s="1" t="n">
        <v>0</v>
      </c>
      <c r="H1471" s="1" t="s">
        <v>455</v>
      </c>
    </row>
    <row r="1472" customFormat="false" ht="14.25" hidden="false" customHeight="true" outlineLevel="0" collapsed="false">
      <c r="A1472" s="1" t="s">
        <v>707</v>
      </c>
      <c r="B1472" s="1" t="s">
        <v>453</v>
      </c>
      <c r="C1472" s="1" t="s">
        <v>456</v>
      </c>
      <c r="D1472" s="1" t="s">
        <v>287</v>
      </c>
      <c r="E1472" s="1" t="n">
        <v>0</v>
      </c>
      <c r="F1472" s="1" t="n">
        <v>0</v>
      </c>
      <c r="G1472" s="1" t="n">
        <v>0</v>
      </c>
      <c r="H1472" s="1" t="s">
        <v>645</v>
      </c>
    </row>
    <row r="1473" customFormat="false" ht="14.25" hidden="false" customHeight="true" outlineLevel="0" collapsed="false">
      <c r="A1473" s="1" t="s">
        <v>707</v>
      </c>
      <c r="B1473" s="1" t="s">
        <v>464</v>
      </c>
      <c r="C1473" s="1" t="s">
        <v>465</v>
      </c>
      <c r="D1473" s="1" t="s">
        <v>287</v>
      </c>
      <c r="E1473" s="1" t="n">
        <v>308</v>
      </c>
      <c r="F1473" s="1" t="n">
        <v>1.86</v>
      </c>
      <c r="G1473" s="1" t="n">
        <v>572.88</v>
      </c>
      <c r="H1473" s="1" t="s">
        <v>741</v>
      </c>
    </row>
    <row r="1474" customFormat="false" ht="14.25" hidden="false" customHeight="true" outlineLevel="0" collapsed="false">
      <c r="A1474" s="1" t="s">
        <v>707</v>
      </c>
      <c r="B1474" s="1" t="s">
        <v>464</v>
      </c>
      <c r="C1474" s="1" t="s">
        <v>658</v>
      </c>
      <c r="D1474" s="1" t="s">
        <v>287</v>
      </c>
      <c r="E1474" s="1" t="n">
        <v>0</v>
      </c>
      <c r="F1474" s="1" t="n">
        <v>0</v>
      </c>
      <c r="G1474" s="1" t="n">
        <v>0</v>
      </c>
      <c r="H1474" s="1" t="s">
        <v>659</v>
      </c>
    </row>
    <row r="1475" customFormat="false" ht="14.25" hidden="false" customHeight="true" outlineLevel="0" collapsed="false">
      <c r="A1475" s="1" t="s">
        <v>707</v>
      </c>
      <c r="B1475" s="1" t="s">
        <v>464</v>
      </c>
      <c r="C1475" s="1" t="s">
        <v>660</v>
      </c>
      <c r="D1475" s="1" t="s">
        <v>287</v>
      </c>
      <c r="E1475" s="1" t="n">
        <v>0</v>
      </c>
      <c r="F1475" s="1" t="n">
        <v>0</v>
      </c>
      <c r="G1475" s="1" t="n">
        <v>0</v>
      </c>
      <c r="H1475" s="1" t="s">
        <v>742</v>
      </c>
    </row>
    <row r="1476" customFormat="false" ht="14.25" hidden="false" customHeight="true" outlineLevel="0" collapsed="false">
      <c r="A1476" s="1" t="s">
        <v>707</v>
      </c>
      <c r="B1476" s="1" t="s">
        <v>464</v>
      </c>
      <c r="C1476" s="1" t="s">
        <v>473</v>
      </c>
      <c r="D1476" s="1" t="s">
        <v>287</v>
      </c>
      <c r="E1476" s="1" t="n">
        <v>1</v>
      </c>
      <c r="F1476" s="1" t="n">
        <v>1900.22</v>
      </c>
      <c r="G1476" s="1" t="n">
        <v>1900.22</v>
      </c>
      <c r="H1476" s="1" t="s">
        <v>743</v>
      </c>
    </row>
    <row r="1477" customFormat="false" ht="14.25" hidden="false" customHeight="true" outlineLevel="0" collapsed="false">
      <c r="A1477" s="1" t="s">
        <v>707</v>
      </c>
      <c r="B1477" s="1" t="s">
        <v>464</v>
      </c>
      <c r="C1477" s="1" t="s">
        <v>473</v>
      </c>
      <c r="D1477" s="1" t="s">
        <v>287</v>
      </c>
      <c r="E1477" s="1" t="n">
        <v>-1</v>
      </c>
      <c r="F1477" s="1" t="n">
        <v>6809.28</v>
      </c>
      <c r="G1477" s="1" t="n">
        <v>-6809.28</v>
      </c>
      <c r="H1477" s="1" t="s">
        <v>475</v>
      </c>
    </row>
    <row r="1478" customFormat="false" ht="14.25" hidden="false" customHeight="true" outlineLevel="0" collapsed="false">
      <c r="A1478" s="1" t="s">
        <v>707</v>
      </c>
      <c r="B1478" s="1" t="s">
        <v>464</v>
      </c>
      <c r="C1478" s="1" t="s">
        <v>744</v>
      </c>
      <c r="D1478" s="1" t="s">
        <v>287</v>
      </c>
      <c r="E1478" s="1" t="n">
        <v>1</v>
      </c>
      <c r="F1478" s="1" t="n">
        <v>348.349782230624</v>
      </c>
      <c r="G1478" s="1" t="n">
        <v>348.349782230624</v>
      </c>
      <c r="H1478" s="1" t="s">
        <v>477</v>
      </c>
    </row>
    <row r="1479" customFormat="false" ht="14.25" hidden="false" customHeight="true" outlineLevel="0" collapsed="false">
      <c r="A1479" s="1" t="s">
        <v>707</v>
      </c>
      <c r="B1479" s="1" t="s">
        <v>464</v>
      </c>
      <c r="C1479" s="1" t="s">
        <v>479</v>
      </c>
      <c r="D1479" s="1" t="s">
        <v>287</v>
      </c>
      <c r="E1479" s="1" t="n">
        <v>0</v>
      </c>
      <c r="F1479" s="1" t="n">
        <v>0</v>
      </c>
      <c r="G1479" s="1" t="n">
        <v>0</v>
      </c>
      <c r="H1479" s="1" t="s">
        <v>477</v>
      </c>
    </row>
    <row r="1480" customFormat="false" ht="14.25" hidden="false" customHeight="true" outlineLevel="0" collapsed="false">
      <c r="A1480" s="1" t="s">
        <v>707</v>
      </c>
      <c r="B1480" s="1" t="s">
        <v>464</v>
      </c>
      <c r="C1480" s="1" t="s">
        <v>476</v>
      </c>
      <c r="D1480" s="1" t="s">
        <v>287</v>
      </c>
      <c r="E1480" s="1" t="n">
        <v>0</v>
      </c>
      <c r="F1480" s="1" t="n">
        <v>0</v>
      </c>
      <c r="G1480" s="1" t="n">
        <v>0</v>
      </c>
      <c r="H1480" s="1" t="s">
        <v>684</v>
      </c>
    </row>
    <row r="1481" customFormat="false" ht="14.25" hidden="false" customHeight="true" outlineLevel="0" collapsed="false">
      <c r="A1481" s="1" t="s">
        <v>707</v>
      </c>
      <c r="B1481" s="1" t="s">
        <v>464</v>
      </c>
      <c r="C1481" s="1" t="s">
        <v>480</v>
      </c>
      <c r="D1481" s="1" t="s">
        <v>287</v>
      </c>
      <c r="E1481" s="1" t="n">
        <v>0</v>
      </c>
      <c r="F1481" s="1" t="n">
        <v>0</v>
      </c>
      <c r="G1481" s="1" t="n">
        <v>0</v>
      </c>
      <c r="H1481" s="1" t="s">
        <v>684</v>
      </c>
    </row>
    <row r="1482" customFormat="false" ht="14.25" hidden="false" customHeight="true" outlineLevel="0" collapsed="false">
      <c r="A1482" s="1" t="s">
        <v>707</v>
      </c>
      <c r="B1482" s="1" t="s">
        <v>464</v>
      </c>
      <c r="C1482" s="1" t="s">
        <v>481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477</v>
      </c>
    </row>
    <row r="1483" customFormat="false" ht="14.25" hidden="false" customHeight="true" outlineLevel="0" collapsed="false">
      <c r="A1483" s="1" t="s">
        <v>707</v>
      </c>
      <c r="B1483" s="1" t="s">
        <v>143</v>
      </c>
      <c r="C1483" s="1" t="s">
        <v>527</v>
      </c>
      <c r="D1483" s="1" t="s">
        <v>287</v>
      </c>
      <c r="E1483" s="1" t="n">
        <v>6711</v>
      </c>
      <c r="F1483" s="1" t="n">
        <v>0.250576029595696</v>
      </c>
      <c r="G1483" s="1" t="n">
        <v>1681.61573461672</v>
      </c>
      <c r="H1483" s="1" t="s">
        <v>745</v>
      </c>
    </row>
    <row r="1484" customFormat="false" ht="14.25" hidden="false" customHeight="true" outlineLevel="0" collapsed="false">
      <c r="A1484" s="1" t="s">
        <v>707</v>
      </c>
      <c r="B1484" s="1" t="s">
        <v>45</v>
      </c>
      <c r="C1484" s="1" t="s">
        <v>529</v>
      </c>
      <c r="D1484" s="1" t="s">
        <v>287</v>
      </c>
      <c r="E1484" s="1" t="n">
        <v>1579</v>
      </c>
      <c r="F1484" s="1" t="n">
        <v>7.19</v>
      </c>
      <c r="G1484" s="1" t="n">
        <v>11353.01</v>
      </c>
      <c r="H1484" s="1" t="s">
        <v>530</v>
      </c>
    </row>
    <row r="1485" customFormat="false" ht="14.25" hidden="false" customHeight="true" outlineLevel="0" collapsed="false">
      <c r="A1485" s="1" t="s">
        <v>707</v>
      </c>
      <c r="B1485" s="1" t="s">
        <v>50</v>
      </c>
      <c r="C1485" s="1" t="s">
        <v>533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534</v>
      </c>
    </row>
    <row r="1486" customFormat="false" ht="14.25" hidden="false" customHeight="true" outlineLevel="0" collapsed="false">
      <c r="A1486" s="1" t="s">
        <v>707</v>
      </c>
      <c r="B1486" s="1" t="s">
        <v>537</v>
      </c>
      <c r="C1486" s="1" t="s">
        <v>538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539</v>
      </c>
    </row>
    <row r="1487" customFormat="false" ht="14.25" hidden="false" customHeight="true" outlineLevel="0" collapsed="false">
      <c r="A1487" s="1" t="s">
        <v>707</v>
      </c>
      <c r="B1487" s="1" t="s">
        <v>537</v>
      </c>
      <c r="C1487" s="1" t="s">
        <v>540</v>
      </c>
      <c r="D1487" s="1" t="s">
        <v>287</v>
      </c>
      <c r="E1487" s="1" t="n">
        <v>0</v>
      </c>
      <c r="F1487" s="1" t="n">
        <v>0</v>
      </c>
      <c r="G1487" s="1" t="n">
        <v>0</v>
      </c>
      <c r="H1487" s="1" t="s">
        <v>541</v>
      </c>
    </row>
    <row r="1488" customFormat="false" ht="14.25" hidden="false" customHeight="true" outlineLevel="0" collapsed="false">
      <c r="A1488" s="1" t="s">
        <v>707</v>
      </c>
      <c r="B1488" s="1" t="s">
        <v>537</v>
      </c>
      <c r="C1488" s="1" t="s">
        <v>542</v>
      </c>
      <c r="D1488" s="1" t="s">
        <v>287</v>
      </c>
      <c r="E1488" s="1" t="n">
        <v>10</v>
      </c>
      <c r="F1488" s="1" t="n">
        <v>20</v>
      </c>
      <c r="G1488" s="1" t="n">
        <v>200</v>
      </c>
      <c r="H1488" s="1" t="s">
        <v>746</v>
      </c>
    </row>
    <row r="1489" customFormat="false" ht="14.25" hidden="false" customHeight="true" outlineLevel="0" collapsed="false">
      <c r="A1489" s="1" t="s">
        <v>707</v>
      </c>
      <c r="B1489" s="1" t="s">
        <v>537</v>
      </c>
      <c r="C1489" s="1" t="s">
        <v>544</v>
      </c>
      <c r="D1489" s="1" t="s">
        <v>287</v>
      </c>
      <c r="E1489" s="1" t="n">
        <v>1</v>
      </c>
      <c r="F1489" s="1" t="n">
        <v>937.18</v>
      </c>
      <c r="G1489" s="1" t="n">
        <v>937.18</v>
      </c>
      <c r="H1489" s="1" t="s">
        <v>687</v>
      </c>
    </row>
    <row r="1490" customFormat="false" ht="14.25" hidden="false" customHeight="true" outlineLevel="0" collapsed="false">
      <c r="A1490" s="1" t="s">
        <v>707</v>
      </c>
      <c r="B1490" s="1" t="s">
        <v>537</v>
      </c>
      <c r="C1490" s="1" t="s">
        <v>546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747</v>
      </c>
    </row>
    <row r="1491" customFormat="false" ht="14.25" hidden="false" customHeight="true" outlineLevel="0" collapsed="false">
      <c r="A1491" s="1" t="s">
        <v>707</v>
      </c>
      <c r="B1491" s="1" t="s">
        <v>554</v>
      </c>
      <c r="C1491" s="1" t="s">
        <v>674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558</v>
      </c>
    </row>
    <row r="1492" customFormat="false" ht="14.25" hidden="false" customHeight="true" outlineLevel="0" collapsed="false">
      <c r="A1492" s="1" t="s">
        <v>707</v>
      </c>
      <c r="B1492" s="1" t="s">
        <v>554</v>
      </c>
      <c r="C1492" s="1" t="s">
        <v>555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556</v>
      </c>
    </row>
    <row r="1493" customFormat="false" ht="14.25" hidden="false" customHeight="true" outlineLevel="0" collapsed="false">
      <c r="A1493" s="1" t="s">
        <v>707</v>
      </c>
      <c r="B1493" s="1" t="s">
        <v>554</v>
      </c>
      <c r="C1493" s="1" t="s">
        <v>675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562</v>
      </c>
    </row>
    <row r="1494" customFormat="false" ht="14.25" hidden="false" customHeight="true" outlineLevel="0" collapsed="false">
      <c r="A1494" s="1" t="s">
        <v>707</v>
      </c>
      <c r="B1494" s="1" t="s">
        <v>554</v>
      </c>
      <c r="C1494" s="1" t="s">
        <v>559</v>
      </c>
      <c r="D1494" s="1" t="s">
        <v>287</v>
      </c>
      <c r="E1494" s="1" t="n">
        <v>0</v>
      </c>
      <c r="F1494" s="1" t="n">
        <v>0</v>
      </c>
      <c r="G1494" s="1" t="n">
        <v>0</v>
      </c>
      <c r="H1494" s="1" t="s">
        <v>560</v>
      </c>
    </row>
    <row r="1495" customFormat="false" ht="14.25" hidden="false" customHeight="true" outlineLevel="0" collapsed="false">
      <c r="A1495" s="1" t="s">
        <v>707</v>
      </c>
      <c r="B1495" s="1" t="s">
        <v>47</v>
      </c>
      <c r="C1495" s="1" t="s">
        <v>608</v>
      </c>
      <c r="D1495" s="1" t="s">
        <v>287</v>
      </c>
      <c r="E1495" s="1" t="n">
        <v>1</v>
      </c>
      <c r="F1495" s="1" t="n">
        <v>9147.42</v>
      </c>
      <c r="G1495" s="1" t="n">
        <v>9147.42</v>
      </c>
      <c r="H1495" s="1" t="s">
        <v>748</v>
      </c>
    </row>
    <row r="1496" customFormat="false" ht="14.25" hidden="false" customHeight="true" outlineLevel="0" collapsed="false">
      <c r="A1496" s="1" t="s">
        <v>707</v>
      </c>
      <c r="B1496" s="1" t="s">
        <v>85</v>
      </c>
      <c r="C1496" s="1" t="s">
        <v>615</v>
      </c>
      <c r="D1496" s="1" t="s">
        <v>287</v>
      </c>
      <c r="E1496" s="1" t="n">
        <v>3</v>
      </c>
      <c r="F1496" s="1" t="n">
        <v>167.82</v>
      </c>
      <c r="G1496" s="1" t="n">
        <v>503.46</v>
      </c>
      <c r="H1496" s="1" t="s">
        <v>617</v>
      </c>
    </row>
    <row r="1497" customFormat="false" ht="14.25" hidden="false" customHeight="true" outlineLevel="0" collapsed="false">
      <c r="A1497" s="1" t="s">
        <v>707</v>
      </c>
      <c r="B1497" s="1" t="s">
        <v>32</v>
      </c>
      <c r="C1497" s="1" t="s">
        <v>618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619</v>
      </c>
    </row>
    <row r="1498" customFormat="false" ht="14.25" hidden="false" customHeight="true" outlineLevel="0" collapsed="false">
      <c r="A1498" s="1" t="s">
        <v>707</v>
      </c>
      <c r="B1498" s="1" t="s">
        <v>32</v>
      </c>
      <c r="C1498" s="1" t="s">
        <v>620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621</v>
      </c>
    </row>
    <row r="1499" customFormat="false" ht="14.25" hidden="false" customHeight="true" outlineLevel="0" collapsed="false">
      <c r="A1499" s="1" t="s">
        <v>707</v>
      </c>
      <c r="B1499" s="1" t="s">
        <v>44</v>
      </c>
      <c r="C1499" s="1" t="s">
        <v>626</v>
      </c>
      <c r="D1499" s="1" t="s">
        <v>287</v>
      </c>
      <c r="E1499" s="1" t="n">
        <v>1</v>
      </c>
      <c r="F1499" s="1" t="n">
        <v>1926.32</v>
      </c>
      <c r="G1499" s="1" t="n">
        <v>1926.32</v>
      </c>
      <c r="H1499" s="1" t="s">
        <v>680</v>
      </c>
    </row>
    <row r="1500" customFormat="false" ht="14.25" hidden="false" customHeight="true" outlineLevel="0" collapsed="false">
      <c r="A1500" s="1" t="s">
        <v>707</v>
      </c>
      <c r="B1500" s="1" t="s">
        <v>44</v>
      </c>
      <c r="C1500" s="1" t="s">
        <v>626</v>
      </c>
      <c r="D1500" s="1" t="s">
        <v>287</v>
      </c>
      <c r="E1500" s="1" t="n">
        <v>0</v>
      </c>
      <c r="F1500" s="1" t="n">
        <v>0</v>
      </c>
      <c r="G1500" s="1" t="n">
        <v>0</v>
      </c>
      <c r="H1500" s="1" t="s">
        <v>694</v>
      </c>
    </row>
    <row r="1501" customFormat="false" ht="14.25" hidden="false" customHeight="true" outlineLevel="0" collapsed="false">
      <c r="A1501" s="1" t="s">
        <v>707</v>
      </c>
      <c r="B1501" s="1" t="s">
        <v>87</v>
      </c>
      <c r="C1501" s="1" t="s">
        <v>642</v>
      </c>
      <c r="D1501" s="1" t="s">
        <v>287</v>
      </c>
      <c r="E1501" s="1" t="n">
        <v>2</v>
      </c>
      <c r="F1501" s="1" t="n">
        <v>50</v>
      </c>
      <c r="G1501" s="1" t="n">
        <v>100</v>
      </c>
      <c r="H1501" s="1" t="s">
        <v>749</v>
      </c>
    </row>
    <row r="1502" customFormat="false" ht="14.25" hidden="false" customHeight="true" outlineLevel="0" collapsed="false">
      <c r="A1502" s="1" t="s">
        <v>707</v>
      </c>
      <c r="B1502" s="1" t="s">
        <v>449</v>
      </c>
      <c r="C1502" s="1" t="s">
        <v>450</v>
      </c>
      <c r="D1502" s="1" t="s">
        <v>289</v>
      </c>
      <c r="E1502" s="1" t="n">
        <v>13611</v>
      </c>
      <c r="F1502" s="1" t="n">
        <v>0.37</v>
      </c>
      <c r="G1502" s="1" t="n">
        <v>5036.07</v>
      </c>
      <c r="H1502" s="1" t="s">
        <v>451</v>
      </c>
    </row>
    <row r="1503" customFormat="false" ht="14.25" hidden="false" customHeight="true" outlineLevel="0" collapsed="false">
      <c r="A1503" s="1" t="s">
        <v>707</v>
      </c>
      <c r="B1503" s="1" t="s">
        <v>452</v>
      </c>
      <c r="C1503" s="1" t="s">
        <v>86</v>
      </c>
      <c r="D1503" s="1" t="s">
        <v>289</v>
      </c>
      <c r="E1503" s="1" t="n">
        <v>13611</v>
      </c>
      <c r="F1503" s="1" t="n">
        <v>0.227639578183536</v>
      </c>
      <c r="G1503" s="1" t="n">
        <v>3098.40229865611</v>
      </c>
      <c r="H1503" s="1" t="s">
        <v>750</v>
      </c>
    </row>
    <row r="1504" customFormat="false" ht="14.25" hidden="false" customHeight="true" outlineLevel="0" collapsed="false">
      <c r="A1504" s="1" t="s">
        <v>707</v>
      </c>
      <c r="B1504" s="1" t="s">
        <v>453</v>
      </c>
      <c r="C1504" s="1" t="s">
        <v>454</v>
      </c>
      <c r="D1504" s="1" t="s">
        <v>289</v>
      </c>
      <c r="E1504" s="1" t="n">
        <v>0</v>
      </c>
      <c r="F1504" s="1" t="n">
        <v>0</v>
      </c>
      <c r="G1504" s="1" t="n">
        <v>0</v>
      </c>
      <c r="H1504" s="1" t="s">
        <v>458</v>
      </c>
    </row>
    <row r="1505" customFormat="false" ht="14.25" hidden="false" customHeight="true" outlineLevel="0" collapsed="false">
      <c r="A1505" s="1" t="s">
        <v>707</v>
      </c>
      <c r="B1505" s="1" t="s">
        <v>453</v>
      </c>
      <c r="C1505" s="1" t="s">
        <v>459</v>
      </c>
      <c r="D1505" s="1" t="s">
        <v>289</v>
      </c>
      <c r="E1505" s="1" t="n">
        <v>0</v>
      </c>
      <c r="F1505" s="1" t="n">
        <v>0</v>
      </c>
      <c r="G1505" s="1" t="n">
        <v>0</v>
      </c>
      <c r="H1505" s="1" t="s">
        <v>460</v>
      </c>
    </row>
    <row r="1506" customFormat="false" ht="14.25" hidden="false" customHeight="true" outlineLevel="0" collapsed="false">
      <c r="A1506" s="1" t="s">
        <v>707</v>
      </c>
      <c r="B1506" s="1" t="s">
        <v>464</v>
      </c>
      <c r="C1506" s="1" t="s">
        <v>751</v>
      </c>
      <c r="D1506" s="1" t="s">
        <v>289</v>
      </c>
      <c r="E1506" s="1" t="n">
        <v>1</v>
      </c>
      <c r="F1506" s="1" t="n">
        <v>33.5</v>
      </c>
      <c r="G1506" s="1" t="n">
        <v>33.5</v>
      </c>
      <c r="H1506" s="1" t="s">
        <v>483</v>
      </c>
    </row>
    <row r="1507" customFormat="false" ht="14.25" hidden="false" customHeight="true" outlineLevel="0" collapsed="false">
      <c r="A1507" s="1" t="s">
        <v>707</v>
      </c>
      <c r="B1507" s="1" t="s">
        <v>464</v>
      </c>
      <c r="C1507" s="1" t="s">
        <v>751</v>
      </c>
      <c r="D1507" s="1" t="s">
        <v>289</v>
      </c>
      <c r="E1507" s="1" t="n">
        <v>1</v>
      </c>
      <c r="F1507" s="1" t="n">
        <v>22</v>
      </c>
      <c r="G1507" s="1" t="n">
        <v>22</v>
      </c>
      <c r="H1507" s="1" t="s">
        <v>484</v>
      </c>
    </row>
    <row r="1508" customFormat="false" ht="14.25" hidden="false" customHeight="true" outlineLevel="0" collapsed="false">
      <c r="A1508" s="1" t="s">
        <v>707</v>
      </c>
      <c r="B1508" s="1" t="s">
        <v>464</v>
      </c>
      <c r="C1508" s="1" t="s">
        <v>465</v>
      </c>
      <c r="D1508" s="1" t="s">
        <v>289</v>
      </c>
      <c r="E1508" s="1" t="n">
        <v>285</v>
      </c>
      <c r="F1508" s="1" t="n">
        <v>1.86</v>
      </c>
      <c r="G1508" s="1" t="n">
        <v>530.1</v>
      </c>
      <c r="H1508" s="1" t="s">
        <v>741</v>
      </c>
    </row>
    <row r="1509" customFormat="false" ht="14.25" hidden="false" customHeight="true" outlineLevel="0" collapsed="false">
      <c r="A1509" s="1" t="s">
        <v>707</v>
      </c>
      <c r="B1509" s="1" t="s">
        <v>464</v>
      </c>
      <c r="C1509" s="1" t="s">
        <v>473</v>
      </c>
      <c r="D1509" s="1" t="s">
        <v>289</v>
      </c>
      <c r="E1509" s="1" t="n">
        <v>0</v>
      </c>
      <c r="F1509" s="1" t="n">
        <v>0</v>
      </c>
      <c r="G1509" s="1" t="n">
        <v>0</v>
      </c>
      <c r="H1509" s="1" t="s">
        <v>752</v>
      </c>
    </row>
    <row r="1510" customFormat="false" ht="14.25" hidden="false" customHeight="true" outlineLevel="0" collapsed="false">
      <c r="A1510" s="1" t="s">
        <v>707</v>
      </c>
      <c r="B1510" s="1" t="s">
        <v>464</v>
      </c>
      <c r="C1510" s="1" t="s">
        <v>473</v>
      </c>
      <c r="D1510" s="1" t="s">
        <v>289</v>
      </c>
      <c r="E1510" s="1" t="n">
        <v>1</v>
      </c>
      <c r="F1510" s="1" t="n">
        <v>168.56</v>
      </c>
      <c r="G1510" s="1" t="n">
        <v>168.56</v>
      </c>
      <c r="H1510" s="1" t="s">
        <v>743</v>
      </c>
    </row>
    <row r="1511" customFormat="false" ht="14.25" hidden="false" customHeight="true" outlineLevel="0" collapsed="false">
      <c r="A1511" s="1" t="s">
        <v>707</v>
      </c>
      <c r="B1511" s="1" t="s">
        <v>464</v>
      </c>
      <c r="C1511" s="1" t="s">
        <v>473</v>
      </c>
      <c r="D1511" s="1" t="s">
        <v>289</v>
      </c>
      <c r="E1511" s="1" t="n">
        <v>115</v>
      </c>
      <c r="F1511" s="1" t="n">
        <v>27.68</v>
      </c>
      <c r="G1511" s="1" t="n">
        <v>3183.2</v>
      </c>
      <c r="H1511" s="1" t="s">
        <v>753</v>
      </c>
    </row>
    <row r="1512" customFormat="false" ht="14.25" hidden="false" customHeight="true" outlineLevel="0" collapsed="false">
      <c r="A1512" s="1" t="s">
        <v>707</v>
      </c>
      <c r="B1512" s="1" t="s">
        <v>464</v>
      </c>
      <c r="C1512" s="1" t="s">
        <v>478</v>
      </c>
      <c r="D1512" s="1" t="s">
        <v>289</v>
      </c>
      <c r="E1512" s="1" t="n">
        <v>0</v>
      </c>
      <c r="F1512" s="1" t="n">
        <v>0</v>
      </c>
      <c r="G1512" s="1" t="n">
        <v>0</v>
      </c>
      <c r="H1512" s="1" t="s">
        <v>754</v>
      </c>
    </row>
    <row r="1513" customFormat="false" ht="14.25" hidden="false" customHeight="true" outlineLevel="0" collapsed="false">
      <c r="A1513" s="1" t="s">
        <v>707</v>
      </c>
      <c r="B1513" s="1" t="s">
        <v>464</v>
      </c>
      <c r="C1513" s="1" t="s">
        <v>658</v>
      </c>
      <c r="D1513" s="1" t="s">
        <v>289</v>
      </c>
      <c r="E1513" s="1" t="n">
        <v>0</v>
      </c>
      <c r="F1513" s="1" t="n">
        <v>0</v>
      </c>
      <c r="G1513" s="1" t="n">
        <v>0</v>
      </c>
      <c r="H1513" s="1" t="s">
        <v>755</v>
      </c>
    </row>
    <row r="1514" customFormat="false" ht="14.25" hidden="false" customHeight="true" outlineLevel="0" collapsed="false">
      <c r="A1514" s="1" t="s">
        <v>707</v>
      </c>
      <c r="B1514" s="1" t="s">
        <v>464</v>
      </c>
      <c r="C1514" s="1" t="s">
        <v>490</v>
      </c>
      <c r="D1514" s="1" t="s">
        <v>289</v>
      </c>
      <c r="E1514" s="1" t="n">
        <v>0</v>
      </c>
      <c r="F1514" s="1" t="n">
        <v>0</v>
      </c>
      <c r="G1514" s="1" t="n">
        <v>0</v>
      </c>
      <c r="H1514" s="1" t="s">
        <v>754</v>
      </c>
    </row>
    <row r="1515" customFormat="false" ht="14.25" hidden="false" customHeight="true" outlineLevel="0" collapsed="false">
      <c r="A1515" s="1" t="s">
        <v>707</v>
      </c>
      <c r="B1515" s="1" t="s">
        <v>464</v>
      </c>
      <c r="C1515" s="1" t="s">
        <v>491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477</v>
      </c>
    </row>
    <row r="1516" customFormat="false" ht="14.25" hidden="false" customHeight="true" outlineLevel="0" collapsed="false">
      <c r="A1516" s="1" t="s">
        <v>707</v>
      </c>
      <c r="B1516" s="1" t="s">
        <v>464</v>
      </c>
      <c r="C1516" s="1" t="s">
        <v>492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754</v>
      </c>
    </row>
    <row r="1517" customFormat="false" ht="14.25" hidden="false" customHeight="true" outlineLevel="0" collapsed="false">
      <c r="A1517" s="1" t="s">
        <v>707</v>
      </c>
      <c r="B1517" s="1" t="s">
        <v>464</v>
      </c>
      <c r="C1517" s="1" t="s">
        <v>493</v>
      </c>
      <c r="D1517" s="1" t="s">
        <v>289</v>
      </c>
      <c r="E1517" s="1" t="n">
        <v>0</v>
      </c>
      <c r="F1517" s="1" t="n">
        <v>0</v>
      </c>
      <c r="G1517" s="1" t="n">
        <v>0</v>
      </c>
      <c r="H1517" s="1" t="s">
        <v>754</v>
      </c>
    </row>
    <row r="1518" customFormat="false" ht="14.25" hidden="false" customHeight="true" outlineLevel="0" collapsed="false">
      <c r="A1518" s="1" t="s">
        <v>707</v>
      </c>
      <c r="B1518" s="1" t="s">
        <v>464</v>
      </c>
      <c r="C1518" s="1" t="s">
        <v>494</v>
      </c>
      <c r="D1518" s="1" t="s">
        <v>289</v>
      </c>
      <c r="E1518" s="1" t="n">
        <v>0</v>
      </c>
      <c r="F1518" s="1" t="n">
        <v>0</v>
      </c>
      <c r="G1518" s="1" t="n">
        <v>0</v>
      </c>
      <c r="H1518" s="1" t="s">
        <v>754</v>
      </c>
    </row>
    <row r="1519" customFormat="false" ht="14.25" hidden="false" customHeight="true" outlineLevel="0" collapsed="false">
      <c r="A1519" s="1" t="s">
        <v>707</v>
      </c>
      <c r="B1519" s="1" t="s">
        <v>143</v>
      </c>
      <c r="C1519" s="1" t="s">
        <v>527</v>
      </c>
      <c r="D1519" s="1" t="s">
        <v>289</v>
      </c>
      <c r="E1519" s="1" t="n">
        <v>13611</v>
      </c>
      <c r="F1519" s="1" t="n">
        <v>0.250576029595696</v>
      </c>
      <c r="G1519" s="1" t="n">
        <v>3410.59033882702</v>
      </c>
      <c r="H1519" s="1" t="s">
        <v>756</v>
      </c>
    </row>
    <row r="1520" customFormat="false" ht="14.25" hidden="false" customHeight="true" outlineLevel="0" collapsed="false">
      <c r="A1520" s="1" t="s">
        <v>707</v>
      </c>
      <c r="B1520" s="1" t="s">
        <v>141</v>
      </c>
      <c r="C1520" s="1" t="s">
        <v>528</v>
      </c>
      <c r="D1520" s="1" t="s">
        <v>289</v>
      </c>
      <c r="E1520" s="1" t="n">
        <v>13611</v>
      </c>
      <c r="F1520" s="1" t="n">
        <v>0.127886007343671</v>
      </c>
      <c r="G1520" s="1" t="n">
        <v>1740.65644595471</v>
      </c>
      <c r="H1520" s="1" t="s">
        <v>756</v>
      </c>
    </row>
    <row r="1521" customFormat="false" ht="14.25" hidden="false" customHeight="true" outlineLevel="0" collapsed="false">
      <c r="A1521" s="1" t="s">
        <v>707</v>
      </c>
      <c r="B1521" s="1" t="s">
        <v>50</v>
      </c>
      <c r="C1521" s="1" t="s">
        <v>533</v>
      </c>
      <c r="D1521" s="1" t="s">
        <v>289</v>
      </c>
      <c r="E1521" s="1" t="n">
        <v>0</v>
      </c>
      <c r="F1521" s="1" t="n">
        <v>0</v>
      </c>
      <c r="G1521" s="1" t="n">
        <v>0</v>
      </c>
      <c r="H1521" s="1" t="s">
        <v>534</v>
      </c>
    </row>
    <row r="1522" customFormat="false" ht="14.25" hidden="false" customHeight="true" outlineLevel="0" collapsed="false">
      <c r="A1522" s="1" t="s">
        <v>707</v>
      </c>
      <c r="B1522" s="1" t="s">
        <v>537</v>
      </c>
      <c r="C1522" s="1" t="s">
        <v>544</v>
      </c>
      <c r="D1522" s="1" t="s">
        <v>289</v>
      </c>
      <c r="E1522" s="1" t="n">
        <v>0</v>
      </c>
      <c r="F1522" s="1" t="n">
        <v>0</v>
      </c>
      <c r="G1522" s="1" t="n">
        <v>0</v>
      </c>
      <c r="H1522" s="1" t="s">
        <v>757</v>
      </c>
    </row>
    <row r="1523" customFormat="false" ht="14.25" hidden="false" customHeight="true" outlineLevel="0" collapsed="false">
      <c r="A1523" s="1" t="s">
        <v>707</v>
      </c>
      <c r="B1523" s="1" t="s">
        <v>554</v>
      </c>
      <c r="C1523" s="1" t="s">
        <v>565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566</v>
      </c>
    </row>
    <row r="1524" customFormat="false" ht="14.25" hidden="false" customHeight="true" outlineLevel="0" collapsed="false">
      <c r="A1524" s="1" t="s">
        <v>707</v>
      </c>
      <c r="B1524" s="1" t="s">
        <v>554</v>
      </c>
      <c r="C1524" s="1" t="s">
        <v>563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564</v>
      </c>
    </row>
    <row r="1525" customFormat="false" ht="14.25" hidden="false" customHeight="true" outlineLevel="0" collapsed="false">
      <c r="A1525" s="1" t="s">
        <v>707</v>
      </c>
      <c r="B1525" s="1" t="s">
        <v>47</v>
      </c>
      <c r="C1525" s="1" t="s">
        <v>608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610</v>
      </c>
    </row>
    <row r="1526" customFormat="false" ht="14.25" hidden="false" customHeight="true" outlineLevel="0" collapsed="false">
      <c r="A1526" s="1" t="s">
        <v>707</v>
      </c>
      <c r="B1526" s="1" t="s">
        <v>85</v>
      </c>
      <c r="C1526" s="1" t="s">
        <v>615</v>
      </c>
      <c r="D1526" s="1" t="s">
        <v>289</v>
      </c>
      <c r="E1526" s="1" t="n">
        <v>6</v>
      </c>
      <c r="F1526" s="1" t="n">
        <v>155.82</v>
      </c>
      <c r="G1526" s="1" t="n">
        <v>934.92</v>
      </c>
      <c r="H1526" s="1" t="s">
        <v>617</v>
      </c>
    </row>
    <row r="1527" customFormat="false" ht="14.25" hidden="false" customHeight="true" outlineLevel="0" collapsed="false">
      <c r="A1527" s="1" t="s">
        <v>707</v>
      </c>
      <c r="B1527" s="1" t="s">
        <v>624</v>
      </c>
      <c r="C1527" s="1" t="s">
        <v>625</v>
      </c>
      <c r="D1527" s="1" t="s">
        <v>289</v>
      </c>
      <c r="E1527" s="1" t="n">
        <v>13611</v>
      </c>
      <c r="F1527" s="1" t="n">
        <v>3.12</v>
      </c>
      <c r="G1527" s="1" t="n">
        <v>42466.32</v>
      </c>
      <c r="H1527" s="1" t="s">
        <v>451</v>
      </c>
    </row>
    <row r="1528" customFormat="false" ht="14.25" hidden="false" customHeight="true" outlineLevel="0" collapsed="false">
      <c r="A1528" s="1" t="s">
        <v>707</v>
      </c>
      <c r="B1528" s="1" t="s">
        <v>32</v>
      </c>
      <c r="C1528" s="1" t="s">
        <v>618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619</v>
      </c>
    </row>
    <row r="1529" customFormat="false" ht="14.25" hidden="false" customHeight="true" outlineLevel="0" collapsed="false">
      <c r="A1529" s="1" t="s">
        <v>707</v>
      </c>
      <c r="B1529" s="1" t="s">
        <v>32</v>
      </c>
      <c r="C1529" s="1" t="s">
        <v>620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621</v>
      </c>
    </row>
    <row r="1530" customFormat="false" ht="14.25" hidden="false" customHeight="true" outlineLevel="0" collapsed="false">
      <c r="A1530" s="1" t="s">
        <v>707</v>
      </c>
      <c r="B1530" s="1" t="s">
        <v>44</v>
      </c>
      <c r="C1530" s="1" t="s">
        <v>626</v>
      </c>
      <c r="D1530" s="1" t="s">
        <v>289</v>
      </c>
      <c r="E1530" s="1" t="n">
        <v>1</v>
      </c>
      <c r="F1530" s="1" t="n">
        <v>539.98</v>
      </c>
      <c r="G1530" s="1" t="n">
        <v>539.98</v>
      </c>
      <c r="H1530" s="1" t="s">
        <v>680</v>
      </c>
    </row>
    <row r="1531" customFormat="false" ht="14.25" hidden="false" customHeight="true" outlineLevel="0" collapsed="false">
      <c r="A1531" s="1" t="s">
        <v>707</v>
      </c>
      <c r="B1531" s="1" t="s">
        <v>44</v>
      </c>
      <c r="C1531" s="1" t="s">
        <v>629</v>
      </c>
      <c r="D1531" s="1" t="s">
        <v>289</v>
      </c>
      <c r="E1531" s="1" t="n">
        <v>0</v>
      </c>
      <c r="F1531" s="1" t="n">
        <v>0</v>
      </c>
      <c r="G1531" s="1" t="n">
        <v>0</v>
      </c>
      <c r="H1531" s="1" t="s">
        <v>630</v>
      </c>
    </row>
    <row r="1532" customFormat="false" ht="14.25" hidden="false" customHeight="true" outlineLevel="0" collapsed="false">
      <c r="A1532" s="1" t="s">
        <v>707</v>
      </c>
      <c r="B1532" s="1" t="s">
        <v>44</v>
      </c>
      <c r="C1532" s="1" t="s">
        <v>631</v>
      </c>
      <c r="D1532" s="1" t="s">
        <v>289</v>
      </c>
      <c r="E1532" s="1" t="n">
        <v>37</v>
      </c>
      <c r="F1532" s="1" t="n">
        <v>52.35</v>
      </c>
      <c r="G1532" s="1" t="n">
        <v>1936.95</v>
      </c>
      <c r="H1532" s="1" t="s">
        <v>758</v>
      </c>
    </row>
    <row r="1533" customFormat="false" ht="14.25" hidden="false" customHeight="true" outlineLevel="0" collapsed="false">
      <c r="A1533" s="1" t="s">
        <v>707</v>
      </c>
      <c r="B1533" s="1" t="s">
        <v>44</v>
      </c>
      <c r="C1533" s="1" t="s">
        <v>633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634</v>
      </c>
    </row>
    <row r="1534" customFormat="false" ht="14.25" hidden="false" customHeight="true" outlineLevel="0" collapsed="false">
      <c r="A1534" s="1" t="s">
        <v>707</v>
      </c>
      <c r="B1534" s="1" t="s">
        <v>87</v>
      </c>
      <c r="C1534" s="1" t="s">
        <v>642</v>
      </c>
      <c r="D1534" s="1" t="s">
        <v>289</v>
      </c>
      <c r="E1534" s="1" t="n">
        <v>2</v>
      </c>
      <c r="F1534" s="1" t="n">
        <v>50</v>
      </c>
      <c r="G1534" s="1" t="n">
        <v>100</v>
      </c>
      <c r="H1534" s="1" t="s">
        <v>749</v>
      </c>
    </row>
    <row r="1535" customFormat="false" ht="14.25" hidden="false" customHeight="true" outlineLevel="0" collapsed="false">
      <c r="A1535" s="1" t="s">
        <v>707</v>
      </c>
      <c r="B1535" s="1" t="s">
        <v>453</v>
      </c>
      <c r="C1535" s="1" t="s">
        <v>456</v>
      </c>
      <c r="D1535" s="1" t="s">
        <v>284</v>
      </c>
      <c r="E1535" s="1" t="n">
        <v>0</v>
      </c>
      <c r="F1535" s="1" t="n">
        <v>0</v>
      </c>
      <c r="G1535" s="1" t="n">
        <v>0</v>
      </c>
      <c r="H1535" s="1" t="s">
        <v>645</v>
      </c>
    </row>
    <row r="1536" customFormat="false" ht="14.25" hidden="false" customHeight="true" outlineLevel="0" collapsed="false">
      <c r="A1536" s="1" t="s">
        <v>707</v>
      </c>
      <c r="B1536" s="1" t="s">
        <v>453</v>
      </c>
      <c r="C1536" s="1" t="s">
        <v>454</v>
      </c>
      <c r="D1536" s="1" t="s">
        <v>293</v>
      </c>
      <c r="E1536" s="1" t="n">
        <v>0</v>
      </c>
      <c r="F1536" s="1" t="n">
        <v>0</v>
      </c>
      <c r="G1536" s="1" t="n">
        <v>0</v>
      </c>
      <c r="H1536" s="1" t="s">
        <v>458</v>
      </c>
    </row>
    <row r="1537" customFormat="false" ht="14.25" hidden="false" customHeight="true" outlineLevel="0" collapsed="false">
      <c r="A1537" s="1" t="s">
        <v>707</v>
      </c>
      <c r="B1537" s="1" t="s">
        <v>453</v>
      </c>
      <c r="C1537" s="1" t="s">
        <v>456</v>
      </c>
      <c r="D1537" s="1" t="s">
        <v>293</v>
      </c>
      <c r="E1537" s="1" t="n">
        <v>0</v>
      </c>
      <c r="F1537" s="1" t="n">
        <v>0</v>
      </c>
      <c r="G1537" s="1" t="n">
        <v>0</v>
      </c>
      <c r="H1537" s="1" t="s">
        <v>645</v>
      </c>
    </row>
    <row r="1538" customFormat="false" ht="14.25" hidden="false" customHeight="true" outlineLevel="0" collapsed="false">
      <c r="A1538" s="1" t="s">
        <v>707</v>
      </c>
      <c r="B1538" s="1" t="s">
        <v>78</v>
      </c>
      <c r="C1538" s="1" t="s">
        <v>463</v>
      </c>
      <c r="D1538" s="1" t="s">
        <v>293</v>
      </c>
      <c r="E1538" s="1" t="n">
        <v>3823</v>
      </c>
      <c r="F1538" s="1" t="n">
        <v>0.380674690807352</v>
      </c>
      <c r="G1538" s="1" t="n">
        <v>1455.31934295651</v>
      </c>
      <c r="H1538" s="1" t="s">
        <v>759</v>
      </c>
    </row>
    <row r="1539" customFormat="false" ht="14.25" hidden="false" customHeight="true" outlineLevel="0" collapsed="false">
      <c r="A1539" s="1" t="s">
        <v>707</v>
      </c>
      <c r="B1539" s="1" t="s">
        <v>464</v>
      </c>
      <c r="C1539" s="1" t="s">
        <v>465</v>
      </c>
      <c r="D1539" s="1" t="s">
        <v>293</v>
      </c>
      <c r="E1539" s="1" t="n">
        <v>198</v>
      </c>
      <c r="F1539" s="1" t="n">
        <v>1.86</v>
      </c>
      <c r="G1539" s="1" t="n">
        <v>368.28</v>
      </c>
      <c r="H1539" s="1" t="s">
        <v>741</v>
      </c>
    </row>
    <row r="1540" customFormat="false" ht="14.25" hidden="false" customHeight="true" outlineLevel="0" collapsed="false">
      <c r="A1540" s="1" t="s">
        <v>707</v>
      </c>
      <c r="B1540" s="1" t="s">
        <v>464</v>
      </c>
      <c r="C1540" s="1" t="s">
        <v>478</v>
      </c>
      <c r="D1540" s="1" t="s">
        <v>293</v>
      </c>
      <c r="E1540" s="1" t="n">
        <v>1</v>
      </c>
      <c r="F1540" s="1" t="n">
        <v>348.349782230624</v>
      </c>
      <c r="G1540" s="1" t="n">
        <v>348.349782230624</v>
      </c>
      <c r="H1540" s="1" t="s">
        <v>754</v>
      </c>
    </row>
    <row r="1541" customFormat="false" ht="14.25" hidden="false" customHeight="true" outlineLevel="0" collapsed="false">
      <c r="A1541" s="1" t="s">
        <v>707</v>
      </c>
      <c r="B1541" s="1" t="s">
        <v>464</v>
      </c>
      <c r="C1541" s="1" t="s">
        <v>496</v>
      </c>
      <c r="D1541" s="1" t="s">
        <v>293</v>
      </c>
      <c r="E1541" s="1" t="n">
        <v>0</v>
      </c>
      <c r="F1541" s="1" t="n">
        <v>0</v>
      </c>
      <c r="G1541" s="1" t="n">
        <v>0</v>
      </c>
      <c r="H1541" s="1" t="s">
        <v>754</v>
      </c>
    </row>
    <row r="1542" customFormat="false" ht="14.25" hidden="false" customHeight="true" outlineLevel="0" collapsed="false">
      <c r="A1542" s="1" t="s">
        <v>707</v>
      </c>
      <c r="B1542" s="1" t="s">
        <v>464</v>
      </c>
      <c r="C1542" s="1" t="s">
        <v>497</v>
      </c>
      <c r="D1542" s="1" t="s">
        <v>293</v>
      </c>
      <c r="E1542" s="1" t="n">
        <v>0</v>
      </c>
      <c r="F1542" s="1" t="n">
        <v>0</v>
      </c>
      <c r="G1542" s="1" t="n">
        <v>0</v>
      </c>
    </row>
    <row r="1543" customFormat="false" ht="14.25" hidden="false" customHeight="true" outlineLevel="0" collapsed="false">
      <c r="A1543" s="1" t="s">
        <v>707</v>
      </c>
      <c r="B1543" s="1" t="s">
        <v>464</v>
      </c>
      <c r="C1543" s="1" t="s">
        <v>498</v>
      </c>
      <c r="D1543" s="1" t="s">
        <v>293</v>
      </c>
      <c r="E1543" s="1" t="n">
        <v>0</v>
      </c>
      <c r="F1543" s="1" t="n">
        <v>0</v>
      </c>
      <c r="G1543" s="1" t="n">
        <v>0</v>
      </c>
      <c r="H1543" s="1" t="s">
        <v>477</v>
      </c>
    </row>
    <row r="1544" customFormat="false" ht="14.25" hidden="false" customHeight="true" outlineLevel="0" collapsed="false">
      <c r="A1544" s="1" t="s">
        <v>707</v>
      </c>
      <c r="B1544" s="1" t="s">
        <v>143</v>
      </c>
      <c r="C1544" s="1" t="s">
        <v>527</v>
      </c>
      <c r="D1544" s="1" t="s">
        <v>293</v>
      </c>
      <c r="E1544" s="1" t="n">
        <v>3823</v>
      </c>
      <c r="F1544" s="1" t="n">
        <v>0.250576029595696</v>
      </c>
      <c r="G1544" s="1" t="n">
        <v>957.952161144346</v>
      </c>
      <c r="H1544" s="1" t="s">
        <v>759</v>
      </c>
    </row>
    <row r="1545" customFormat="false" ht="14.25" hidden="false" customHeight="true" outlineLevel="0" collapsed="false">
      <c r="A1545" s="1" t="s">
        <v>707</v>
      </c>
      <c r="B1545" s="1" t="s">
        <v>45</v>
      </c>
      <c r="C1545" s="1" t="s">
        <v>529</v>
      </c>
      <c r="D1545" s="1" t="s">
        <v>293</v>
      </c>
      <c r="E1545" s="1" t="n">
        <v>469</v>
      </c>
      <c r="F1545" s="1" t="n">
        <v>7.19</v>
      </c>
      <c r="G1545" s="1" t="n">
        <v>3372.11</v>
      </c>
      <c r="H1545" s="1" t="s">
        <v>530</v>
      </c>
    </row>
    <row r="1546" customFormat="false" ht="14.25" hidden="false" customHeight="true" outlineLevel="0" collapsed="false">
      <c r="A1546" s="1" t="s">
        <v>707</v>
      </c>
      <c r="B1546" s="1" t="s">
        <v>50</v>
      </c>
      <c r="C1546" s="1" t="s">
        <v>533</v>
      </c>
      <c r="D1546" s="1" t="s">
        <v>293</v>
      </c>
      <c r="E1546" s="1" t="n">
        <v>0</v>
      </c>
      <c r="F1546" s="1" t="n">
        <v>0</v>
      </c>
      <c r="G1546" s="1" t="n">
        <v>0</v>
      </c>
      <c r="H1546" s="1" t="s">
        <v>534</v>
      </c>
    </row>
    <row r="1547" customFormat="false" ht="14.25" hidden="false" customHeight="true" outlineLevel="0" collapsed="false">
      <c r="A1547" s="1" t="s">
        <v>707</v>
      </c>
      <c r="B1547" s="1" t="s">
        <v>537</v>
      </c>
      <c r="C1547" s="1" t="s">
        <v>542</v>
      </c>
      <c r="D1547" s="1" t="s">
        <v>293</v>
      </c>
      <c r="E1547" s="1" t="n">
        <v>3</v>
      </c>
      <c r="F1547" s="1" t="n">
        <v>20</v>
      </c>
      <c r="G1547" s="1" t="n">
        <v>60</v>
      </c>
      <c r="H1547" s="1" t="s">
        <v>746</v>
      </c>
    </row>
    <row r="1548" customFormat="false" ht="14.25" hidden="false" customHeight="true" outlineLevel="0" collapsed="false">
      <c r="A1548" s="1" t="s">
        <v>707</v>
      </c>
      <c r="B1548" s="1" t="s">
        <v>537</v>
      </c>
      <c r="C1548" s="1" t="s">
        <v>544</v>
      </c>
      <c r="D1548" s="1" t="s">
        <v>293</v>
      </c>
      <c r="E1548" s="1" t="n">
        <v>1</v>
      </c>
      <c r="F1548" s="1" t="n">
        <v>414.54</v>
      </c>
      <c r="G1548" s="1" t="n">
        <v>414.54</v>
      </c>
      <c r="H1548" s="1" t="s">
        <v>687</v>
      </c>
    </row>
    <row r="1549" customFormat="false" ht="14.25" hidden="false" customHeight="true" outlineLevel="0" collapsed="false">
      <c r="A1549" s="1" t="s">
        <v>707</v>
      </c>
      <c r="B1549" s="1" t="s">
        <v>537</v>
      </c>
      <c r="C1549" s="1" t="s">
        <v>546</v>
      </c>
      <c r="D1549" s="1" t="s">
        <v>293</v>
      </c>
      <c r="E1549" s="1" t="n">
        <v>0</v>
      </c>
      <c r="F1549" s="1" t="n">
        <v>0</v>
      </c>
      <c r="G1549" s="1" t="n">
        <v>0</v>
      </c>
      <c r="H1549" s="1" t="s">
        <v>747</v>
      </c>
    </row>
    <row r="1550" customFormat="false" ht="14.25" hidden="false" customHeight="true" outlineLevel="0" collapsed="false">
      <c r="A1550" s="1" t="s">
        <v>707</v>
      </c>
      <c r="B1550" s="1" t="s">
        <v>554</v>
      </c>
      <c r="C1550" s="1" t="s">
        <v>571</v>
      </c>
      <c r="D1550" s="1" t="s">
        <v>293</v>
      </c>
      <c r="E1550" s="1" t="n">
        <v>0</v>
      </c>
      <c r="F1550" s="1" t="n">
        <v>0</v>
      </c>
      <c r="G1550" s="1" t="n">
        <v>0</v>
      </c>
      <c r="H1550" s="1" t="s">
        <v>564</v>
      </c>
    </row>
    <row r="1551" customFormat="false" ht="14.25" hidden="false" customHeight="true" outlineLevel="0" collapsed="false">
      <c r="A1551" s="1" t="s">
        <v>707</v>
      </c>
      <c r="B1551" s="1" t="s">
        <v>554</v>
      </c>
      <c r="C1551" s="1" t="s">
        <v>567</v>
      </c>
      <c r="D1551" s="1" t="s">
        <v>293</v>
      </c>
      <c r="E1551" s="1" t="n">
        <v>0</v>
      </c>
      <c r="F1551" s="1" t="n">
        <v>0</v>
      </c>
      <c r="G1551" s="1" t="n">
        <v>0</v>
      </c>
      <c r="H1551" s="1" t="s">
        <v>568</v>
      </c>
    </row>
    <row r="1552" customFormat="false" ht="14.25" hidden="false" customHeight="true" outlineLevel="0" collapsed="false">
      <c r="A1552" s="1" t="s">
        <v>707</v>
      </c>
      <c r="B1552" s="1" t="s">
        <v>554</v>
      </c>
      <c r="C1552" s="1" t="s">
        <v>569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570</v>
      </c>
    </row>
    <row r="1553" customFormat="false" ht="14.25" hidden="false" customHeight="true" outlineLevel="0" collapsed="false">
      <c r="A1553" s="1" t="s">
        <v>707</v>
      </c>
      <c r="B1553" s="1" t="s">
        <v>554</v>
      </c>
      <c r="C1553" s="1" t="s">
        <v>572</v>
      </c>
      <c r="D1553" s="1" t="s">
        <v>293</v>
      </c>
      <c r="E1553" s="1" t="n">
        <v>0</v>
      </c>
      <c r="F1553" s="1" t="n">
        <v>0</v>
      </c>
      <c r="G1553" s="1" t="n">
        <v>0</v>
      </c>
      <c r="H1553" s="1" t="s">
        <v>573</v>
      </c>
    </row>
    <row r="1554" customFormat="false" ht="14.25" hidden="false" customHeight="true" outlineLevel="0" collapsed="false">
      <c r="A1554" s="1" t="s">
        <v>707</v>
      </c>
      <c r="B1554" s="1" t="s">
        <v>554</v>
      </c>
      <c r="C1554" s="1" t="s">
        <v>574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573</v>
      </c>
    </row>
    <row r="1555" customFormat="false" ht="14.25" hidden="false" customHeight="true" outlineLevel="0" collapsed="false">
      <c r="A1555" s="1" t="s">
        <v>707</v>
      </c>
      <c r="B1555" s="1" t="s">
        <v>554</v>
      </c>
      <c r="C1555" s="1" t="s">
        <v>575</v>
      </c>
      <c r="D1555" s="1" t="s">
        <v>293</v>
      </c>
      <c r="E1555" s="1" t="n">
        <v>1</v>
      </c>
      <c r="F1555" s="1" t="n">
        <v>3900.13</v>
      </c>
      <c r="G1555" s="1" t="n">
        <v>3900.13</v>
      </c>
      <c r="H1555" s="1" t="s">
        <v>576</v>
      </c>
    </row>
    <row r="1556" customFormat="false" ht="14.25" hidden="false" customHeight="true" outlineLevel="0" collapsed="false">
      <c r="A1556" s="1" t="s">
        <v>707</v>
      </c>
      <c r="B1556" s="1" t="s">
        <v>47</v>
      </c>
      <c r="C1556" s="1" t="s">
        <v>608</v>
      </c>
      <c r="D1556" s="1" t="s">
        <v>293</v>
      </c>
      <c r="E1556" s="1" t="n">
        <v>0</v>
      </c>
      <c r="F1556" s="1" t="n">
        <v>0</v>
      </c>
      <c r="G1556" s="1" t="n">
        <v>0</v>
      </c>
      <c r="H1556" s="1" t="s">
        <v>611</v>
      </c>
    </row>
    <row r="1557" customFormat="false" ht="14.25" hidden="false" customHeight="true" outlineLevel="0" collapsed="false">
      <c r="A1557" s="1" t="s">
        <v>707</v>
      </c>
      <c r="B1557" s="1" t="s">
        <v>85</v>
      </c>
      <c r="C1557" s="1" t="s">
        <v>615</v>
      </c>
      <c r="D1557" s="1" t="s">
        <v>293</v>
      </c>
      <c r="E1557" s="1" t="n">
        <v>5</v>
      </c>
      <c r="F1557" s="1" t="n">
        <v>143.82</v>
      </c>
      <c r="G1557" s="1" t="n">
        <v>719.1</v>
      </c>
      <c r="H1557" s="1" t="s">
        <v>617</v>
      </c>
    </row>
    <row r="1558" customFormat="false" ht="14.25" hidden="false" customHeight="true" outlineLevel="0" collapsed="false">
      <c r="A1558" s="1" t="s">
        <v>707</v>
      </c>
      <c r="B1558" s="1" t="s">
        <v>32</v>
      </c>
      <c r="C1558" s="1" t="s">
        <v>618</v>
      </c>
      <c r="D1558" s="1" t="s">
        <v>293</v>
      </c>
      <c r="E1558" s="1" t="n">
        <v>0</v>
      </c>
      <c r="F1558" s="1" t="n">
        <v>0</v>
      </c>
      <c r="G1558" s="1" t="n">
        <v>0</v>
      </c>
      <c r="H1558" s="1" t="s">
        <v>619</v>
      </c>
    </row>
    <row r="1559" customFormat="false" ht="14.25" hidden="false" customHeight="true" outlineLevel="0" collapsed="false">
      <c r="A1559" s="1" t="s">
        <v>707</v>
      </c>
      <c r="B1559" s="1" t="s">
        <v>32</v>
      </c>
      <c r="C1559" s="1" t="s">
        <v>620</v>
      </c>
      <c r="D1559" s="1" t="s">
        <v>293</v>
      </c>
      <c r="E1559" s="1" t="n">
        <v>0</v>
      </c>
      <c r="F1559" s="1" t="n">
        <v>0</v>
      </c>
      <c r="G1559" s="1" t="n">
        <v>0</v>
      </c>
      <c r="H1559" s="1" t="s">
        <v>622</v>
      </c>
    </row>
    <row r="1560" customFormat="false" ht="14.25" hidden="false" customHeight="true" outlineLevel="0" collapsed="false">
      <c r="A1560" s="1" t="s">
        <v>707</v>
      </c>
      <c r="B1560" s="1" t="s">
        <v>44</v>
      </c>
      <c r="C1560" s="1" t="s">
        <v>626</v>
      </c>
      <c r="D1560" s="1" t="s">
        <v>293</v>
      </c>
      <c r="E1560" s="1" t="n">
        <v>1</v>
      </c>
      <c r="F1560" s="1" t="n">
        <v>220.8</v>
      </c>
      <c r="G1560" s="1" t="n">
        <v>220.8</v>
      </c>
      <c r="H1560" s="1" t="s">
        <v>680</v>
      </c>
    </row>
    <row r="1561" customFormat="false" ht="14.25" hidden="false" customHeight="true" outlineLevel="0" collapsed="false">
      <c r="A1561" s="1" t="s">
        <v>707</v>
      </c>
      <c r="B1561" s="1" t="s">
        <v>44</v>
      </c>
      <c r="C1561" s="1" t="s">
        <v>626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627</v>
      </c>
    </row>
    <row r="1562" customFormat="false" ht="14.25" hidden="false" customHeight="true" outlineLevel="0" collapsed="false">
      <c r="A1562" s="1" t="s">
        <v>707</v>
      </c>
      <c r="B1562" s="1" t="s">
        <v>44</v>
      </c>
      <c r="C1562" s="1" t="s">
        <v>635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630</v>
      </c>
    </row>
    <row r="1563" customFormat="false" ht="14.25" hidden="false" customHeight="true" outlineLevel="0" collapsed="false">
      <c r="A1563" s="1" t="s">
        <v>707</v>
      </c>
      <c r="B1563" s="1" t="s">
        <v>44</v>
      </c>
      <c r="C1563" s="1" t="s">
        <v>636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634</v>
      </c>
    </row>
    <row r="1564" customFormat="false" ht="14.25" hidden="false" customHeight="true" outlineLevel="0" collapsed="false">
      <c r="A1564" s="1" t="s">
        <v>707</v>
      </c>
      <c r="B1564" s="1" t="s">
        <v>87</v>
      </c>
      <c r="C1564" s="1" t="s">
        <v>642</v>
      </c>
      <c r="D1564" s="1" t="s">
        <v>293</v>
      </c>
      <c r="E1564" s="1" t="n">
        <v>1</v>
      </c>
      <c r="F1564" s="1" t="n">
        <v>10</v>
      </c>
      <c r="G1564" s="1" t="n">
        <v>10</v>
      </c>
      <c r="H1564" s="1" t="s">
        <v>749</v>
      </c>
    </row>
    <row r="1565" customFormat="false" ht="14.25" hidden="false" customHeight="true" outlineLevel="0" collapsed="false">
      <c r="A1565" s="1" t="s">
        <v>707</v>
      </c>
      <c r="B1565" s="1" t="s">
        <v>453</v>
      </c>
      <c r="C1565" s="1" t="s">
        <v>454</v>
      </c>
      <c r="D1565" s="1" t="s">
        <v>290</v>
      </c>
      <c r="E1565" s="1" t="n">
        <v>0</v>
      </c>
      <c r="F1565" s="1" t="n">
        <v>0</v>
      </c>
      <c r="G1565" s="1" t="n">
        <v>0</v>
      </c>
      <c r="H1565" s="1" t="s">
        <v>455</v>
      </c>
    </row>
    <row r="1566" customFormat="false" ht="14.25" hidden="false" customHeight="true" outlineLevel="0" collapsed="false">
      <c r="A1566" s="1" t="s">
        <v>707</v>
      </c>
      <c r="B1566" s="1" t="s">
        <v>453</v>
      </c>
      <c r="C1566" s="1" t="s">
        <v>456</v>
      </c>
      <c r="D1566" s="1" t="s">
        <v>290</v>
      </c>
      <c r="E1566" s="1" t="n">
        <v>0</v>
      </c>
      <c r="F1566" s="1" t="n">
        <v>0</v>
      </c>
      <c r="G1566" s="1" t="n">
        <v>0</v>
      </c>
      <c r="H1566" s="1" t="s">
        <v>457</v>
      </c>
    </row>
    <row r="1567" customFormat="false" ht="14.25" hidden="false" customHeight="true" outlineLevel="0" collapsed="false">
      <c r="A1567" s="1" t="s">
        <v>707</v>
      </c>
      <c r="B1567" s="1" t="s">
        <v>464</v>
      </c>
      <c r="C1567" s="1" t="s">
        <v>465</v>
      </c>
      <c r="D1567" s="1" t="s">
        <v>290</v>
      </c>
      <c r="E1567" s="1" t="n">
        <v>676</v>
      </c>
      <c r="F1567" s="1" t="n">
        <v>1.86</v>
      </c>
      <c r="G1567" s="1" t="n">
        <v>1257.36</v>
      </c>
      <c r="H1567" s="1" t="s">
        <v>741</v>
      </c>
    </row>
    <row r="1568" customFormat="false" ht="14.25" hidden="false" customHeight="true" outlineLevel="0" collapsed="false">
      <c r="A1568" s="1" t="s">
        <v>707</v>
      </c>
      <c r="B1568" s="1" t="s">
        <v>464</v>
      </c>
      <c r="C1568" s="1" t="s">
        <v>473</v>
      </c>
      <c r="D1568" s="1" t="s">
        <v>290</v>
      </c>
      <c r="E1568" s="1" t="n">
        <v>-1</v>
      </c>
      <c r="F1568" s="1" t="n">
        <v>439.04</v>
      </c>
      <c r="G1568" s="1" t="n">
        <v>-439.04</v>
      </c>
      <c r="H1568" s="1" t="s">
        <v>760</v>
      </c>
    </row>
    <row r="1569" customFormat="false" ht="14.25" hidden="false" customHeight="true" outlineLevel="0" collapsed="false">
      <c r="A1569" s="1" t="s">
        <v>707</v>
      </c>
      <c r="B1569" s="1" t="s">
        <v>464</v>
      </c>
      <c r="C1569" s="1" t="s">
        <v>473</v>
      </c>
      <c r="D1569" s="1" t="s">
        <v>290</v>
      </c>
      <c r="E1569" s="1" t="n">
        <v>131</v>
      </c>
      <c r="F1569" s="1" t="n">
        <v>27.68</v>
      </c>
      <c r="G1569" s="1" t="n">
        <v>3626.08</v>
      </c>
      <c r="H1569" s="1" t="s">
        <v>761</v>
      </c>
    </row>
    <row r="1570" customFormat="false" ht="14.25" hidden="false" customHeight="true" outlineLevel="0" collapsed="false">
      <c r="A1570" s="1" t="s">
        <v>707</v>
      </c>
      <c r="B1570" s="1" t="s">
        <v>464</v>
      </c>
      <c r="C1570" s="1" t="s">
        <v>504</v>
      </c>
      <c r="D1570" s="1" t="s">
        <v>290</v>
      </c>
      <c r="E1570" s="1" t="n">
        <v>1</v>
      </c>
      <c r="F1570" s="1" t="n">
        <v>348.349782230624</v>
      </c>
      <c r="G1570" s="1" t="n">
        <v>348.349782230624</v>
      </c>
      <c r="H1570" s="1" t="s">
        <v>762</v>
      </c>
    </row>
    <row r="1571" customFormat="false" ht="14.25" hidden="false" customHeight="true" outlineLevel="0" collapsed="false">
      <c r="A1571" s="1" t="s">
        <v>707</v>
      </c>
      <c r="B1571" s="1" t="s">
        <v>464</v>
      </c>
      <c r="C1571" s="1" t="s">
        <v>505</v>
      </c>
      <c r="D1571" s="1" t="s">
        <v>290</v>
      </c>
      <c r="E1571" s="1" t="n">
        <v>0</v>
      </c>
      <c r="F1571" s="1" t="n">
        <v>0</v>
      </c>
      <c r="G1571" s="1" t="n">
        <v>0</v>
      </c>
      <c r="H1571" s="1" t="s">
        <v>684</v>
      </c>
    </row>
    <row r="1572" customFormat="false" ht="14.25" hidden="false" customHeight="true" outlineLevel="0" collapsed="false">
      <c r="A1572" s="1" t="s">
        <v>707</v>
      </c>
      <c r="B1572" s="1" t="s">
        <v>464</v>
      </c>
      <c r="C1572" s="1" t="s">
        <v>667</v>
      </c>
      <c r="D1572" s="1" t="s">
        <v>290</v>
      </c>
      <c r="E1572" s="1" t="n">
        <v>0</v>
      </c>
      <c r="F1572" s="1" t="n">
        <v>0</v>
      </c>
      <c r="G1572" s="1" t="n">
        <v>0</v>
      </c>
      <c r="H1572" s="1" t="s">
        <v>684</v>
      </c>
    </row>
    <row r="1573" customFormat="false" ht="14.25" hidden="false" customHeight="true" outlineLevel="0" collapsed="false">
      <c r="A1573" s="1" t="s">
        <v>707</v>
      </c>
      <c r="B1573" s="1" t="s">
        <v>464</v>
      </c>
      <c r="C1573" s="1" t="s">
        <v>506</v>
      </c>
      <c r="D1573" s="1" t="s">
        <v>290</v>
      </c>
      <c r="E1573" s="1" t="n">
        <v>0</v>
      </c>
      <c r="F1573" s="1" t="n">
        <v>0</v>
      </c>
      <c r="G1573" s="1" t="n">
        <v>0</v>
      </c>
    </row>
    <row r="1574" customFormat="false" ht="14.25" hidden="false" customHeight="true" outlineLevel="0" collapsed="false">
      <c r="A1574" s="1" t="s">
        <v>707</v>
      </c>
      <c r="B1574" s="1" t="s">
        <v>143</v>
      </c>
      <c r="C1574" s="1" t="s">
        <v>527</v>
      </c>
      <c r="D1574" s="1" t="s">
        <v>290</v>
      </c>
      <c r="E1574" s="1" t="n">
        <v>6701</v>
      </c>
      <c r="F1574" s="1" t="n">
        <v>0.250576029595696</v>
      </c>
      <c r="G1574" s="1" t="n">
        <v>1679.10997432076</v>
      </c>
      <c r="H1574" s="1" t="s">
        <v>763</v>
      </c>
    </row>
    <row r="1575" customFormat="false" ht="14.25" hidden="false" customHeight="true" outlineLevel="0" collapsed="false">
      <c r="A1575" s="1" t="s">
        <v>707</v>
      </c>
      <c r="B1575" s="1" t="s">
        <v>50</v>
      </c>
      <c r="C1575" s="1" t="s">
        <v>533</v>
      </c>
      <c r="D1575" s="1" t="s">
        <v>290</v>
      </c>
      <c r="E1575" s="1" t="n">
        <v>0</v>
      </c>
      <c r="F1575" s="1" t="n">
        <v>0</v>
      </c>
      <c r="G1575" s="1" t="n">
        <v>0</v>
      </c>
      <c r="H1575" s="1" t="s">
        <v>535</v>
      </c>
    </row>
    <row r="1576" customFormat="false" ht="14.25" hidden="false" customHeight="true" outlineLevel="0" collapsed="false">
      <c r="A1576" s="1" t="s">
        <v>707</v>
      </c>
      <c r="B1576" s="1" t="s">
        <v>537</v>
      </c>
      <c r="C1576" s="1" t="s">
        <v>538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548</v>
      </c>
    </row>
    <row r="1577" customFormat="false" ht="14.25" hidden="false" customHeight="true" outlineLevel="0" collapsed="false">
      <c r="A1577" s="1" t="s">
        <v>707</v>
      </c>
      <c r="B1577" s="1" t="s">
        <v>537</v>
      </c>
      <c r="C1577" s="1" t="s">
        <v>540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549</v>
      </c>
    </row>
    <row r="1578" customFormat="false" ht="14.25" hidden="false" customHeight="true" outlineLevel="0" collapsed="false">
      <c r="A1578" s="1" t="s">
        <v>707</v>
      </c>
      <c r="B1578" s="1" t="s">
        <v>537</v>
      </c>
      <c r="C1578" s="1" t="s">
        <v>542</v>
      </c>
      <c r="D1578" s="1" t="s">
        <v>290</v>
      </c>
      <c r="E1578" s="1" t="n">
        <v>13</v>
      </c>
      <c r="F1578" s="1" t="n">
        <v>20</v>
      </c>
      <c r="G1578" s="1" t="n">
        <v>260</v>
      </c>
      <c r="H1578" s="1" t="s">
        <v>746</v>
      </c>
    </row>
    <row r="1579" customFormat="false" ht="14.25" hidden="false" customHeight="true" outlineLevel="0" collapsed="false">
      <c r="A1579" s="1" t="s">
        <v>707</v>
      </c>
      <c r="B1579" s="1" t="s">
        <v>537</v>
      </c>
      <c r="C1579" s="1" t="s">
        <v>544</v>
      </c>
      <c r="D1579" s="1" t="s">
        <v>290</v>
      </c>
      <c r="E1579" s="1" t="n">
        <v>0</v>
      </c>
      <c r="F1579" s="1" t="n">
        <v>0</v>
      </c>
      <c r="G1579" s="1" t="n">
        <v>0</v>
      </c>
      <c r="H1579" s="1" t="s">
        <v>687</v>
      </c>
    </row>
    <row r="1580" customFormat="false" ht="14.25" hidden="false" customHeight="true" outlineLevel="0" collapsed="false">
      <c r="A1580" s="1" t="s">
        <v>707</v>
      </c>
      <c r="B1580" s="1" t="s">
        <v>537</v>
      </c>
      <c r="C1580" s="1" t="s">
        <v>546</v>
      </c>
      <c r="D1580" s="1" t="s">
        <v>290</v>
      </c>
      <c r="E1580" s="1" t="n">
        <v>0</v>
      </c>
      <c r="F1580" s="1" t="n">
        <v>0</v>
      </c>
      <c r="G1580" s="1" t="n">
        <v>0</v>
      </c>
      <c r="H1580" s="1" t="s">
        <v>747</v>
      </c>
    </row>
    <row r="1581" customFormat="false" ht="14.25" hidden="false" customHeight="true" outlineLevel="0" collapsed="false">
      <c r="A1581" s="1" t="s">
        <v>707</v>
      </c>
      <c r="B1581" s="1" t="s">
        <v>554</v>
      </c>
      <c r="C1581" s="1" t="s">
        <v>577</v>
      </c>
      <c r="D1581" s="1" t="s">
        <v>290</v>
      </c>
      <c r="E1581" s="1" t="n">
        <v>0</v>
      </c>
      <c r="F1581" s="1" t="n">
        <v>0</v>
      </c>
      <c r="G1581" s="1" t="n">
        <v>0</v>
      </c>
      <c r="H1581" s="1" t="s">
        <v>564</v>
      </c>
    </row>
    <row r="1582" customFormat="false" ht="14.25" hidden="false" customHeight="true" outlineLevel="0" collapsed="false">
      <c r="A1582" s="1" t="s">
        <v>707</v>
      </c>
      <c r="B1582" s="1" t="s">
        <v>554</v>
      </c>
      <c r="C1582" s="1" t="s">
        <v>578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579</v>
      </c>
    </row>
    <row r="1583" customFormat="false" ht="14.25" hidden="false" customHeight="true" outlineLevel="0" collapsed="false">
      <c r="A1583" s="1" t="s">
        <v>707</v>
      </c>
      <c r="B1583" s="1" t="s">
        <v>593</v>
      </c>
      <c r="C1583" s="1" t="s">
        <v>677</v>
      </c>
      <c r="D1583" s="1" t="s">
        <v>290</v>
      </c>
      <c r="E1583" s="1" t="n">
        <v>-1</v>
      </c>
      <c r="F1583" s="1" t="n">
        <v>1046.56</v>
      </c>
      <c r="G1583" s="1" t="n">
        <v>-1046.56</v>
      </c>
      <c r="H1583" s="1" t="s">
        <v>764</v>
      </c>
    </row>
    <row r="1584" customFormat="false" ht="14.25" hidden="false" customHeight="true" outlineLevel="0" collapsed="false">
      <c r="A1584" s="1" t="s">
        <v>707</v>
      </c>
      <c r="B1584" s="1" t="s">
        <v>593</v>
      </c>
      <c r="C1584" s="1" t="s">
        <v>594</v>
      </c>
      <c r="D1584" s="1" t="s">
        <v>290</v>
      </c>
      <c r="E1584" s="1" t="n">
        <v>-1</v>
      </c>
      <c r="F1584" s="1" t="n">
        <v>238.88</v>
      </c>
      <c r="G1584" s="1" t="n">
        <v>-238.88</v>
      </c>
      <c r="H1584" s="1" t="s">
        <v>765</v>
      </c>
    </row>
    <row r="1585" customFormat="false" ht="14.25" hidden="false" customHeight="true" outlineLevel="0" collapsed="false">
      <c r="A1585" s="1" t="s">
        <v>707</v>
      </c>
      <c r="B1585" s="1" t="s">
        <v>593</v>
      </c>
      <c r="C1585" s="1" t="s">
        <v>594</v>
      </c>
      <c r="D1585" s="1" t="s">
        <v>290</v>
      </c>
      <c r="E1585" s="1" t="n">
        <v>-1</v>
      </c>
      <c r="F1585" s="1" t="n">
        <v>624.79</v>
      </c>
      <c r="G1585" s="1" t="n">
        <v>-624.79</v>
      </c>
      <c r="H1585" s="1" t="s">
        <v>765</v>
      </c>
    </row>
    <row r="1586" customFormat="false" ht="14.25" hidden="false" customHeight="true" outlineLevel="0" collapsed="false">
      <c r="A1586" s="1" t="s">
        <v>707</v>
      </c>
      <c r="B1586" s="1" t="s">
        <v>47</v>
      </c>
      <c r="C1586" s="1" t="s">
        <v>608</v>
      </c>
      <c r="D1586" s="1" t="s">
        <v>290</v>
      </c>
      <c r="E1586" s="1" t="n">
        <v>1</v>
      </c>
      <c r="F1586" s="1" t="n">
        <v>7137.6</v>
      </c>
      <c r="G1586" s="1" t="n">
        <v>7137.6</v>
      </c>
      <c r="H1586" s="1" t="s">
        <v>766</v>
      </c>
    </row>
    <row r="1587" customFormat="false" ht="14.25" hidden="false" customHeight="true" outlineLevel="0" collapsed="false">
      <c r="A1587" s="1" t="s">
        <v>707</v>
      </c>
      <c r="B1587" s="1" t="s">
        <v>85</v>
      </c>
      <c r="C1587" s="1" t="s">
        <v>615</v>
      </c>
      <c r="D1587" s="1" t="s">
        <v>290</v>
      </c>
      <c r="E1587" s="1" t="n">
        <v>23</v>
      </c>
      <c r="F1587" s="1" t="n">
        <v>151.64</v>
      </c>
      <c r="G1587" s="1" t="n">
        <v>3487.72</v>
      </c>
      <c r="H1587" s="1" t="s">
        <v>617</v>
      </c>
    </row>
    <row r="1588" customFormat="false" ht="14.25" hidden="false" customHeight="true" outlineLevel="0" collapsed="false">
      <c r="A1588" s="1" t="s">
        <v>707</v>
      </c>
      <c r="B1588" s="1" t="s">
        <v>32</v>
      </c>
      <c r="C1588" s="1" t="s">
        <v>618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619</v>
      </c>
    </row>
    <row r="1589" customFormat="false" ht="14.25" hidden="false" customHeight="true" outlineLevel="0" collapsed="false">
      <c r="A1589" s="1" t="s">
        <v>707</v>
      </c>
      <c r="B1589" s="1" t="s">
        <v>44</v>
      </c>
      <c r="C1589" s="1" t="s">
        <v>626</v>
      </c>
      <c r="D1589" s="1" t="s">
        <v>290</v>
      </c>
      <c r="E1589" s="1" t="n">
        <v>1</v>
      </c>
      <c r="F1589" s="1" t="n">
        <v>4507.16</v>
      </c>
      <c r="G1589" s="1" t="n">
        <v>4507.16</v>
      </c>
      <c r="H1589" s="1" t="s">
        <v>767</v>
      </c>
    </row>
    <row r="1590" customFormat="false" ht="14.25" hidden="false" customHeight="true" outlineLevel="0" collapsed="false">
      <c r="A1590" s="1" t="s">
        <v>707</v>
      </c>
      <c r="B1590" s="1" t="s">
        <v>44</v>
      </c>
      <c r="C1590" s="1" t="s">
        <v>637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630</v>
      </c>
    </row>
    <row r="1591" customFormat="false" ht="14.25" hidden="false" customHeight="true" outlineLevel="0" collapsed="false">
      <c r="A1591" s="1" t="s">
        <v>707</v>
      </c>
      <c r="B1591" s="1" t="s">
        <v>44</v>
      </c>
      <c r="C1591" s="1" t="s">
        <v>638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630</v>
      </c>
    </row>
    <row r="1592" customFormat="false" ht="14.25" hidden="false" customHeight="true" outlineLevel="0" collapsed="false">
      <c r="A1592" s="1" t="s">
        <v>707</v>
      </c>
      <c r="B1592" s="1" t="s">
        <v>44</v>
      </c>
      <c r="C1592" s="1" t="s">
        <v>640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634</v>
      </c>
    </row>
    <row r="1593" customFormat="false" ht="14.25" hidden="false" customHeight="true" outlineLevel="0" collapsed="false">
      <c r="A1593" s="1" t="s">
        <v>707</v>
      </c>
      <c r="B1593" s="1" t="s">
        <v>44</v>
      </c>
      <c r="C1593" s="1" t="s">
        <v>695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627</v>
      </c>
    </row>
    <row r="1594" customFormat="false" ht="14.25" hidden="false" customHeight="true" outlineLevel="0" collapsed="false">
      <c r="A1594" s="1" t="s">
        <v>707</v>
      </c>
      <c r="B1594" s="1" t="s">
        <v>44</v>
      </c>
      <c r="C1594" s="1" t="s">
        <v>681</v>
      </c>
      <c r="D1594" s="1" t="s">
        <v>290</v>
      </c>
      <c r="E1594" s="1" t="n">
        <v>0</v>
      </c>
      <c r="F1594" s="1" t="n">
        <v>0</v>
      </c>
      <c r="G1594" s="1" t="n">
        <v>0</v>
      </c>
      <c r="H1594" s="1" t="s">
        <v>634</v>
      </c>
    </row>
    <row r="1595" customFormat="false" ht="14.25" hidden="false" customHeight="true" outlineLevel="0" collapsed="false">
      <c r="A1595" s="1" t="s">
        <v>707</v>
      </c>
      <c r="B1595" s="1" t="s">
        <v>87</v>
      </c>
      <c r="C1595" s="1" t="s">
        <v>642</v>
      </c>
      <c r="D1595" s="1" t="s">
        <v>290</v>
      </c>
      <c r="E1595" s="1" t="n">
        <v>1</v>
      </c>
      <c r="F1595" s="1" t="n">
        <v>10</v>
      </c>
      <c r="G1595" s="1" t="n">
        <v>10</v>
      </c>
      <c r="H1595" s="1" t="s">
        <v>749</v>
      </c>
    </row>
    <row r="1596" customFormat="false" ht="14.25" hidden="false" customHeight="true" outlineLevel="0" collapsed="false">
      <c r="A1596" s="1" t="s">
        <v>707</v>
      </c>
      <c r="B1596" s="1" t="s">
        <v>87</v>
      </c>
      <c r="C1596" s="1" t="s">
        <v>642</v>
      </c>
      <c r="D1596" s="1" t="s">
        <v>290</v>
      </c>
      <c r="E1596" s="1" t="n">
        <v>5</v>
      </c>
      <c r="F1596" s="1" t="n">
        <v>50</v>
      </c>
      <c r="G1596" s="1" t="n">
        <v>250</v>
      </c>
      <c r="H1596" s="1" t="s">
        <v>749</v>
      </c>
    </row>
    <row r="1597" customFormat="false" ht="14.25" hidden="false" customHeight="true" outlineLevel="0" collapsed="false">
      <c r="A1597" s="1" t="s">
        <v>707</v>
      </c>
      <c r="B1597" s="1" t="s">
        <v>45</v>
      </c>
      <c r="C1597" s="1" t="s">
        <v>529</v>
      </c>
      <c r="D1597" s="1" t="s">
        <v>290</v>
      </c>
      <c r="E1597" s="1" t="n">
        <v>727</v>
      </c>
      <c r="F1597" s="1" t="n">
        <v>7.20444291609354</v>
      </c>
      <c r="G1597" s="1" t="n">
        <v>5237.63</v>
      </c>
      <c r="H1597" s="1" t="s">
        <v>530</v>
      </c>
    </row>
    <row r="1598" customFormat="false" ht="14.25" hidden="false" customHeight="true" outlineLevel="0" collapsed="false">
      <c r="A1598" s="1" t="s">
        <v>707</v>
      </c>
      <c r="B1598" s="1" t="s">
        <v>453</v>
      </c>
      <c r="C1598" s="1" t="s">
        <v>454</v>
      </c>
      <c r="D1598" s="1" t="s">
        <v>284</v>
      </c>
      <c r="E1598" s="1" t="n">
        <v>0</v>
      </c>
      <c r="F1598" s="1" t="n">
        <v>0</v>
      </c>
      <c r="G1598" s="1" t="n">
        <v>0</v>
      </c>
      <c r="H1598" s="1" t="s">
        <v>462</v>
      </c>
    </row>
    <row r="1599" customFormat="false" ht="14.25" hidden="false" customHeight="true" outlineLevel="0" collapsed="false">
      <c r="A1599" s="1" t="s">
        <v>707</v>
      </c>
      <c r="B1599" s="1" t="s">
        <v>78</v>
      </c>
      <c r="C1599" s="1" t="s">
        <v>463</v>
      </c>
      <c r="D1599" s="1" t="s">
        <v>284</v>
      </c>
      <c r="E1599" s="1" t="n">
        <v>14824</v>
      </c>
      <c r="F1599" s="1" t="n">
        <v>0.380674690807352</v>
      </c>
      <c r="G1599" s="1" t="n">
        <v>5643.12161652819</v>
      </c>
      <c r="H1599" s="1" t="s">
        <v>768</v>
      </c>
    </row>
    <row r="1600" customFormat="false" ht="14.25" hidden="false" customHeight="true" outlineLevel="0" collapsed="false">
      <c r="A1600" s="1" t="s">
        <v>707</v>
      </c>
      <c r="B1600" s="1" t="s">
        <v>464</v>
      </c>
      <c r="C1600" s="1" t="s">
        <v>465</v>
      </c>
      <c r="D1600" s="1" t="s">
        <v>284</v>
      </c>
      <c r="E1600" s="1" t="n">
        <v>455</v>
      </c>
      <c r="F1600" s="1" t="n">
        <v>1.86</v>
      </c>
      <c r="G1600" s="1" t="n">
        <v>846.3</v>
      </c>
      <c r="H1600" s="1" t="s">
        <v>741</v>
      </c>
    </row>
    <row r="1601" customFormat="false" ht="14.25" hidden="false" customHeight="true" outlineLevel="0" collapsed="false">
      <c r="A1601" s="1" t="s">
        <v>707</v>
      </c>
      <c r="B1601" s="1" t="s">
        <v>464</v>
      </c>
      <c r="C1601" s="1" t="s">
        <v>511</v>
      </c>
      <c r="D1601" s="1" t="s">
        <v>284</v>
      </c>
      <c r="E1601" s="1" t="n">
        <v>1</v>
      </c>
      <c r="F1601" s="1" t="n">
        <v>430.22</v>
      </c>
      <c r="G1601" s="1" t="n">
        <v>430.22</v>
      </c>
      <c r="H1601" s="1" t="s">
        <v>769</v>
      </c>
    </row>
    <row r="1602" customFormat="false" ht="14.25" hidden="false" customHeight="true" outlineLevel="0" collapsed="false">
      <c r="A1602" s="1" t="s">
        <v>707</v>
      </c>
      <c r="B1602" s="1" t="s">
        <v>464</v>
      </c>
      <c r="C1602" s="1" t="s">
        <v>511</v>
      </c>
      <c r="D1602" s="1" t="s">
        <v>284</v>
      </c>
      <c r="E1602" s="1" t="n">
        <v>166</v>
      </c>
      <c r="F1602" s="1" t="n">
        <v>20.33</v>
      </c>
      <c r="G1602" s="1" t="n">
        <v>3374.78</v>
      </c>
      <c r="H1602" s="1" t="s">
        <v>753</v>
      </c>
    </row>
    <row r="1603" customFormat="false" ht="14.25" hidden="false" customHeight="true" outlineLevel="0" collapsed="false">
      <c r="A1603" s="1" t="s">
        <v>707</v>
      </c>
      <c r="B1603" s="1" t="s">
        <v>464</v>
      </c>
      <c r="C1603" s="1" t="s">
        <v>515</v>
      </c>
      <c r="D1603" s="1" t="s">
        <v>284</v>
      </c>
      <c r="E1603" s="1" t="n">
        <v>0</v>
      </c>
      <c r="F1603" s="1" t="n">
        <v>0</v>
      </c>
      <c r="G1603" s="1" t="n">
        <v>0</v>
      </c>
      <c r="H1603" s="1" t="s">
        <v>477</v>
      </c>
    </row>
    <row r="1604" customFormat="false" ht="14.25" hidden="false" customHeight="true" outlineLevel="0" collapsed="false">
      <c r="A1604" s="1" t="s">
        <v>707</v>
      </c>
      <c r="B1604" s="1" t="s">
        <v>464</v>
      </c>
      <c r="C1604" s="1" t="s">
        <v>478</v>
      </c>
      <c r="D1604" s="1" t="s">
        <v>284</v>
      </c>
      <c r="E1604" s="1" t="n">
        <v>18</v>
      </c>
      <c r="F1604" s="1" t="n">
        <v>348.349782230624</v>
      </c>
      <c r="G1604" s="1" t="n">
        <v>6270.29608015123</v>
      </c>
      <c r="H1604" s="1" t="s">
        <v>762</v>
      </c>
    </row>
    <row r="1605" customFormat="false" ht="14.25" hidden="false" customHeight="true" outlineLevel="0" collapsed="false">
      <c r="A1605" s="1" t="s">
        <v>707</v>
      </c>
      <c r="B1605" s="1" t="s">
        <v>464</v>
      </c>
      <c r="C1605" s="1" t="s">
        <v>685</v>
      </c>
      <c r="D1605" s="1" t="s">
        <v>284</v>
      </c>
      <c r="E1605" s="1" t="n">
        <v>0</v>
      </c>
      <c r="F1605" s="1" t="n">
        <v>0</v>
      </c>
      <c r="G1605" s="1" t="n">
        <v>0</v>
      </c>
      <c r="H1605" s="1" t="s">
        <v>477</v>
      </c>
    </row>
    <row r="1606" customFormat="false" ht="14.25" hidden="false" customHeight="true" outlineLevel="0" collapsed="false">
      <c r="A1606" s="1" t="s">
        <v>707</v>
      </c>
      <c r="B1606" s="1" t="s">
        <v>464</v>
      </c>
      <c r="C1606" s="1" t="s">
        <v>514</v>
      </c>
      <c r="D1606" s="1" t="s">
        <v>284</v>
      </c>
      <c r="E1606" s="1" t="n">
        <v>1</v>
      </c>
      <c r="F1606" s="1" t="n">
        <v>430.994756521739</v>
      </c>
      <c r="G1606" s="1" t="n">
        <v>430.994756521739</v>
      </c>
      <c r="H1606" s="1" t="s">
        <v>477</v>
      </c>
    </row>
    <row r="1607" customFormat="false" ht="14.25" hidden="false" customHeight="true" outlineLevel="0" collapsed="false">
      <c r="A1607" s="1" t="s">
        <v>707</v>
      </c>
      <c r="B1607" s="1" t="s">
        <v>143</v>
      </c>
      <c r="C1607" s="1" t="s">
        <v>527</v>
      </c>
      <c r="D1607" s="1" t="s">
        <v>284</v>
      </c>
      <c r="E1607" s="1" t="n">
        <v>14824</v>
      </c>
      <c r="F1607" s="1" t="n">
        <v>0.250576029595696</v>
      </c>
      <c r="G1607" s="1" t="n">
        <v>3714.5390627266</v>
      </c>
      <c r="H1607" s="1" t="s">
        <v>768</v>
      </c>
    </row>
    <row r="1608" customFormat="false" ht="14.25" hidden="false" customHeight="true" outlineLevel="0" collapsed="false">
      <c r="A1608" s="1" t="s">
        <v>707</v>
      </c>
      <c r="B1608" s="1" t="s">
        <v>50</v>
      </c>
      <c r="C1608" s="1" t="s">
        <v>533</v>
      </c>
      <c r="D1608" s="1" t="s">
        <v>284</v>
      </c>
      <c r="E1608" s="1" t="n">
        <v>0</v>
      </c>
      <c r="F1608" s="1" t="n">
        <v>0</v>
      </c>
      <c r="G1608" s="1" t="n">
        <v>0</v>
      </c>
      <c r="H1608" s="1" t="s">
        <v>536</v>
      </c>
    </row>
    <row r="1609" customFormat="false" ht="14.25" hidden="false" customHeight="true" outlineLevel="0" collapsed="false">
      <c r="A1609" s="1" t="s">
        <v>707</v>
      </c>
      <c r="B1609" s="1" t="s">
        <v>537</v>
      </c>
      <c r="C1609" s="1" t="s">
        <v>542</v>
      </c>
      <c r="D1609" s="1" t="s">
        <v>284</v>
      </c>
      <c r="E1609" s="1" t="n">
        <v>20</v>
      </c>
      <c r="F1609" s="1" t="n">
        <v>20</v>
      </c>
      <c r="G1609" s="1" t="n">
        <v>400</v>
      </c>
      <c r="H1609" s="1" t="s">
        <v>746</v>
      </c>
    </row>
    <row r="1610" customFormat="false" ht="14.25" hidden="false" customHeight="true" outlineLevel="0" collapsed="false">
      <c r="A1610" s="1" t="s">
        <v>707</v>
      </c>
      <c r="B1610" s="1" t="s">
        <v>537</v>
      </c>
      <c r="C1610" s="1" t="s">
        <v>544</v>
      </c>
      <c r="D1610" s="1" t="s">
        <v>284</v>
      </c>
      <c r="E1610" s="1" t="n">
        <v>0</v>
      </c>
      <c r="F1610" s="1" t="n">
        <v>0</v>
      </c>
      <c r="G1610" s="1" t="n">
        <v>0</v>
      </c>
      <c r="H1610" s="1" t="s">
        <v>687</v>
      </c>
    </row>
    <row r="1611" customFormat="false" ht="14.25" hidden="false" customHeight="true" outlineLevel="0" collapsed="false">
      <c r="A1611" s="1" t="s">
        <v>707</v>
      </c>
      <c r="B1611" s="1" t="s">
        <v>537</v>
      </c>
      <c r="C1611" s="1" t="s">
        <v>551</v>
      </c>
      <c r="D1611" s="1" t="s">
        <v>284</v>
      </c>
      <c r="E1611" s="1" t="n">
        <v>0</v>
      </c>
      <c r="F1611" s="1" t="n">
        <v>0</v>
      </c>
      <c r="G1611" s="1" t="n">
        <v>0</v>
      </c>
      <c r="H1611" s="1" t="s">
        <v>687</v>
      </c>
    </row>
    <row r="1612" customFormat="false" ht="14.25" hidden="false" customHeight="true" outlineLevel="0" collapsed="false">
      <c r="A1612" s="1" t="s">
        <v>707</v>
      </c>
      <c r="B1612" s="1" t="s">
        <v>554</v>
      </c>
      <c r="C1612" s="1" t="s">
        <v>582</v>
      </c>
      <c r="D1612" s="1" t="s">
        <v>284</v>
      </c>
      <c r="E1612" s="1" t="n">
        <v>0</v>
      </c>
      <c r="F1612" s="1" t="n">
        <v>0</v>
      </c>
      <c r="G1612" s="1" t="n">
        <v>0</v>
      </c>
      <c r="H1612" s="1" t="s">
        <v>556</v>
      </c>
    </row>
    <row r="1613" customFormat="false" ht="14.25" hidden="false" customHeight="true" outlineLevel="0" collapsed="false">
      <c r="A1613" s="1" t="s">
        <v>707</v>
      </c>
      <c r="B1613" s="1" t="s">
        <v>554</v>
      </c>
      <c r="C1613" s="1" t="s">
        <v>580</v>
      </c>
      <c r="D1613" s="1" t="s">
        <v>284</v>
      </c>
      <c r="E1613" s="1" t="n">
        <v>0</v>
      </c>
      <c r="F1613" s="1" t="n">
        <v>0</v>
      </c>
      <c r="G1613" s="1" t="n">
        <v>0</v>
      </c>
      <c r="H1613" s="1" t="s">
        <v>581</v>
      </c>
    </row>
    <row r="1614" customFormat="false" ht="14.25" hidden="false" customHeight="true" outlineLevel="0" collapsed="false">
      <c r="A1614" s="1" t="s">
        <v>707</v>
      </c>
      <c r="B1614" s="1" t="s">
        <v>554</v>
      </c>
      <c r="C1614" s="1" t="s">
        <v>583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560</v>
      </c>
    </row>
    <row r="1615" customFormat="false" ht="14.25" hidden="false" customHeight="true" outlineLevel="0" collapsed="false">
      <c r="A1615" s="1" t="s">
        <v>707</v>
      </c>
      <c r="B1615" s="1" t="s">
        <v>554</v>
      </c>
      <c r="C1615" s="1" t="s">
        <v>584</v>
      </c>
      <c r="D1615" s="1" t="s">
        <v>284</v>
      </c>
      <c r="E1615" s="1" t="n">
        <v>0</v>
      </c>
      <c r="F1615" s="1" t="n">
        <v>0</v>
      </c>
      <c r="G1615" s="1" t="n">
        <v>0</v>
      </c>
      <c r="H1615" s="1" t="s">
        <v>566</v>
      </c>
    </row>
    <row r="1616" customFormat="false" ht="14.25" hidden="false" customHeight="true" outlineLevel="0" collapsed="false">
      <c r="A1616" s="1" t="s">
        <v>707</v>
      </c>
      <c r="B1616" s="1" t="s">
        <v>47</v>
      </c>
      <c r="C1616" s="1" t="s">
        <v>608</v>
      </c>
      <c r="D1616" s="1" t="s">
        <v>284</v>
      </c>
      <c r="E1616" s="1" t="n">
        <v>1</v>
      </c>
      <c r="F1616" s="1" t="n">
        <v>919.64</v>
      </c>
      <c r="G1616" s="1" t="n">
        <v>919.64</v>
      </c>
      <c r="H1616" s="1" t="s">
        <v>770</v>
      </c>
    </row>
    <row r="1617" customFormat="false" ht="14.25" hidden="false" customHeight="true" outlineLevel="0" collapsed="false">
      <c r="A1617" s="1" t="s">
        <v>707</v>
      </c>
      <c r="B1617" s="1" t="s">
        <v>85</v>
      </c>
      <c r="C1617" s="1" t="s">
        <v>615</v>
      </c>
      <c r="D1617" s="1" t="s">
        <v>284</v>
      </c>
      <c r="E1617" s="1" t="n">
        <v>13</v>
      </c>
      <c r="F1617" s="1" t="n">
        <v>168.74</v>
      </c>
      <c r="G1617" s="1" t="n">
        <v>2193.62</v>
      </c>
      <c r="H1617" s="1" t="s">
        <v>617</v>
      </c>
    </row>
    <row r="1618" customFormat="false" ht="14.25" hidden="false" customHeight="true" outlineLevel="0" collapsed="false">
      <c r="A1618" s="1" t="s">
        <v>707</v>
      </c>
      <c r="B1618" s="1" t="s">
        <v>32</v>
      </c>
      <c r="C1618" s="1" t="s">
        <v>618</v>
      </c>
      <c r="D1618" s="1" t="s">
        <v>284</v>
      </c>
      <c r="E1618" s="1" t="n">
        <v>1</v>
      </c>
      <c r="F1618" s="1" t="n">
        <v>609.6</v>
      </c>
      <c r="G1618" s="1" t="n">
        <v>609.6</v>
      </c>
      <c r="H1618" s="1" t="s">
        <v>619</v>
      </c>
    </row>
    <row r="1619" customFormat="false" ht="14.25" hidden="false" customHeight="true" outlineLevel="0" collapsed="false">
      <c r="A1619" s="1" t="s">
        <v>707</v>
      </c>
      <c r="B1619" s="1" t="s">
        <v>32</v>
      </c>
      <c r="C1619" s="1" t="s">
        <v>620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621</v>
      </c>
    </row>
    <row r="1620" customFormat="false" ht="14.25" hidden="false" customHeight="true" outlineLevel="0" collapsed="false">
      <c r="A1620" s="1" t="s">
        <v>707</v>
      </c>
      <c r="B1620" s="1" t="s">
        <v>44</v>
      </c>
      <c r="C1620" s="1" t="s">
        <v>626</v>
      </c>
      <c r="D1620" s="1" t="s">
        <v>284</v>
      </c>
      <c r="E1620" s="1" t="n">
        <v>1</v>
      </c>
      <c r="F1620" s="1" t="n">
        <v>1144.2</v>
      </c>
      <c r="G1620" s="1" t="n">
        <v>1144.2</v>
      </c>
      <c r="H1620" s="1" t="s">
        <v>680</v>
      </c>
    </row>
    <row r="1621" customFormat="false" ht="14.25" hidden="false" customHeight="true" outlineLevel="0" collapsed="false">
      <c r="A1621" s="1" t="s">
        <v>707</v>
      </c>
      <c r="B1621" s="1" t="s">
        <v>44</v>
      </c>
      <c r="C1621" s="1" t="s">
        <v>626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628</v>
      </c>
    </row>
    <row r="1622" customFormat="false" ht="14.25" hidden="false" customHeight="true" outlineLevel="0" collapsed="false">
      <c r="A1622" s="1" t="s">
        <v>707</v>
      </c>
      <c r="B1622" s="1" t="s">
        <v>44</v>
      </c>
      <c r="C1622" s="1" t="s">
        <v>638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634</v>
      </c>
    </row>
    <row r="1623" customFormat="false" ht="14.25" hidden="false" customHeight="true" outlineLevel="0" collapsed="false">
      <c r="A1623" s="1" t="s">
        <v>707</v>
      </c>
      <c r="B1623" s="1" t="s">
        <v>44</v>
      </c>
      <c r="C1623" s="1" t="s">
        <v>639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634</v>
      </c>
    </row>
    <row r="1624" customFormat="false" ht="14.25" hidden="false" customHeight="true" outlineLevel="0" collapsed="false">
      <c r="A1624" s="1" t="s">
        <v>707</v>
      </c>
      <c r="B1624" s="1" t="s">
        <v>87</v>
      </c>
      <c r="C1624" s="1" t="s">
        <v>642</v>
      </c>
      <c r="D1624" s="1" t="s">
        <v>284</v>
      </c>
      <c r="E1624" s="1" t="n">
        <v>1</v>
      </c>
      <c r="F1624" s="1" t="n">
        <v>10</v>
      </c>
      <c r="G1624" s="1" t="n">
        <v>10</v>
      </c>
      <c r="H1624" s="1" t="s">
        <v>749</v>
      </c>
    </row>
    <row r="1625" customFormat="false" ht="14.25" hidden="false" customHeight="true" outlineLevel="0" collapsed="false">
      <c r="A1625" s="1" t="s">
        <v>707</v>
      </c>
      <c r="B1625" s="1" t="s">
        <v>87</v>
      </c>
      <c r="C1625" s="1" t="s">
        <v>642</v>
      </c>
      <c r="D1625" s="1" t="s">
        <v>284</v>
      </c>
      <c r="E1625" s="1" t="n">
        <v>2</v>
      </c>
      <c r="F1625" s="1" t="n">
        <v>50</v>
      </c>
      <c r="G1625" s="1" t="n">
        <v>100</v>
      </c>
      <c r="H1625" s="1" t="s">
        <v>749</v>
      </c>
    </row>
    <row r="1626" customFormat="false" ht="14.25" hidden="false" customHeight="true" outlineLevel="0" collapsed="false">
      <c r="A1626" s="1" t="s">
        <v>707</v>
      </c>
      <c r="B1626" s="1" t="s">
        <v>45</v>
      </c>
      <c r="C1626" s="1" t="s">
        <v>529</v>
      </c>
      <c r="D1626" s="1" t="s">
        <v>284</v>
      </c>
      <c r="E1626" s="1" t="n">
        <v>2981</v>
      </c>
      <c r="F1626" s="1" t="n">
        <v>7.19</v>
      </c>
      <c r="G1626" s="1" t="n">
        <v>21433.39</v>
      </c>
      <c r="H1626" s="1" t="s">
        <v>530</v>
      </c>
    </row>
    <row r="1627" customFormat="false" ht="14.25" hidden="false" customHeight="true" outlineLevel="0" collapsed="false">
      <c r="A1627" s="1" t="s">
        <v>707</v>
      </c>
      <c r="B1627" s="1" t="s">
        <v>453</v>
      </c>
      <c r="C1627" s="1" t="s">
        <v>454</v>
      </c>
      <c r="D1627" s="1" t="s">
        <v>285</v>
      </c>
      <c r="E1627" s="1" t="n">
        <v>0</v>
      </c>
      <c r="F1627" s="1" t="n">
        <v>0</v>
      </c>
      <c r="G1627" s="1" t="n">
        <v>0</v>
      </c>
      <c r="H1627" s="1" t="s">
        <v>458</v>
      </c>
    </row>
    <row r="1628" customFormat="false" ht="14.25" hidden="false" customHeight="true" outlineLevel="0" collapsed="false">
      <c r="A1628" s="1" t="s">
        <v>707</v>
      </c>
      <c r="B1628" s="1" t="s">
        <v>464</v>
      </c>
      <c r="C1628" s="1" t="s">
        <v>465</v>
      </c>
      <c r="D1628" s="1" t="s">
        <v>285</v>
      </c>
      <c r="E1628" s="1" t="n">
        <v>150</v>
      </c>
      <c r="F1628" s="1" t="n">
        <v>1.86</v>
      </c>
      <c r="G1628" s="1" t="n">
        <v>279</v>
      </c>
      <c r="H1628" s="1" t="s">
        <v>741</v>
      </c>
    </row>
    <row r="1629" customFormat="false" ht="14.25" hidden="false" customHeight="true" outlineLevel="0" collapsed="false">
      <c r="A1629" s="1" t="s">
        <v>707</v>
      </c>
      <c r="B1629" s="1" t="s">
        <v>464</v>
      </c>
      <c r="C1629" s="1" t="s">
        <v>511</v>
      </c>
      <c r="D1629" s="1" t="s">
        <v>285</v>
      </c>
      <c r="E1629" s="1" t="n">
        <v>1</v>
      </c>
      <c r="F1629" s="1" t="n">
        <v>483.14</v>
      </c>
      <c r="G1629" s="1" t="n">
        <v>483.14</v>
      </c>
      <c r="H1629" s="1" t="s">
        <v>769</v>
      </c>
    </row>
    <row r="1630" customFormat="false" ht="14.25" hidden="false" customHeight="true" outlineLevel="0" collapsed="false">
      <c r="A1630" s="1" t="s">
        <v>707</v>
      </c>
      <c r="B1630" s="1" t="s">
        <v>464</v>
      </c>
      <c r="C1630" s="1" t="s">
        <v>511</v>
      </c>
      <c r="D1630" s="1" t="s">
        <v>285</v>
      </c>
      <c r="E1630" s="1" t="n">
        <v>9</v>
      </c>
      <c r="F1630" s="1" t="n">
        <v>20.33</v>
      </c>
      <c r="G1630" s="1" t="n">
        <v>182.97</v>
      </c>
      <c r="H1630" s="1" t="s">
        <v>753</v>
      </c>
    </row>
    <row r="1631" customFormat="false" ht="14.25" hidden="false" customHeight="true" outlineLevel="0" collapsed="false">
      <c r="A1631" s="1" t="s">
        <v>707</v>
      </c>
      <c r="B1631" s="1" t="s">
        <v>464</v>
      </c>
      <c r="C1631" s="1" t="s">
        <v>478</v>
      </c>
      <c r="D1631" s="1" t="s">
        <v>285</v>
      </c>
      <c r="E1631" s="1" t="n">
        <v>0</v>
      </c>
      <c r="F1631" s="1" t="n">
        <v>0</v>
      </c>
      <c r="G1631" s="1" t="n">
        <v>0</v>
      </c>
      <c r="H1631" s="1" t="s">
        <v>477</v>
      </c>
    </row>
    <row r="1632" customFormat="false" ht="14.25" hidden="false" customHeight="true" outlineLevel="0" collapsed="false">
      <c r="A1632" s="1" t="s">
        <v>707</v>
      </c>
      <c r="B1632" s="1" t="s">
        <v>464</v>
      </c>
      <c r="C1632" s="1" t="s">
        <v>519</v>
      </c>
      <c r="D1632" s="1" t="s">
        <v>285</v>
      </c>
      <c r="E1632" s="1" t="n">
        <v>-4</v>
      </c>
      <c r="F1632" s="1" t="n">
        <v>341.91752195122</v>
      </c>
      <c r="G1632" s="1" t="n">
        <v>-1367.67008780488</v>
      </c>
      <c r="H1632" s="1" t="s">
        <v>771</v>
      </c>
    </row>
    <row r="1633" customFormat="false" ht="14.25" hidden="false" customHeight="true" outlineLevel="0" collapsed="false">
      <c r="A1633" s="1" t="s">
        <v>707</v>
      </c>
      <c r="B1633" s="1" t="s">
        <v>143</v>
      </c>
      <c r="C1633" s="1" t="s">
        <v>527</v>
      </c>
      <c r="D1633" s="1" t="s">
        <v>285</v>
      </c>
      <c r="E1633" s="1" t="n">
        <v>4839</v>
      </c>
      <c r="F1633" s="1" t="n">
        <v>0.250576029595696</v>
      </c>
      <c r="G1633" s="1" t="n">
        <v>1212.53740721357</v>
      </c>
      <c r="H1633" s="1" t="s">
        <v>772</v>
      </c>
    </row>
    <row r="1634" customFormat="false" ht="14.25" hidden="false" customHeight="true" outlineLevel="0" collapsed="false">
      <c r="A1634" s="1" t="s">
        <v>707</v>
      </c>
      <c r="B1634" s="1" t="s">
        <v>45</v>
      </c>
      <c r="C1634" s="1" t="s">
        <v>529</v>
      </c>
      <c r="D1634" s="1" t="s">
        <v>285</v>
      </c>
      <c r="E1634" s="1" t="n">
        <v>2548</v>
      </c>
      <c r="F1634" s="1" t="n">
        <v>7.19859497645212</v>
      </c>
      <c r="G1634" s="1" t="n">
        <v>18342.02</v>
      </c>
      <c r="H1634" s="1" t="s">
        <v>530</v>
      </c>
    </row>
    <row r="1635" customFormat="false" ht="14.25" hidden="false" customHeight="true" outlineLevel="0" collapsed="false">
      <c r="A1635" s="1" t="s">
        <v>707</v>
      </c>
      <c r="B1635" s="1" t="s">
        <v>50</v>
      </c>
      <c r="C1635" s="1" t="s">
        <v>533</v>
      </c>
      <c r="D1635" s="1" t="s">
        <v>285</v>
      </c>
      <c r="E1635" s="1" t="n">
        <v>0</v>
      </c>
      <c r="F1635" s="1" t="n">
        <v>0</v>
      </c>
      <c r="G1635" s="1" t="n">
        <v>0</v>
      </c>
      <c r="H1635" s="1" t="s">
        <v>534</v>
      </c>
    </row>
    <row r="1636" customFormat="false" ht="14.25" hidden="false" customHeight="true" outlineLevel="0" collapsed="false">
      <c r="A1636" s="1" t="s">
        <v>707</v>
      </c>
      <c r="B1636" s="1" t="s">
        <v>537</v>
      </c>
      <c r="C1636" s="1" t="s">
        <v>550</v>
      </c>
      <c r="D1636" s="1" t="s">
        <v>285</v>
      </c>
      <c r="E1636" s="1" t="n">
        <v>0</v>
      </c>
      <c r="F1636" s="1" t="n">
        <v>0</v>
      </c>
      <c r="G1636" s="1" t="n">
        <v>0</v>
      </c>
      <c r="H1636" s="1" t="s">
        <v>552</v>
      </c>
    </row>
    <row r="1637" customFormat="false" ht="14.25" hidden="false" customHeight="true" outlineLevel="0" collapsed="false">
      <c r="A1637" s="1" t="s">
        <v>707</v>
      </c>
      <c r="B1637" s="1" t="s">
        <v>537</v>
      </c>
      <c r="C1637" s="1" t="s">
        <v>542</v>
      </c>
      <c r="D1637" s="1" t="s">
        <v>285</v>
      </c>
      <c r="E1637" s="1" t="n">
        <v>4</v>
      </c>
      <c r="F1637" s="1" t="n">
        <v>20</v>
      </c>
      <c r="G1637" s="1" t="n">
        <v>80</v>
      </c>
      <c r="H1637" s="1" t="s">
        <v>746</v>
      </c>
    </row>
    <row r="1638" customFormat="false" ht="14.25" hidden="false" customHeight="true" outlineLevel="0" collapsed="false">
      <c r="A1638" s="1" t="s">
        <v>707</v>
      </c>
      <c r="B1638" s="1" t="s">
        <v>537</v>
      </c>
      <c r="C1638" s="1" t="s">
        <v>544</v>
      </c>
      <c r="D1638" s="1" t="s">
        <v>285</v>
      </c>
      <c r="E1638" s="1" t="n">
        <v>1</v>
      </c>
      <c r="F1638" s="1" t="n">
        <v>487.8</v>
      </c>
      <c r="G1638" s="1" t="n">
        <v>487.8</v>
      </c>
      <c r="H1638" s="1" t="s">
        <v>687</v>
      </c>
    </row>
    <row r="1639" customFormat="false" ht="14.25" hidden="false" customHeight="true" outlineLevel="0" collapsed="false">
      <c r="A1639" s="1" t="s">
        <v>707</v>
      </c>
      <c r="B1639" s="1" t="s">
        <v>537</v>
      </c>
      <c r="C1639" s="1" t="s">
        <v>551</v>
      </c>
      <c r="D1639" s="1" t="s">
        <v>285</v>
      </c>
      <c r="E1639" s="1" t="n">
        <v>0</v>
      </c>
      <c r="F1639" s="1" t="n">
        <v>0</v>
      </c>
      <c r="G1639" s="1" t="n">
        <v>0</v>
      </c>
      <c r="H1639" s="1" t="s">
        <v>747</v>
      </c>
    </row>
    <row r="1640" customFormat="false" ht="14.25" hidden="false" customHeight="true" outlineLevel="0" collapsed="false">
      <c r="A1640" s="1" t="s">
        <v>707</v>
      </c>
      <c r="B1640" s="1" t="s">
        <v>554</v>
      </c>
      <c r="C1640" s="1" t="s">
        <v>585</v>
      </c>
      <c r="D1640" s="1" t="s">
        <v>285</v>
      </c>
      <c r="E1640" s="1" t="n">
        <v>0</v>
      </c>
      <c r="F1640" s="1" t="n">
        <v>0</v>
      </c>
      <c r="G1640" s="1" t="n">
        <v>0</v>
      </c>
      <c r="H1640" s="1" t="s">
        <v>564</v>
      </c>
    </row>
    <row r="1641" customFormat="false" ht="14.25" hidden="false" customHeight="true" outlineLevel="0" collapsed="false">
      <c r="A1641" s="1" t="s">
        <v>707</v>
      </c>
      <c r="B1641" s="1" t="s">
        <v>554</v>
      </c>
      <c r="C1641" s="1" t="s">
        <v>580</v>
      </c>
      <c r="D1641" s="1" t="s">
        <v>285</v>
      </c>
      <c r="E1641" s="1" t="n">
        <v>0</v>
      </c>
      <c r="F1641" s="1" t="n">
        <v>0</v>
      </c>
      <c r="G1641" s="1" t="n">
        <v>0</v>
      </c>
      <c r="H1641" s="1" t="s">
        <v>564</v>
      </c>
    </row>
    <row r="1642" customFormat="false" ht="14.25" hidden="false" customHeight="true" outlineLevel="0" collapsed="false">
      <c r="A1642" s="1" t="s">
        <v>707</v>
      </c>
      <c r="B1642" s="1" t="s">
        <v>554</v>
      </c>
      <c r="C1642" s="1" t="s">
        <v>586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579</v>
      </c>
    </row>
    <row r="1643" customFormat="false" ht="14.25" hidden="false" customHeight="true" outlineLevel="0" collapsed="false">
      <c r="A1643" s="1" t="s">
        <v>707</v>
      </c>
      <c r="B1643" s="1" t="s">
        <v>554</v>
      </c>
      <c r="C1643" s="1" t="s">
        <v>584</v>
      </c>
      <c r="D1643" s="1" t="s">
        <v>285</v>
      </c>
      <c r="E1643" s="1" t="n">
        <v>0</v>
      </c>
      <c r="F1643" s="1" t="n">
        <v>0</v>
      </c>
      <c r="G1643" s="1" t="n">
        <v>0</v>
      </c>
      <c r="H1643" s="1" t="s">
        <v>587</v>
      </c>
    </row>
    <row r="1644" customFormat="false" ht="14.25" hidden="false" customHeight="true" outlineLevel="0" collapsed="false">
      <c r="A1644" s="1" t="s">
        <v>707</v>
      </c>
      <c r="B1644" s="1" t="s">
        <v>47</v>
      </c>
      <c r="C1644" s="1" t="s">
        <v>608</v>
      </c>
      <c r="D1644" s="1" t="s">
        <v>285</v>
      </c>
      <c r="E1644" s="1" t="n">
        <v>0</v>
      </c>
      <c r="F1644" s="1" t="n">
        <v>0</v>
      </c>
      <c r="G1644" s="1" t="n">
        <v>0</v>
      </c>
      <c r="H1644" s="1" t="s">
        <v>611</v>
      </c>
    </row>
    <row r="1645" customFormat="false" ht="14.25" hidden="false" customHeight="true" outlineLevel="0" collapsed="false">
      <c r="A1645" s="1" t="s">
        <v>707</v>
      </c>
      <c r="B1645" s="1" t="s">
        <v>85</v>
      </c>
      <c r="C1645" s="1" t="s">
        <v>615</v>
      </c>
      <c r="D1645" s="1" t="s">
        <v>285</v>
      </c>
      <c r="E1645" s="1" t="n">
        <v>1</v>
      </c>
      <c r="F1645" s="1" t="n">
        <v>143.82</v>
      </c>
      <c r="G1645" s="1" t="n">
        <v>143.82</v>
      </c>
      <c r="H1645" s="1" t="s">
        <v>617</v>
      </c>
    </row>
    <row r="1646" customFormat="false" ht="14.25" hidden="false" customHeight="true" outlineLevel="0" collapsed="false">
      <c r="A1646" s="1" t="s">
        <v>707</v>
      </c>
      <c r="B1646" s="1" t="s">
        <v>32</v>
      </c>
      <c r="C1646" s="1" t="s">
        <v>618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619</v>
      </c>
    </row>
    <row r="1647" customFormat="false" ht="14.25" hidden="false" customHeight="true" outlineLevel="0" collapsed="false">
      <c r="A1647" s="1" t="s">
        <v>707</v>
      </c>
      <c r="B1647" s="1" t="s">
        <v>44</v>
      </c>
      <c r="C1647" s="1" t="s">
        <v>626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767</v>
      </c>
    </row>
    <row r="1648" customFormat="false" ht="14.25" hidden="false" customHeight="true" outlineLevel="0" collapsed="false">
      <c r="A1648" s="1" t="s">
        <v>707</v>
      </c>
      <c r="B1648" s="1" t="s">
        <v>44</v>
      </c>
      <c r="C1648" s="1" t="s">
        <v>626</v>
      </c>
      <c r="D1648" s="1" t="s">
        <v>285</v>
      </c>
      <c r="E1648" s="1" t="n">
        <v>-1</v>
      </c>
      <c r="F1648" s="1" t="n">
        <v>247.34</v>
      </c>
      <c r="G1648" s="1" t="n">
        <v>-247.34</v>
      </c>
      <c r="H1648" s="1" t="s">
        <v>627</v>
      </c>
    </row>
    <row r="1649" customFormat="false" ht="14.25" hidden="false" customHeight="true" outlineLevel="0" collapsed="false">
      <c r="A1649" s="1" t="s">
        <v>707</v>
      </c>
      <c r="B1649" s="1" t="s">
        <v>87</v>
      </c>
      <c r="C1649" s="1" t="s">
        <v>642</v>
      </c>
      <c r="D1649" s="1" t="s">
        <v>285</v>
      </c>
      <c r="E1649" s="1" t="n">
        <v>1</v>
      </c>
      <c r="F1649" s="1" t="n">
        <v>50</v>
      </c>
      <c r="G1649" s="1" t="n">
        <v>50</v>
      </c>
      <c r="H1649" s="1" t="s">
        <v>749</v>
      </c>
    </row>
    <row r="1650" customFormat="false" ht="14.25" hidden="false" customHeight="true" outlineLevel="0" collapsed="false">
      <c r="A1650" s="1" t="s">
        <v>707</v>
      </c>
      <c r="B1650" s="1" t="s">
        <v>78</v>
      </c>
      <c r="C1650" s="1" t="s">
        <v>463</v>
      </c>
      <c r="D1650" s="1" t="s">
        <v>282</v>
      </c>
      <c r="E1650" s="1" t="n">
        <v>4839</v>
      </c>
      <c r="F1650" s="1" t="n">
        <v>0.380674690807352</v>
      </c>
      <c r="G1650" s="1" t="n">
        <v>1842.08482881678</v>
      </c>
      <c r="H1650" s="1" t="s">
        <v>772</v>
      </c>
    </row>
    <row r="1651" customFormat="false" ht="14.25" hidden="false" customHeight="true" outlineLevel="0" collapsed="false">
      <c r="A1651" s="1" t="s">
        <v>707</v>
      </c>
      <c r="B1651" s="1" t="s">
        <v>464</v>
      </c>
      <c r="C1651" s="1" t="s">
        <v>669</v>
      </c>
      <c r="D1651" s="1" t="s">
        <v>282</v>
      </c>
      <c r="E1651" s="1" t="n">
        <v>0</v>
      </c>
      <c r="F1651" s="1" t="n">
        <v>0</v>
      </c>
      <c r="G1651" s="1" t="n">
        <v>0</v>
      </c>
      <c r="H1651" s="1" t="s">
        <v>477</v>
      </c>
    </row>
    <row r="1652" customFormat="false" ht="14.25" hidden="false" customHeight="true" outlineLevel="0" collapsed="false">
      <c r="A1652" s="1" t="s">
        <v>707</v>
      </c>
      <c r="B1652" s="1" t="s">
        <v>464</v>
      </c>
      <c r="C1652" s="1" t="s">
        <v>478</v>
      </c>
      <c r="D1652" s="1" t="s">
        <v>282</v>
      </c>
      <c r="E1652" s="1" t="n">
        <v>3</v>
      </c>
      <c r="F1652" s="1" t="n">
        <v>348.349782230624</v>
      </c>
      <c r="G1652" s="1" t="n">
        <v>1045.04934669187</v>
      </c>
      <c r="H1652" s="1" t="s">
        <v>686</v>
      </c>
    </row>
    <row r="1653" customFormat="false" ht="14.25" hidden="false" customHeight="true" outlineLevel="0" collapsed="false">
      <c r="A1653" s="1" t="s">
        <v>707</v>
      </c>
      <c r="B1653" s="1" t="s">
        <v>464</v>
      </c>
      <c r="C1653" s="1" t="s">
        <v>523</v>
      </c>
      <c r="D1653" s="1" t="s">
        <v>282</v>
      </c>
      <c r="E1653" s="1" t="n">
        <v>0</v>
      </c>
      <c r="F1653" s="1" t="n">
        <v>0</v>
      </c>
      <c r="G1653" s="1" t="n">
        <v>0</v>
      </c>
    </row>
    <row r="1654" customFormat="false" ht="14.25" hidden="false" customHeight="true" outlineLevel="0" collapsed="false">
      <c r="A1654" s="1" t="s">
        <v>707</v>
      </c>
      <c r="B1654" s="1" t="s">
        <v>464</v>
      </c>
      <c r="C1654" s="1" t="s">
        <v>526</v>
      </c>
      <c r="D1654" s="1" t="s">
        <v>282</v>
      </c>
      <c r="E1654" s="1" t="n">
        <v>-1</v>
      </c>
      <c r="F1654" s="1" t="n">
        <v>430.994756521739</v>
      </c>
      <c r="G1654" s="1" t="n">
        <v>-430.994756521739</v>
      </c>
    </row>
    <row r="1655" customFormat="false" ht="14.25" hidden="false" customHeight="true" outlineLevel="0" collapsed="false">
      <c r="A1655" s="1" t="s">
        <v>707</v>
      </c>
      <c r="B1655" s="1" t="s">
        <v>464</v>
      </c>
      <c r="C1655" s="1" t="s">
        <v>524</v>
      </c>
      <c r="D1655" s="1" t="s">
        <v>282</v>
      </c>
      <c r="E1655" s="1" t="n">
        <v>-27</v>
      </c>
      <c r="F1655" s="1" t="n">
        <v>430.994756521739</v>
      </c>
      <c r="G1655" s="1" t="n">
        <v>-11636.858426087</v>
      </c>
      <c r="H1655" s="1" t="s">
        <v>771</v>
      </c>
    </row>
    <row r="1656" customFormat="false" ht="14.25" hidden="false" customHeight="true" outlineLevel="0" collapsed="false">
      <c r="A1656" s="1" t="s">
        <v>707</v>
      </c>
      <c r="B1656" s="1" t="s">
        <v>143</v>
      </c>
      <c r="C1656" s="1" t="s">
        <v>527</v>
      </c>
      <c r="D1656" s="1" t="s">
        <v>282</v>
      </c>
      <c r="E1656" s="1" t="n">
        <v>4839</v>
      </c>
      <c r="F1656" s="1" t="n">
        <v>0.250576029595696</v>
      </c>
      <c r="G1656" s="1" t="n">
        <v>1212.53740721357</v>
      </c>
      <c r="H1656" s="1" t="s">
        <v>772</v>
      </c>
    </row>
    <row r="1657" customFormat="false" ht="14.25" hidden="false" customHeight="true" outlineLevel="0" collapsed="false">
      <c r="A1657" s="1" t="s">
        <v>707</v>
      </c>
      <c r="B1657" s="1" t="s">
        <v>45</v>
      </c>
      <c r="C1657" s="1" t="s">
        <v>531</v>
      </c>
      <c r="D1657" s="1" t="s">
        <v>282</v>
      </c>
      <c r="E1657" s="1" t="n">
        <v>0</v>
      </c>
      <c r="F1657" s="1" t="n">
        <v>0</v>
      </c>
      <c r="G1657" s="1" t="n">
        <v>0</v>
      </c>
      <c r="H1657" s="1" t="s">
        <v>532</v>
      </c>
    </row>
    <row r="1658" customFormat="false" ht="14.25" hidden="false" customHeight="true" outlineLevel="0" collapsed="false">
      <c r="A1658" s="1" t="s">
        <v>707</v>
      </c>
      <c r="B1658" s="1" t="s">
        <v>50</v>
      </c>
      <c r="C1658" s="1" t="s">
        <v>533</v>
      </c>
      <c r="D1658" s="1" t="s">
        <v>282</v>
      </c>
      <c r="E1658" s="1" t="n">
        <v>0</v>
      </c>
      <c r="F1658" s="1" t="n">
        <v>0</v>
      </c>
      <c r="G1658" s="1" t="n">
        <v>0</v>
      </c>
      <c r="H1658" s="1" t="s">
        <v>534</v>
      </c>
    </row>
    <row r="1659" customFormat="false" ht="14.25" hidden="false" customHeight="true" outlineLevel="0" collapsed="false">
      <c r="A1659" s="1" t="s">
        <v>707</v>
      </c>
      <c r="B1659" s="1" t="s">
        <v>537</v>
      </c>
      <c r="C1659" s="1" t="s">
        <v>538</v>
      </c>
      <c r="D1659" s="1" t="s">
        <v>282</v>
      </c>
      <c r="E1659" s="1" t="n">
        <v>0</v>
      </c>
      <c r="F1659" s="1" t="n">
        <v>0</v>
      </c>
      <c r="G1659" s="1" t="n">
        <v>0</v>
      </c>
      <c r="H1659" s="1" t="s">
        <v>553</v>
      </c>
    </row>
    <row r="1660" customFormat="false" ht="14.25" hidden="false" customHeight="true" outlineLevel="0" collapsed="false">
      <c r="A1660" s="1" t="s">
        <v>707</v>
      </c>
      <c r="B1660" s="1" t="s">
        <v>537</v>
      </c>
      <c r="C1660" s="1" t="s">
        <v>542</v>
      </c>
      <c r="D1660" s="1" t="s">
        <v>282</v>
      </c>
      <c r="E1660" s="1" t="n">
        <v>8</v>
      </c>
      <c r="F1660" s="1" t="n">
        <v>20</v>
      </c>
      <c r="G1660" s="1" t="n">
        <v>160</v>
      </c>
      <c r="H1660" s="1" t="s">
        <v>746</v>
      </c>
    </row>
    <row r="1661" customFormat="false" ht="14.25" hidden="false" customHeight="true" outlineLevel="0" collapsed="false">
      <c r="A1661" s="1" t="s">
        <v>707</v>
      </c>
      <c r="B1661" s="1" t="s">
        <v>537</v>
      </c>
      <c r="C1661" s="1" t="s">
        <v>544</v>
      </c>
      <c r="D1661" s="1" t="s">
        <v>282</v>
      </c>
      <c r="E1661" s="1" t="n">
        <v>1</v>
      </c>
      <c r="F1661" s="1" t="n">
        <v>753.05</v>
      </c>
      <c r="G1661" s="1" t="n">
        <v>753.05</v>
      </c>
      <c r="H1661" s="1" t="s">
        <v>544</v>
      </c>
    </row>
    <row r="1662" customFormat="false" ht="14.25" hidden="false" customHeight="true" outlineLevel="0" collapsed="false">
      <c r="A1662" s="1" t="s">
        <v>707</v>
      </c>
      <c r="B1662" s="1" t="s">
        <v>537</v>
      </c>
      <c r="C1662" s="1" t="s">
        <v>546</v>
      </c>
      <c r="D1662" s="1" t="s">
        <v>282</v>
      </c>
      <c r="E1662" s="1" t="n">
        <v>1</v>
      </c>
      <c r="F1662" s="1" t="n">
        <v>384</v>
      </c>
      <c r="G1662" s="1" t="n">
        <v>384</v>
      </c>
      <c r="H1662" s="1" t="s">
        <v>747</v>
      </c>
    </row>
    <row r="1663" customFormat="false" ht="14.25" hidden="false" customHeight="true" outlineLevel="0" collapsed="false">
      <c r="A1663" s="1" t="s">
        <v>707</v>
      </c>
      <c r="B1663" s="1" t="s">
        <v>554</v>
      </c>
      <c r="C1663" s="1" t="s">
        <v>588</v>
      </c>
      <c r="D1663" s="1" t="s">
        <v>282</v>
      </c>
      <c r="E1663" s="1" t="n">
        <v>4839</v>
      </c>
      <c r="F1663" s="1" t="n">
        <v>0.73</v>
      </c>
      <c r="G1663" s="1" t="n">
        <v>3532.47</v>
      </c>
      <c r="H1663" s="1" t="s">
        <v>451</v>
      </c>
    </row>
    <row r="1664" customFormat="false" ht="14.25" hidden="false" customHeight="true" outlineLevel="0" collapsed="false">
      <c r="A1664" s="1" t="s">
        <v>707</v>
      </c>
      <c r="B1664" s="1" t="s">
        <v>554</v>
      </c>
      <c r="C1664" s="1" t="s">
        <v>589</v>
      </c>
      <c r="D1664" s="1" t="s">
        <v>282</v>
      </c>
      <c r="E1664" s="1" t="n">
        <v>1</v>
      </c>
      <c r="F1664" s="1" t="n">
        <v>922.18</v>
      </c>
      <c r="G1664" s="1" t="n">
        <v>922.18</v>
      </c>
      <c r="H1664" s="1" t="s">
        <v>564</v>
      </c>
    </row>
    <row r="1665" customFormat="false" ht="14.25" hidden="false" customHeight="true" outlineLevel="0" collapsed="false">
      <c r="A1665" s="1" t="s">
        <v>707</v>
      </c>
      <c r="B1665" s="1" t="s">
        <v>554</v>
      </c>
      <c r="C1665" s="1" t="s">
        <v>590</v>
      </c>
      <c r="D1665" s="1" t="s">
        <v>282</v>
      </c>
      <c r="E1665" s="1" t="n">
        <v>0</v>
      </c>
      <c r="F1665" s="1" t="n">
        <v>0</v>
      </c>
      <c r="G1665" s="1" t="n">
        <v>0</v>
      </c>
      <c r="H1665" s="1" t="s">
        <v>564</v>
      </c>
    </row>
    <row r="1666" customFormat="false" ht="14.25" hidden="false" customHeight="true" outlineLevel="0" collapsed="false">
      <c r="A1666" s="1" t="s">
        <v>707</v>
      </c>
      <c r="B1666" s="1" t="s">
        <v>554</v>
      </c>
      <c r="C1666" s="1" t="s">
        <v>688</v>
      </c>
      <c r="D1666" s="1" t="s">
        <v>282</v>
      </c>
      <c r="E1666" s="1" t="n">
        <v>1</v>
      </c>
      <c r="F1666" s="1" t="n">
        <v>4711.01</v>
      </c>
      <c r="G1666" s="1" t="n">
        <v>4711.01</v>
      </c>
      <c r="H1666" s="1" t="s">
        <v>587</v>
      </c>
    </row>
    <row r="1667" customFormat="false" ht="14.25" hidden="false" customHeight="true" outlineLevel="0" collapsed="false">
      <c r="A1667" s="1" t="s">
        <v>707</v>
      </c>
      <c r="B1667" s="1" t="s">
        <v>554</v>
      </c>
      <c r="C1667" s="1" t="s">
        <v>592</v>
      </c>
      <c r="D1667" s="1" t="s">
        <v>282</v>
      </c>
      <c r="E1667" s="1" t="n">
        <v>0</v>
      </c>
      <c r="F1667" s="1" t="n">
        <v>0</v>
      </c>
      <c r="G1667" s="1" t="n">
        <v>0</v>
      </c>
      <c r="H1667" s="1" t="s">
        <v>579</v>
      </c>
    </row>
    <row r="1668" customFormat="false" ht="14.25" hidden="false" customHeight="true" outlineLevel="0" collapsed="false">
      <c r="A1668" s="1" t="s">
        <v>707</v>
      </c>
      <c r="B1668" s="1" t="s">
        <v>464</v>
      </c>
      <c r="C1668" s="1" t="s">
        <v>751</v>
      </c>
      <c r="D1668" s="1" t="s">
        <v>282</v>
      </c>
      <c r="E1668" s="1" t="n">
        <v>1</v>
      </c>
      <c r="F1668" s="1" t="n">
        <v>25.5</v>
      </c>
      <c r="G1668" s="1" t="n">
        <v>25.5</v>
      </c>
      <c r="H1668" s="1" t="s">
        <v>606</v>
      </c>
    </row>
    <row r="1669" customFormat="false" ht="14.25" hidden="false" customHeight="true" outlineLevel="0" collapsed="false">
      <c r="A1669" s="1" t="s">
        <v>707</v>
      </c>
      <c r="B1669" s="1" t="s">
        <v>593</v>
      </c>
      <c r="C1669" s="1" t="s">
        <v>597</v>
      </c>
      <c r="D1669" s="1" t="s">
        <v>282</v>
      </c>
      <c r="E1669" s="1" t="n">
        <v>1</v>
      </c>
      <c r="F1669" s="1" t="n">
        <v>67.33</v>
      </c>
      <c r="G1669" s="1" t="n">
        <v>67.33</v>
      </c>
      <c r="H1669" s="1" t="s">
        <v>607</v>
      </c>
    </row>
    <row r="1670" customFormat="false" ht="14.25" hidden="false" customHeight="true" outlineLevel="0" collapsed="false">
      <c r="A1670" s="1" t="s">
        <v>707</v>
      </c>
      <c r="B1670" s="1" t="s">
        <v>593</v>
      </c>
      <c r="C1670" s="1" t="s">
        <v>597</v>
      </c>
      <c r="D1670" s="1" t="s">
        <v>282</v>
      </c>
      <c r="E1670" s="1" t="n">
        <v>-1</v>
      </c>
      <c r="F1670" s="1" t="n">
        <v>510</v>
      </c>
      <c r="G1670" s="1" t="n">
        <v>-510</v>
      </c>
      <c r="H1670" s="1" t="s">
        <v>773</v>
      </c>
    </row>
    <row r="1671" customFormat="false" ht="14.25" hidden="false" customHeight="true" outlineLevel="0" collapsed="false">
      <c r="A1671" s="1" t="s">
        <v>707</v>
      </c>
      <c r="B1671" s="1" t="s">
        <v>47</v>
      </c>
      <c r="C1671" s="1" t="s">
        <v>608</v>
      </c>
      <c r="D1671" s="1" t="s">
        <v>282</v>
      </c>
      <c r="E1671" s="1" t="n">
        <v>0</v>
      </c>
      <c r="F1671" s="1" t="n">
        <v>0</v>
      </c>
      <c r="G1671" s="1" t="n">
        <v>0</v>
      </c>
      <c r="H1671" s="1" t="s">
        <v>692</v>
      </c>
    </row>
    <row r="1672" customFormat="false" ht="14.25" hidden="false" customHeight="true" outlineLevel="0" collapsed="false">
      <c r="A1672" s="1" t="s">
        <v>707</v>
      </c>
      <c r="B1672" s="1" t="s">
        <v>32</v>
      </c>
      <c r="C1672" s="1" t="s">
        <v>618</v>
      </c>
      <c r="D1672" s="1" t="s">
        <v>282</v>
      </c>
      <c r="E1672" s="1" t="n">
        <v>0</v>
      </c>
      <c r="F1672" s="1" t="n">
        <v>0</v>
      </c>
      <c r="G1672" s="1" t="n">
        <v>0</v>
      </c>
      <c r="H1672" s="1" t="s">
        <v>619</v>
      </c>
    </row>
    <row r="1673" customFormat="false" ht="14.25" hidden="false" customHeight="true" outlineLevel="0" collapsed="false">
      <c r="A1673" s="1" t="s">
        <v>707</v>
      </c>
      <c r="B1673" s="1" t="s">
        <v>32</v>
      </c>
      <c r="C1673" s="1" t="s">
        <v>620</v>
      </c>
      <c r="D1673" s="1" t="s">
        <v>282</v>
      </c>
      <c r="E1673" s="1" t="n">
        <v>0</v>
      </c>
      <c r="F1673" s="1" t="n">
        <v>0</v>
      </c>
      <c r="G1673" s="1" t="n">
        <v>0</v>
      </c>
      <c r="H1673" s="1" t="s">
        <v>774</v>
      </c>
    </row>
    <row r="1674" customFormat="false" ht="14.25" hidden="false" customHeight="true" outlineLevel="0" collapsed="false">
      <c r="A1674" s="1" t="s">
        <v>707</v>
      </c>
      <c r="B1674" s="1" t="s">
        <v>44</v>
      </c>
      <c r="C1674" s="1" t="s">
        <v>626</v>
      </c>
      <c r="D1674" s="1" t="s">
        <v>282</v>
      </c>
      <c r="E1674" s="1" t="n">
        <v>1</v>
      </c>
      <c r="F1674" s="1" t="n">
        <v>757.25</v>
      </c>
      <c r="G1674" s="1" t="n">
        <v>757.25</v>
      </c>
      <c r="H1674" s="1" t="s">
        <v>680</v>
      </c>
    </row>
    <row r="1675" customFormat="false" ht="14.25" hidden="false" customHeight="true" outlineLevel="0" collapsed="false">
      <c r="A1675" s="1" t="s">
        <v>707</v>
      </c>
      <c r="B1675" s="1" t="s">
        <v>44</v>
      </c>
      <c r="C1675" s="1" t="s">
        <v>626</v>
      </c>
      <c r="D1675" s="1" t="s">
        <v>282</v>
      </c>
      <c r="E1675" s="1" t="n">
        <v>-1</v>
      </c>
      <c r="F1675" s="1" t="n">
        <v>1197.53</v>
      </c>
      <c r="G1675" s="1" t="n">
        <v>-1197.53</v>
      </c>
      <c r="H1675" s="1" t="s">
        <v>627</v>
      </c>
    </row>
    <row r="1676" customFormat="false" ht="14.25" hidden="false" customHeight="true" outlineLevel="0" collapsed="false">
      <c r="A1676" s="1" t="s">
        <v>707</v>
      </c>
      <c r="B1676" s="1" t="s">
        <v>44</v>
      </c>
      <c r="C1676" s="1" t="s">
        <v>641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630</v>
      </c>
    </row>
    <row r="1677" customFormat="false" ht="14.25" hidden="false" customHeight="true" outlineLevel="0" collapsed="false">
      <c r="A1677" s="1" t="s">
        <v>707</v>
      </c>
      <c r="B1677" s="1" t="s">
        <v>44</v>
      </c>
      <c r="C1677" s="1" t="s">
        <v>636</v>
      </c>
      <c r="D1677" s="1" t="s">
        <v>282</v>
      </c>
      <c r="E1677" s="1" t="n">
        <v>0</v>
      </c>
      <c r="F1677" s="1" t="n">
        <v>0</v>
      </c>
      <c r="G1677" s="1" t="n">
        <v>0</v>
      </c>
      <c r="H1677" s="1" t="s">
        <v>634</v>
      </c>
    </row>
    <row r="1678" customFormat="false" ht="14.25" hidden="false" customHeight="true" outlineLevel="0" collapsed="false">
      <c r="A1678" s="1" t="s">
        <v>707</v>
      </c>
      <c r="B1678" s="1" t="s">
        <v>87</v>
      </c>
      <c r="C1678" s="1" t="s">
        <v>642</v>
      </c>
      <c r="D1678" s="1" t="s">
        <v>282</v>
      </c>
      <c r="E1678" s="1" t="n">
        <v>1</v>
      </c>
      <c r="F1678" s="1" t="n">
        <v>90</v>
      </c>
      <c r="G1678" s="1" t="n">
        <v>90</v>
      </c>
      <c r="H1678" s="1" t="s">
        <v>749</v>
      </c>
    </row>
    <row r="1679" customFormat="false" ht="14.25" hidden="false" customHeight="true" outlineLevel="0" collapsed="false">
      <c r="A1679" s="1" t="s">
        <v>707</v>
      </c>
      <c r="B1679" s="1" t="s">
        <v>87</v>
      </c>
      <c r="C1679" s="1" t="s">
        <v>642</v>
      </c>
      <c r="D1679" s="1" t="s">
        <v>282</v>
      </c>
      <c r="E1679" s="1" t="n">
        <v>2</v>
      </c>
      <c r="F1679" s="1" t="n">
        <v>10</v>
      </c>
      <c r="G1679" s="1" t="n">
        <v>20</v>
      </c>
      <c r="H1679" s="1" t="s">
        <v>749</v>
      </c>
    </row>
    <row r="1680" customFormat="false" ht="14.25" hidden="false" customHeight="true" outlineLevel="0" collapsed="false">
      <c r="A1680" s="1" t="s">
        <v>707</v>
      </c>
      <c r="B1680" s="1" t="s">
        <v>87</v>
      </c>
      <c r="C1680" s="1" t="s">
        <v>642</v>
      </c>
      <c r="D1680" s="1" t="s">
        <v>282</v>
      </c>
      <c r="E1680" s="1" t="n">
        <v>3</v>
      </c>
      <c r="F1680" s="1" t="n">
        <v>50</v>
      </c>
      <c r="G1680" s="1" t="n">
        <v>150</v>
      </c>
      <c r="H1680" s="1" t="s">
        <v>749</v>
      </c>
    </row>
    <row r="1681" customFormat="false" ht="14.25" hidden="false" customHeight="true" outlineLevel="0" collapsed="false">
      <c r="A1681" s="1" t="s">
        <v>707</v>
      </c>
      <c r="B1681" s="1" t="s">
        <v>464</v>
      </c>
      <c r="C1681" s="1" t="s">
        <v>465</v>
      </c>
      <c r="D1681" s="1" t="s">
        <v>282</v>
      </c>
      <c r="E1681" s="1" t="n">
        <v>0</v>
      </c>
      <c r="F1681" s="1" t="n">
        <v>0</v>
      </c>
      <c r="G1681" s="1" t="n">
        <v>0</v>
      </c>
      <c r="H1681" s="1" t="s">
        <v>741</v>
      </c>
    </row>
    <row r="1682" customFormat="false" ht="14.25" hidden="false" customHeight="true" outlineLevel="0" collapsed="false">
      <c r="A1682" s="1" t="s">
        <v>707</v>
      </c>
      <c r="B1682" s="1" t="s">
        <v>45</v>
      </c>
      <c r="C1682" s="1" t="s">
        <v>529</v>
      </c>
      <c r="D1682" s="1" t="s">
        <v>282</v>
      </c>
      <c r="E1682" s="1" t="n">
        <v>1</v>
      </c>
      <c r="F1682" s="1" t="n">
        <v>25021.2</v>
      </c>
      <c r="G1682" s="1" t="n">
        <v>25021.2</v>
      </c>
      <c r="H1682" s="1" t="s">
        <v>530</v>
      </c>
    </row>
    <row r="1683" customFormat="false" ht="14.25" hidden="false" customHeight="true" outlineLevel="0" collapsed="false">
      <c r="A1683" s="1" t="s">
        <v>707</v>
      </c>
      <c r="B1683" s="1" t="s">
        <v>464</v>
      </c>
      <c r="C1683" s="1" t="s">
        <v>465</v>
      </c>
      <c r="D1683" s="1" t="s">
        <v>282</v>
      </c>
      <c r="E1683" s="1" t="n">
        <v>323</v>
      </c>
      <c r="F1683" s="1" t="n">
        <v>1.86</v>
      </c>
      <c r="G1683" s="1" t="n">
        <v>600.78</v>
      </c>
      <c r="H1683" s="1" t="s">
        <v>741</v>
      </c>
    </row>
    <row r="1684" customFormat="false" ht="14.25" hidden="false" customHeight="true" outlineLevel="0" collapsed="false">
      <c r="A1684" s="1" t="s">
        <v>707</v>
      </c>
      <c r="B1684" s="1" t="s">
        <v>85</v>
      </c>
      <c r="C1684" s="1" t="s">
        <v>615</v>
      </c>
      <c r="D1684" s="1" t="s">
        <v>282</v>
      </c>
      <c r="E1684" s="1" t="n">
        <v>13</v>
      </c>
      <c r="F1684" s="1" t="n">
        <v>154.89</v>
      </c>
      <c r="G1684" s="1" t="n">
        <v>2013.57</v>
      </c>
      <c r="H1684" s="1" t="s">
        <v>617</v>
      </c>
    </row>
    <row r="1685" customFormat="false" ht="14.25" hidden="false" customHeight="true" outlineLevel="0" collapsed="false">
      <c r="A1685" s="1" t="s">
        <v>707</v>
      </c>
      <c r="B1685" s="1" t="s">
        <v>464</v>
      </c>
      <c r="C1685" s="1" t="s">
        <v>775</v>
      </c>
      <c r="D1685" s="1" t="s">
        <v>282</v>
      </c>
      <c r="E1685" s="1" t="n">
        <v>-1</v>
      </c>
      <c r="F1685" s="1" t="n">
        <v>430.994756521739</v>
      </c>
      <c r="G1685" s="1" t="n">
        <v>-430.994756521739</v>
      </c>
      <c r="H1685" s="1" t="s">
        <v>686</v>
      </c>
    </row>
    <row r="1686" customFormat="false" ht="14.25" hidden="false" customHeight="true" outlineLevel="0" collapsed="false">
      <c r="A1686" s="1" t="s">
        <v>707</v>
      </c>
      <c r="B1686" s="1" t="s">
        <v>45</v>
      </c>
      <c r="C1686" s="1" t="s">
        <v>776</v>
      </c>
      <c r="D1686" s="1" t="s">
        <v>289</v>
      </c>
      <c r="E1686" s="1" t="n">
        <v>1</v>
      </c>
      <c r="F1686" s="1" t="n">
        <v>176</v>
      </c>
      <c r="G1686" s="1" t="n">
        <v>176</v>
      </c>
      <c r="H1686" s="1" t="s">
        <v>777</v>
      </c>
    </row>
    <row r="1687" customFormat="false" ht="14.25" hidden="false" customHeight="true" outlineLevel="0" collapsed="false">
      <c r="A1687" s="1" t="s">
        <v>707</v>
      </c>
      <c r="B1687" s="1" t="s">
        <v>464</v>
      </c>
      <c r="C1687" s="1" t="s">
        <v>775</v>
      </c>
      <c r="D1687" s="1" t="s">
        <v>289</v>
      </c>
      <c r="E1687" s="1" t="n">
        <v>1</v>
      </c>
      <c r="F1687" s="1" t="n">
        <v>430.994756521739</v>
      </c>
      <c r="G1687" s="1" t="n">
        <v>430.994756521739</v>
      </c>
      <c r="H1687" s="1" t="s">
        <v>686</v>
      </c>
    </row>
    <row r="1688" customFormat="false" ht="14.25" hidden="false" customHeight="true" outlineLevel="0" collapsed="false">
      <c r="A1688" s="1" t="s">
        <v>707</v>
      </c>
      <c r="B1688" s="1" t="s">
        <v>464</v>
      </c>
      <c r="C1688" s="1" t="s">
        <v>778</v>
      </c>
      <c r="D1688" s="1" t="s">
        <v>285</v>
      </c>
      <c r="E1688" s="1" t="n">
        <v>-1</v>
      </c>
      <c r="F1688" s="1" t="n">
        <v>341.91752195122</v>
      </c>
      <c r="G1688" s="1" t="n">
        <v>-341.91752195122</v>
      </c>
      <c r="H1688" s="1" t="s">
        <v>686</v>
      </c>
    </row>
    <row r="1689" customFormat="false" ht="14.25" hidden="false" customHeight="true" outlineLevel="0" collapsed="false">
      <c r="A1689" s="1" t="s">
        <v>707</v>
      </c>
      <c r="B1689" s="1" t="s">
        <v>464</v>
      </c>
      <c r="C1689" s="1" t="s">
        <v>778</v>
      </c>
      <c r="D1689" s="1" t="s">
        <v>290</v>
      </c>
      <c r="E1689" s="1" t="n">
        <v>1</v>
      </c>
      <c r="F1689" s="1" t="n">
        <v>341.91752195122</v>
      </c>
      <c r="G1689" s="1" t="n">
        <v>341.91752195122</v>
      </c>
      <c r="H1689" s="1" t="s">
        <v>686</v>
      </c>
    </row>
    <row r="1690" customFormat="false" ht="14.25" hidden="false" customHeight="true" outlineLevel="0" collapsed="false">
      <c r="A1690" s="1" t="s">
        <v>707</v>
      </c>
      <c r="B1690" s="1" t="s">
        <v>464</v>
      </c>
      <c r="C1690" s="1" t="s">
        <v>779</v>
      </c>
      <c r="D1690" s="1" t="s">
        <v>290</v>
      </c>
      <c r="E1690" s="1" t="n">
        <v>-1</v>
      </c>
      <c r="F1690" s="1" t="n">
        <v>931.403027160494</v>
      </c>
      <c r="G1690" s="1" t="n">
        <v>-931.403027160494</v>
      </c>
      <c r="H1690" s="1" t="s">
        <v>686</v>
      </c>
    </row>
    <row r="1691" customFormat="false" ht="14.25" hidden="false" customHeight="true" outlineLevel="0" collapsed="false">
      <c r="A1691" s="1" t="s">
        <v>707</v>
      </c>
      <c r="B1691" s="1" t="s">
        <v>464</v>
      </c>
      <c r="C1691" s="1" t="s">
        <v>779</v>
      </c>
      <c r="D1691" s="1" t="s">
        <v>285</v>
      </c>
      <c r="E1691" s="1" t="n">
        <v>1</v>
      </c>
      <c r="F1691" s="1" t="n">
        <v>931.403027160494</v>
      </c>
      <c r="G1691" s="1" t="n">
        <v>931.403027160494</v>
      </c>
      <c r="H1691" s="1" t="s">
        <v>686</v>
      </c>
    </row>
    <row r="1692" customFormat="false" ht="14.25" hidden="false" customHeight="true" outlineLevel="0" collapsed="false">
      <c r="A1692" s="1" t="s">
        <v>448</v>
      </c>
      <c r="B1692" s="1" t="s">
        <v>453</v>
      </c>
      <c r="C1692" s="1" t="s">
        <v>454</v>
      </c>
      <c r="D1692" s="1" t="s">
        <v>285</v>
      </c>
      <c r="E1692" s="1" t="n">
        <v>0</v>
      </c>
      <c r="F1692" s="1" t="n">
        <v>0</v>
      </c>
      <c r="G1692" s="1" t="n">
        <v>0</v>
      </c>
      <c r="H1692" s="1" t="s">
        <v>780</v>
      </c>
    </row>
    <row r="1693" customFormat="false" ht="14.25" hidden="false" customHeight="true" outlineLevel="0" collapsed="false">
      <c r="A1693" s="1" t="s">
        <v>448</v>
      </c>
      <c r="B1693" s="1" t="s">
        <v>32</v>
      </c>
      <c r="C1693" s="1" t="s">
        <v>618</v>
      </c>
      <c r="D1693" s="1" t="s">
        <v>289</v>
      </c>
      <c r="E1693" s="1" t="n">
        <v>0</v>
      </c>
      <c r="F1693" s="1" t="n">
        <v>0</v>
      </c>
      <c r="G1693" s="1" t="n">
        <v>0</v>
      </c>
      <c r="H1693" s="1" t="s">
        <v>619</v>
      </c>
    </row>
    <row r="1694" customFormat="false" ht="14.25" hidden="false" customHeight="true" outlineLevel="0" collapsed="false">
      <c r="A1694" s="1" t="s">
        <v>644</v>
      </c>
      <c r="B1694" s="1" t="s">
        <v>32</v>
      </c>
      <c r="C1694" s="1" t="s">
        <v>618</v>
      </c>
      <c r="D1694" s="1" t="s">
        <v>289</v>
      </c>
      <c r="E1694" s="1" t="n">
        <v>0</v>
      </c>
      <c r="F1694" s="1" t="n">
        <v>0</v>
      </c>
      <c r="G1694" s="1" t="n">
        <v>0</v>
      </c>
      <c r="H1694" s="1" t="s">
        <v>619</v>
      </c>
    </row>
    <row r="1695" customFormat="false" ht="14.25" hidden="false" customHeight="true" outlineLevel="0" collapsed="false">
      <c r="A1695" s="1" t="s">
        <v>644</v>
      </c>
      <c r="B1695" s="1" t="s">
        <v>50</v>
      </c>
      <c r="C1695" s="1" t="s">
        <v>533</v>
      </c>
      <c r="D1695" s="1" t="s">
        <v>290</v>
      </c>
      <c r="E1695" s="1" t="n">
        <v>1</v>
      </c>
      <c r="F1695" s="1" t="n">
        <v>676.8</v>
      </c>
      <c r="G1695" s="1" t="n">
        <v>676.8</v>
      </c>
      <c r="H1695" s="1" t="s">
        <v>534</v>
      </c>
    </row>
    <row r="1696" customFormat="false" ht="14.25" hidden="false" customHeight="true" outlineLevel="0" collapsed="false">
      <c r="A1696" s="1" t="s">
        <v>644</v>
      </c>
      <c r="B1696" s="1" t="s">
        <v>593</v>
      </c>
      <c r="C1696" s="1" t="s">
        <v>594</v>
      </c>
      <c r="D1696" s="1" t="s">
        <v>290</v>
      </c>
      <c r="E1696" s="1" t="n">
        <v>-1</v>
      </c>
      <c r="F1696" s="1" t="n">
        <v>238.88</v>
      </c>
      <c r="G1696" s="1" t="n">
        <v>-238.88</v>
      </c>
      <c r="H1696" s="1" t="s">
        <v>781</v>
      </c>
    </row>
    <row r="1697" customFormat="false" ht="14.25" hidden="false" customHeight="true" outlineLevel="0" collapsed="false">
      <c r="A1697" s="1" t="s">
        <v>644</v>
      </c>
      <c r="B1697" s="1" t="s">
        <v>50</v>
      </c>
      <c r="C1697" s="1" t="s">
        <v>533</v>
      </c>
      <c r="D1697" s="1" t="s">
        <v>284</v>
      </c>
      <c r="E1697" s="1" t="n">
        <v>1</v>
      </c>
      <c r="F1697" s="1" t="n">
        <v>676.8</v>
      </c>
      <c r="G1697" s="1" t="n">
        <v>676.8</v>
      </c>
      <c r="H1697" s="1" t="s">
        <v>534</v>
      </c>
    </row>
    <row r="1698" customFormat="false" ht="14.25" hidden="false" customHeight="true" outlineLevel="0" collapsed="false">
      <c r="A1698" s="1" t="s">
        <v>644</v>
      </c>
      <c r="B1698" s="1" t="s">
        <v>453</v>
      </c>
      <c r="C1698" s="1" t="s">
        <v>454</v>
      </c>
      <c r="D1698" s="1" t="s">
        <v>285</v>
      </c>
      <c r="E1698" s="1" t="n">
        <v>0</v>
      </c>
      <c r="F1698" s="1" t="n">
        <v>0</v>
      </c>
      <c r="G1698" s="1" t="n">
        <v>0</v>
      </c>
      <c r="H1698" s="1" t="s">
        <v>780</v>
      </c>
    </row>
    <row r="1699" customFormat="false" ht="14.25" hidden="false" customHeight="true" outlineLevel="0" collapsed="false">
      <c r="A1699" s="1" t="s">
        <v>655</v>
      </c>
      <c r="B1699" s="1" t="s">
        <v>32</v>
      </c>
      <c r="C1699" s="1" t="s">
        <v>618</v>
      </c>
      <c r="D1699" s="1" t="s">
        <v>289</v>
      </c>
      <c r="E1699" s="1" t="n">
        <v>0</v>
      </c>
      <c r="F1699" s="1" t="n">
        <v>0</v>
      </c>
      <c r="G1699" s="1" t="n">
        <v>0</v>
      </c>
      <c r="H1699" s="1" t="s">
        <v>619</v>
      </c>
    </row>
    <row r="1700" customFormat="false" ht="14.25" hidden="false" customHeight="true" outlineLevel="0" collapsed="false">
      <c r="A1700" s="1" t="s">
        <v>655</v>
      </c>
      <c r="B1700" s="1" t="s">
        <v>50</v>
      </c>
      <c r="C1700" s="1" t="s">
        <v>533</v>
      </c>
      <c r="D1700" s="1" t="s">
        <v>290</v>
      </c>
      <c r="E1700" s="1" t="n">
        <v>0</v>
      </c>
      <c r="F1700" s="1" t="n">
        <v>0</v>
      </c>
      <c r="G1700" s="1" t="n">
        <v>0</v>
      </c>
      <c r="H1700" s="1" t="s">
        <v>534</v>
      </c>
    </row>
    <row r="1701" customFormat="false" ht="14.25" hidden="false" customHeight="true" outlineLevel="0" collapsed="false">
      <c r="A1701" s="1" t="s">
        <v>655</v>
      </c>
      <c r="B1701" s="1" t="s">
        <v>593</v>
      </c>
      <c r="C1701" s="1" t="s">
        <v>594</v>
      </c>
      <c r="D1701" s="1" t="s">
        <v>290</v>
      </c>
      <c r="E1701" s="1" t="n">
        <v>-1</v>
      </c>
      <c r="F1701" s="1" t="n">
        <v>238.88</v>
      </c>
      <c r="G1701" s="1" t="n">
        <v>-238.88</v>
      </c>
      <c r="H1701" s="1" t="s">
        <v>782</v>
      </c>
    </row>
    <row r="1702" customFormat="false" ht="14.25" hidden="false" customHeight="true" outlineLevel="0" collapsed="false">
      <c r="A1702" s="1" t="s">
        <v>655</v>
      </c>
      <c r="B1702" s="1" t="s">
        <v>453</v>
      </c>
      <c r="C1702" s="1" t="s">
        <v>456</v>
      </c>
      <c r="D1702" s="1" t="s">
        <v>284</v>
      </c>
      <c r="E1702" s="1" t="n">
        <v>0</v>
      </c>
      <c r="F1702" s="1" t="n">
        <v>0</v>
      </c>
      <c r="G1702" s="1" t="n">
        <v>0</v>
      </c>
      <c r="H1702" s="1" t="s">
        <v>457</v>
      </c>
    </row>
    <row r="1703" customFormat="false" ht="14.25" hidden="false" customHeight="true" outlineLevel="0" collapsed="false">
      <c r="A1703" s="1" t="s">
        <v>655</v>
      </c>
      <c r="B1703" s="1" t="s">
        <v>50</v>
      </c>
      <c r="C1703" s="1" t="s">
        <v>533</v>
      </c>
      <c r="D1703" s="1" t="s">
        <v>284</v>
      </c>
      <c r="E1703" s="1" t="n">
        <v>0</v>
      </c>
      <c r="F1703" s="1" t="n">
        <v>0</v>
      </c>
      <c r="G1703" s="1" t="n">
        <v>0</v>
      </c>
      <c r="H1703" s="1" t="s">
        <v>534</v>
      </c>
    </row>
    <row r="1704" customFormat="false" ht="14.25" hidden="false" customHeight="true" outlineLevel="0" collapsed="false">
      <c r="A1704" s="1" t="s">
        <v>655</v>
      </c>
      <c r="B1704" s="1" t="s">
        <v>453</v>
      </c>
      <c r="C1704" s="1" t="s">
        <v>454</v>
      </c>
      <c r="D1704" s="1" t="s">
        <v>285</v>
      </c>
      <c r="E1704" s="1" t="n">
        <v>0</v>
      </c>
      <c r="F1704" s="1" t="n">
        <v>0</v>
      </c>
      <c r="G1704" s="1" t="n">
        <v>0</v>
      </c>
      <c r="H1704" s="1" t="s">
        <v>780</v>
      </c>
    </row>
    <row r="1705" customFormat="false" ht="14.25" hidden="false" customHeight="true" outlineLevel="0" collapsed="false">
      <c r="A1705" s="1" t="s">
        <v>682</v>
      </c>
      <c r="B1705" s="1" t="s">
        <v>32</v>
      </c>
      <c r="C1705" s="1" t="s">
        <v>618</v>
      </c>
      <c r="D1705" s="1" t="s">
        <v>289</v>
      </c>
      <c r="E1705" s="1" t="n">
        <v>0</v>
      </c>
      <c r="F1705" s="1" t="n">
        <v>0</v>
      </c>
      <c r="G1705" s="1" t="n">
        <v>0</v>
      </c>
      <c r="H1705" s="1" t="s">
        <v>619</v>
      </c>
    </row>
    <row r="1706" customFormat="false" ht="14.25" hidden="false" customHeight="true" outlineLevel="0" collapsed="false">
      <c r="A1706" s="1" t="s">
        <v>682</v>
      </c>
      <c r="B1706" s="1" t="s">
        <v>50</v>
      </c>
      <c r="C1706" s="1" t="s">
        <v>533</v>
      </c>
      <c r="D1706" s="1" t="s">
        <v>290</v>
      </c>
      <c r="E1706" s="1" t="n">
        <v>0</v>
      </c>
      <c r="F1706" s="1" t="n">
        <v>0</v>
      </c>
      <c r="G1706" s="1" t="n">
        <v>0</v>
      </c>
      <c r="H1706" s="1" t="s">
        <v>534</v>
      </c>
    </row>
    <row r="1707" customFormat="false" ht="14.25" hidden="false" customHeight="true" outlineLevel="0" collapsed="false">
      <c r="A1707" s="1" t="s">
        <v>682</v>
      </c>
      <c r="B1707" s="1" t="s">
        <v>593</v>
      </c>
      <c r="C1707" s="1" t="s">
        <v>594</v>
      </c>
      <c r="D1707" s="1" t="s">
        <v>290</v>
      </c>
      <c r="E1707" s="1" t="n">
        <v>-1</v>
      </c>
      <c r="F1707" s="1" t="n">
        <v>238.88</v>
      </c>
      <c r="G1707" s="1" t="n">
        <v>-238.88</v>
      </c>
      <c r="H1707" s="1" t="s">
        <v>605</v>
      </c>
    </row>
    <row r="1708" customFormat="false" ht="14.25" hidden="false" customHeight="true" outlineLevel="0" collapsed="false">
      <c r="A1708" s="1" t="s">
        <v>682</v>
      </c>
      <c r="B1708" s="1" t="s">
        <v>453</v>
      </c>
      <c r="C1708" s="1" t="s">
        <v>456</v>
      </c>
      <c r="D1708" s="1" t="s">
        <v>284</v>
      </c>
      <c r="E1708" s="1" t="n">
        <v>0</v>
      </c>
      <c r="F1708" s="1" t="n">
        <v>0</v>
      </c>
      <c r="G1708" s="1" t="n">
        <v>0</v>
      </c>
      <c r="H1708" s="1" t="s">
        <v>457</v>
      </c>
    </row>
    <row r="1709" customFormat="false" ht="14.25" hidden="false" customHeight="true" outlineLevel="0" collapsed="false">
      <c r="A1709" s="1" t="s">
        <v>682</v>
      </c>
      <c r="B1709" s="1" t="s">
        <v>50</v>
      </c>
      <c r="C1709" s="1" t="s">
        <v>533</v>
      </c>
      <c r="D1709" s="1" t="s">
        <v>284</v>
      </c>
      <c r="E1709" s="1" t="n">
        <v>0</v>
      </c>
      <c r="F1709" s="1" t="n">
        <v>0</v>
      </c>
      <c r="G1709" s="1" t="n">
        <v>0</v>
      </c>
      <c r="H1709" s="1" t="s">
        <v>534</v>
      </c>
    </row>
    <row r="1710" customFormat="false" ht="14.25" hidden="false" customHeight="true" outlineLevel="0" collapsed="false">
      <c r="A1710" s="1" t="s">
        <v>682</v>
      </c>
      <c r="B1710" s="1" t="s">
        <v>453</v>
      </c>
      <c r="C1710" s="1" t="s">
        <v>454</v>
      </c>
      <c r="D1710" s="1" t="s">
        <v>285</v>
      </c>
      <c r="E1710" s="1" t="n">
        <v>0</v>
      </c>
      <c r="F1710" s="1" t="n">
        <v>0</v>
      </c>
      <c r="G1710" s="1" t="n">
        <v>0</v>
      </c>
      <c r="H1710" s="1" t="s">
        <v>780</v>
      </c>
    </row>
    <row r="1711" customFormat="false" ht="14.25" hidden="false" customHeight="true" outlineLevel="0" collapsed="false">
      <c r="A1711" s="1" t="s">
        <v>707</v>
      </c>
      <c r="B1711" s="1" t="s">
        <v>50</v>
      </c>
      <c r="C1711" s="1" t="s">
        <v>533</v>
      </c>
      <c r="D1711" s="1" t="s">
        <v>290</v>
      </c>
      <c r="E1711" s="1" t="n">
        <v>0</v>
      </c>
      <c r="F1711" s="1" t="n">
        <v>0</v>
      </c>
      <c r="G1711" s="1" t="n">
        <v>0</v>
      </c>
      <c r="H1711" s="1" t="s">
        <v>534</v>
      </c>
    </row>
    <row r="1712" customFormat="false" ht="14.25" hidden="false" customHeight="true" outlineLevel="0" collapsed="false">
      <c r="A1712" s="1" t="s">
        <v>707</v>
      </c>
      <c r="B1712" s="1" t="s">
        <v>453</v>
      </c>
      <c r="C1712" s="1" t="s">
        <v>456</v>
      </c>
      <c r="D1712" s="1" t="s">
        <v>284</v>
      </c>
      <c r="E1712" s="1" t="n">
        <v>0</v>
      </c>
      <c r="F1712" s="1" t="n">
        <v>0</v>
      </c>
      <c r="G1712" s="1" t="n">
        <v>0</v>
      </c>
      <c r="H1712" s="1" t="s">
        <v>457</v>
      </c>
    </row>
    <row r="1713" customFormat="false" ht="14.25" hidden="false" customHeight="true" outlineLevel="0" collapsed="false">
      <c r="A1713" s="1" t="s">
        <v>707</v>
      </c>
      <c r="B1713" s="1" t="s">
        <v>50</v>
      </c>
      <c r="C1713" s="1" t="s">
        <v>533</v>
      </c>
      <c r="D1713" s="1" t="s">
        <v>284</v>
      </c>
      <c r="E1713" s="1" t="n">
        <v>0</v>
      </c>
      <c r="F1713" s="1" t="n">
        <v>0</v>
      </c>
      <c r="G1713" s="1" t="n">
        <v>0</v>
      </c>
      <c r="H1713" s="1" t="s">
        <v>534</v>
      </c>
    </row>
    <row r="1714" customFormat="false" ht="14.25" hidden="false" customHeight="true" outlineLevel="0" collapsed="false">
      <c r="A1714" s="1" t="s">
        <v>707</v>
      </c>
      <c r="B1714" s="1" t="s">
        <v>453</v>
      </c>
      <c r="C1714" s="1" t="s">
        <v>454</v>
      </c>
      <c r="D1714" s="1" t="s">
        <v>285</v>
      </c>
      <c r="E1714" s="1" t="n">
        <v>0</v>
      </c>
      <c r="F1714" s="1" t="n">
        <v>0</v>
      </c>
      <c r="G1714" s="1" t="n">
        <v>0</v>
      </c>
      <c r="H1714" s="1" t="s">
        <v>780</v>
      </c>
    </row>
    <row r="1715" customFormat="false" ht="14.25" hidden="false" customHeight="true" outlineLevel="0" collapsed="false">
      <c r="A1715" s="1" t="s">
        <v>707</v>
      </c>
      <c r="B1715" s="1" t="s">
        <v>464</v>
      </c>
      <c r="C1715" s="1" t="s">
        <v>465</v>
      </c>
      <c r="D1715" s="1" t="s">
        <v>282</v>
      </c>
      <c r="E1715" s="1" t="n">
        <v>323</v>
      </c>
      <c r="F1715" s="1" t="n">
        <v>1.86</v>
      </c>
      <c r="G1715" s="1" t="n">
        <v>600.78</v>
      </c>
      <c r="H1715" s="1" t="s">
        <v>739</v>
      </c>
    </row>
    <row r="1716" customFormat="false" ht="14.25" hidden="false" customHeight="true" outlineLevel="0" collapsed="false">
      <c r="A1716" s="1" t="s">
        <v>448</v>
      </c>
      <c r="B1716" s="1" t="s">
        <v>87</v>
      </c>
      <c r="C1716" s="1" t="s">
        <v>642</v>
      </c>
      <c r="D1716" s="1" t="s">
        <v>289</v>
      </c>
      <c r="E1716" s="1" t="n">
        <v>2</v>
      </c>
      <c r="F1716" s="1" t="n">
        <v>50</v>
      </c>
      <c r="G1716" s="1" t="n">
        <v>100</v>
      </c>
      <c r="H1716" s="1" t="s">
        <v>749</v>
      </c>
    </row>
    <row r="1717" customFormat="false" ht="14.25" hidden="false" customHeight="true" outlineLevel="0" collapsed="false">
      <c r="A1717" s="1" t="s">
        <v>448</v>
      </c>
      <c r="B1717" s="1" t="s">
        <v>464</v>
      </c>
      <c r="C1717" s="1" t="s">
        <v>469</v>
      </c>
      <c r="D1717" s="1" t="s">
        <v>282</v>
      </c>
      <c r="E1717" s="1" t="n">
        <v>2</v>
      </c>
      <c r="F1717" s="1" t="n">
        <v>338.53</v>
      </c>
      <c r="G1717" s="1" t="n">
        <v>677.06</v>
      </c>
      <c r="H1717" s="1" t="s">
        <v>783</v>
      </c>
    </row>
    <row r="1718" customFormat="false" ht="14.25" hidden="false" customHeight="true" outlineLevel="0" collapsed="false">
      <c r="A1718" s="1" t="s">
        <v>448</v>
      </c>
      <c r="B1718" s="1" t="s">
        <v>87</v>
      </c>
      <c r="C1718" s="1" t="s">
        <v>642</v>
      </c>
      <c r="D1718" s="1" t="s">
        <v>293</v>
      </c>
      <c r="E1718" s="1" t="n">
        <v>1</v>
      </c>
      <c r="F1718" s="1" t="n">
        <v>10</v>
      </c>
      <c r="G1718" s="1" t="n">
        <v>10</v>
      </c>
      <c r="H1718" s="1" t="s">
        <v>749</v>
      </c>
    </row>
    <row r="1719" customFormat="false" ht="14.25" hidden="false" customHeight="true" outlineLevel="0" collapsed="false">
      <c r="A1719" s="1" t="s">
        <v>448</v>
      </c>
      <c r="B1719" s="1" t="s">
        <v>464</v>
      </c>
      <c r="C1719" s="1" t="s">
        <v>471</v>
      </c>
      <c r="D1719" s="1" t="s">
        <v>282</v>
      </c>
      <c r="E1719" s="1" t="n">
        <v>2</v>
      </c>
      <c r="F1719" s="1" t="n">
        <v>400.26</v>
      </c>
      <c r="G1719" s="1" t="n">
        <v>800.52</v>
      </c>
      <c r="H1719" s="1" t="s">
        <v>784</v>
      </c>
    </row>
    <row r="1720" customFormat="false" ht="14.25" hidden="false" customHeight="true" outlineLevel="0" collapsed="false">
      <c r="A1720" s="1" t="s">
        <v>448</v>
      </c>
      <c r="B1720" s="1" t="s">
        <v>87</v>
      </c>
      <c r="C1720" s="1" t="s">
        <v>642</v>
      </c>
      <c r="D1720" s="1" t="s">
        <v>290</v>
      </c>
      <c r="E1720" s="1" t="n">
        <v>1</v>
      </c>
      <c r="F1720" s="1" t="n">
        <v>10</v>
      </c>
      <c r="G1720" s="1" t="n">
        <v>10</v>
      </c>
      <c r="H1720" s="1" t="s">
        <v>749</v>
      </c>
    </row>
    <row r="1721" customFormat="false" ht="14.25" hidden="false" customHeight="true" outlineLevel="0" collapsed="false">
      <c r="A1721" s="1" t="s">
        <v>448</v>
      </c>
      <c r="B1721" s="1" t="s">
        <v>87</v>
      </c>
      <c r="C1721" s="1" t="s">
        <v>642</v>
      </c>
      <c r="D1721" s="1" t="s">
        <v>290</v>
      </c>
      <c r="E1721" s="1" t="n">
        <v>5</v>
      </c>
      <c r="F1721" s="1" t="n">
        <v>50</v>
      </c>
      <c r="G1721" s="1" t="n">
        <v>250</v>
      </c>
      <c r="H1721" s="1" t="s">
        <v>749</v>
      </c>
    </row>
    <row r="1722" customFormat="false" ht="14.25" hidden="false" customHeight="true" outlineLevel="0" collapsed="false">
      <c r="A1722" s="1" t="s">
        <v>448</v>
      </c>
      <c r="B1722" s="1" t="s">
        <v>464</v>
      </c>
      <c r="C1722" s="1" t="s">
        <v>478</v>
      </c>
      <c r="D1722" s="1" t="s">
        <v>282</v>
      </c>
      <c r="E1722" s="1" t="n">
        <v>4</v>
      </c>
      <c r="H1722" s="1" t="s">
        <v>477</v>
      </c>
    </row>
    <row r="1723" customFormat="false" ht="14.25" hidden="false" customHeight="true" outlineLevel="0" collapsed="false">
      <c r="A1723" s="1" t="s">
        <v>448</v>
      </c>
      <c r="B1723" s="1" t="s">
        <v>87</v>
      </c>
      <c r="C1723" s="1" t="s">
        <v>642</v>
      </c>
      <c r="D1723" s="1" t="s">
        <v>284</v>
      </c>
      <c r="E1723" s="1" t="n">
        <v>2</v>
      </c>
      <c r="F1723" s="1" t="n">
        <v>50</v>
      </c>
      <c r="G1723" s="1" t="n">
        <v>100</v>
      </c>
      <c r="H1723" s="1" t="s">
        <v>749</v>
      </c>
    </row>
    <row r="1724" customFormat="false" ht="14.25" hidden="false" customHeight="true" outlineLevel="0" collapsed="false">
      <c r="A1724" s="1" t="s">
        <v>448</v>
      </c>
      <c r="B1724" s="1" t="s">
        <v>87</v>
      </c>
      <c r="C1724" s="1" t="s">
        <v>642</v>
      </c>
      <c r="D1724" s="1" t="s">
        <v>285</v>
      </c>
      <c r="E1724" s="1" t="n">
        <v>1</v>
      </c>
      <c r="F1724" s="1" t="n">
        <v>50</v>
      </c>
      <c r="G1724" s="1" t="n">
        <v>50</v>
      </c>
      <c r="H1724" s="1" t="s">
        <v>749</v>
      </c>
    </row>
    <row r="1725" customFormat="false" ht="14.25" hidden="false" customHeight="true" outlineLevel="0" collapsed="false">
      <c r="A1725" s="1" t="s">
        <v>448</v>
      </c>
      <c r="B1725" s="1" t="s">
        <v>464</v>
      </c>
      <c r="C1725" s="1" t="s">
        <v>524</v>
      </c>
      <c r="D1725" s="1" t="s">
        <v>282</v>
      </c>
      <c r="E1725" s="1" t="n">
        <v>-15</v>
      </c>
      <c r="H1725" s="1" t="s">
        <v>477</v>
      </c>
    </row>
    <row r="1726" customFormat="false" ht="14.25" hidden="false" customHeight="true" outlineLevel="0" collapsed="false">
      <c r="A1726" s="1" t="s">
        <v>448</v>
      </c>
      <c r="B1726" s="1" t="s">
        <v>87</v>
      </c>
      <c r="C1726" s="1" t="s">
        <v>642</v>
      </c>
      <c r="D1726" s="1" t="s">
        <v>282</v>
      </c>
      <c r="E1726" s="1" t="n">
        <v>1</v>
      </c>
      <c r="F1726" s="1" t="n">
        <v>90</v>
      </c>
      <c r="G1726" s="1" t="n">
        <v>90</v>
      </c>
      <c r="H1726" s="1" t="s">
        <v>749</v>
      </c>
    </row>
    <row r="1727" customFormat="false" ht="14.25" hidden="false" customHeight="true" outlineLevel="0" collapsed="false">
      <c r="A1727" s="1" t="s">
        <v>448</v>
      </c>
      <c r="B1727" s="1" t="s">
        <v>87</v>
      </c>
      <c r="C1727" s="1" t="s">
        <v>642</v>
      </c>
      <c r="D1727" s="1" t="s">
        <v>282</v>
      </c>
      <c r="E1727" s="1" t="n">
        <v>2</v>
      </c>
      <c r="F1727" s="1" t="n">
        <v>10</v>
      </c>
      <c r="G1727" s="1" t="n">
        <v>20</v>
      </c>
      <c r="H1727" s="1" t="s">
        <v>749</v>
      </c>
    </row>
    <row r="1728" customFormat="false" ht="14.25" hidden="false" customHeight="true" outlineLevel="0" collapsed="false">
      <c r="A1728" s="1" t="s">
        <v>448</v>
      </c>
      <c r="B1728" s="1" t="s">
        <v>464</v>
      </c>
      <c r="C1728" s="1" t="s">
        <v>504</v>
      </c>
      <c r="D1728" s="1" t="s">
        <v>290</v>
      </c>
      <c r="E1728" s="1" t="n">
        <v>2</v>
      </c>
      <c r="H1728" s="1" t="s">
        <v>477</v>
      </c>
    </row>
    <row r="1729" customFormat="false" ht="14.25" hidden="false" customHeight="true" outlineLevel="0" collapsed="false">
      <c r="A1729" s="1" t="s">
        <v>448</v>
      </c>
      <c r="B1729" s="1" t="s">
        <v>87</v>
      </c>
      <c r="C1729" s="1" t="s">
        <v>642</v>
      </c>
      <c r="D1729" s="1" t="s">
        <v>282</v>
      </c>
      <c r="E1729" s="1" t="n">
        <v>3</v>
      </c>
      <c r="F1729" s="1" t="n">
        <v>50</v>
      </c>
      <c r="G1729" s="1" t="n">
        <v>150</v>
      </c>
      <c r="H1729" s="1" t="s">
        <v>749</v>
      </c>
    </row>
    <row r="1730" customFormat="false" ht="14.25" hidden="false" customHeight="true" outlineLevel="0" collapsed="false">
      <c r="A1730" s="1" t="s">
        <v>448</v>
      </c>
      <c r="B1730" s="1" t="s">
        <v>40</v>
      </c>
      <c r="C1730" s="1" t="s">
        <v>785</v>
      </c>
      <c r="D1730" s="1" t="s">
        <v>289</v>
      </c>
      <c r="E1730" s="1" t="n">
        <v>1</v>
      </c>
      <c r="F1730" s="1" t="n">
        <v>80</v>
      </c>
      <c r="G1730" s="1" t="n">
        <v>80</v>
      </c>
      <c r="H1730" s="1" t="s">
        <v>786</v>
      </c>
    </row>
    <row r="1731" customFormat="false" ht="14.25" hidden="false" customHeight="true" outlineLevel="0" collapsed="false">
      <c r="A1731" s="1" t="s">
        <v>448</v>
      </c>
      <c r="B1731" s="1" t="s">
        <v>464</v>
      </c>
      <c r="C1731" s="1" t="s">
        <v>511</v>
      </c>
      <c r="D1731" s="1" t="s">
        <v>284</v>
      </c>
      <c r="E1731" s="1" t="n">
        <v>1</v>
      </c>
      <c r="F1731" s="1" t="n">
        <v>434.14</v>
      </c>
      <c r="G1731" s="1" t="n">
        <v>434.14</v>
      </c>
      <c r="H1731" s="1" t="s">
        <v>769</v>
      </c>
    </row>
    <row r="1732" customFormat="false" ht="14.25" hidden="false" customHeight="true" outlineLevel="0" collapsed="false">
      <c r="A1732" s="1" t="s">
        <v>448</v>
      </c>
      <c r="B1732" s="1" t="s">
        <v>464</v>
      </c>
      <c r="C1732" s="1" t="s">
        <v>478</v>
      </c>
      <c r="D1732" s="1" t="s">
        <v>289</v>
      </c>
      <c r="E1732" s="1" t="n">
        <v>1</v>
      </c>
      <c r="H1732" s="1" t="s">
        <v>477</v>
      </c>
    </row>
    <row r="1733" customFormat="false" ht="14.25" hidden="false" customHeight="true" outlineLevel="0" collapsed="false">
      <c r="A1733" s="1" t="s">
        <v>448</v>
      </c>
      <c r="B1733" s="1" t="s">
        <v>464</v>
      </c>
      <c r="C1733" s="1" t="s">
        <v>478</v>
      </c>
      <c r="D1733" s="1" t="s">
        <v>284</v>
      </c>
      <c r="E1733" s="1" t="n">
        <v>15</v>
      </c>
      <c r="H1733" s="1" t="s">
        <v>477</v>
      </c>
    </row>
    <row r="1734" customFormat="false" ht="14.25" hidden="false" customHeight="true" outlineLevel="0" collapsed="false">
      <c r="A1734" s="1" t="s">
        <v>448</v>
      </c>
      <c r="B1734" s="1" t="s">
        <v>50</v>
      </c>
      <c r="C1734" s="1" t="s">
        <v>533</v>
      </c>
      <c r="D1734" s="1" t="s">
        <v>289</v>
      </c>
      <c r="E1734" s="1" t="n">
        <v>1</v>
      </c>
      <c r="F1734" s="1" t="n">
        <v>676.8</v>
      </c>
      <c r="G1734" s="1" t="n">
        <v>676.8</v>
      </c>
      <c r="H1734" s="1" t="s">
        <v>534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469</v>
      </c>
      <c r="D1735" s="1" t="s">
        <v>285</v>
      </c>
      <c r="E1735" s="1" t="n">
        <v>0</v>
      </c>
      <c r="F1735" s="1" t="n">
        <v>0</v>
      </c>
      <c r="G1735" s="1" t="n">
        <v>0</v>
      </c>
      <c r="H1735" s="1" t="s">
        <v>787</v>
      </c>
    </row>
    <row r="1736" customFormat="false" ht="14.25" hidden="false" customHeight="true" outlineLevel="0" collapsed="false">
      <c r="A1736" s="1" t="s">
        <v>448</v>
      </c>
      <c r="B1736" s="1" t="s">
        <v>464</v>
      </c>
      <c r="C1736" s="1" t="s">
        <v>467</v>
      </c>
      <c r="D1736" s="1" t="s">
        <v>293</v>
      </c>
      <c r="E1736" s="1" t="n">
        <v>0</v>
      </c>
      <c r="F1736" s="1" t="n">
        <v>0</v>
      </c>
      <c r="G1736" s="1" t="n">
        <v>0</v>
      </c>
      <c r="H1736" s="1" t="s">
        <v>788</v>
      </c>
    </row>
    <row r="1737" customFormat="false" ht="14.25" hidden="false" customHeight="true" outlineLevel="0" collapsed="false">
      <c r="A1737" s="1" t="s">
        <v>448</v>
      </c>
      <c r="B1737" s="1" t="s">
        <v>464</v>
      </c>
      <c r="C1737" s="1" t="s">
        <v>471</v>
      </c>
      <c r="D1737" s="1" t="s">
        <v>285</v>
      </c>
      <c r="E1737" s="1" t="n">
        <v>1</v>
      </c>
      <c r="F1737" s="1" t="n">
        <v>400.26</v>
      </c>
      <c r="G1737" s="1" t="n">
        <v>400.26</v>
      </c>
      <c r="H1737" s="1" t="s">
        <v>788</v>
      </c>
    </row>
    <row r="1738" customFormat="false" ht="14.25" hidden="false" customHeight="true" outlineLevel="0" collapsed="false">
      <c r="A1738" s="1" t="s">
        <v>448</v>
      </c>
      <c r="B1738" s="1" t="s">
        <v>32</v>
      </c>
      <c r="C1738" s="1" t="s">
        <v>620</v>
      </c>
      <c r="D1738" s="1" t="s">
        <v>289</v>
      </c>
      <c r="E1738" s="1" t="n">
        <v>0</v>
      </c>
      <c r="F1738" s="1" t="n">
        <v>0</v>
      </c>
      <c r="G1738" s="1" t="n">
        <v>0</v>
      </c>
      <c r="H1738" s="1" t="s">
        <v>621</v>
      </c>
    </row>
    <row r="1739" customFormat="false" ht="14.25" hidden="false" customHeight="true" outlineLevel="0" collapsed="false">
      <c r="A1739" s="1" t="s">
        <v>448</v>
      </c>
      <c r="B1739" s="1" t="s">
        <v>464</v>
      </c>
      <c r="C1739" s="1" t="s">
        <v>469</v>
      </c>
      <c r="D1739" s="1" t="s">
        <v>293</v>
      </c>
      <c r="E1739" s="1" t="n">
        <v>2</v>
      </c>
      <c r="F1739" s="1" t="n">
        <v>338.53</v>
      </c>
      <c r="G1739" s="1" t="n">
        <v>677.06</v>
      </c>
      <c r="H1739" s="1" t="s">
        <v>788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293</v>
      </c>
      <c r="E1740" s="1" t="n">
        <v>1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464</v>
      </c>
      <c r="C1741" s="1" t="s">
        <v>467</v>
      </c>
      <c r="D1741" s="1" t="s">
        <v>287</v>
      </c>
      <c r="E1741" s="1" t="n">
        <v>2</v>
      </c>
      <c r="F1741" s="1" t="n">
        <v>383.56</v>
      </c>
      <c r="G1741" s="1" t="n">
        <v>767.12</v>
      </c>
      <c r="H1741" s="1" t="s">
        <v>788</v>
      </c>
    </row>
    <row r="1742" customFormat="false" ht="14.25" hidden="false" customHeight="true" outlineLevel="0" collapsed="false">
      <c r="A1742" s="1" t="s">
        <v>448</v>
      </c>
      <c r="B1742" s="1" t="s">
        <v>87</v>
      </c>
      <c r="C1742" s="1" t="s">
        <v>642</v>
      </c>
      <c r="D1742" s="1" t="s">
        <v>287</v>
      </c>
      <c r="E1742" s="1" t="n">
        <v>2</v>
      </c>
      <c r="F1742" s="1" t="n">
        <v>50</v>
      </c>
      <c r="G1742" s="1" t="n">
        <v>100</v>
      </c>
      <c r="H1742" s="1" t="s">
        <v>749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467</v>
      </c>
      <c r="D1743" s="1" t="s">
        <v>282</v>
      </c>
      <c r="E1743" s="1" t="n">
        <v>1</v>
      </c>
      <c r="F1743" s="1" t="n">
        <v>383.56</v>
      </c>
      <c r="G1743" s="1" t="n">
        <v>383.56</v>
      </c>
      <c r="H1743" s="1" t="s">
        <v>789</v>
      </c>
    </row>
    <row r="1744" customFormat="false" ht="14.25" hidden="false" customHeight="true" outlineLevel="0" collapsed="false">
      <c r="A1744" s="1" t="s">
        <v>644</v>
      </c>
      <c r="B1744" s="1" t="s">
        <v>464</v>
      </c>
      <c r="C1744" s="1" t="s">
        <v>467</v>
      </c>
      <c r="D1744" s="1" t="s">
        <v>287</v>
      </c>
      <c r="E1744" s="1" t="n">
        <v>2</v>
      </c>
      <c r="F1744" s="1" t="n">
        <v>383.56</v>
      </c>
      <c r="G1744" s="1" t="n">
        <v>767.12</v>
      </c>
      <c r="H1744" s="1" t="s">
        <v>788</v>
      </c>
    </row>
    <row r="1745" customFormat="false" ht="14.25" hidden="false" customHeight="true" outlineLevel="0" collapsed="false">
      <c r="A1745" s="1" t="s">
        <v>644</v>
      </c>
      <c r="B1745" s="1" t="s">
        <v>87</v>
      </c>
      <c r="C1745" s="1" t="s">
        <v>642</v>
      </c>
      <c r="D1745" s="1" t="s">
        <v>287</v>
      </c>
      <c r="E1745" s="1" t="n">
        <v>2</v>
      </c>
      <c r="F1745" s="1" t="n">
        <v>50</v>
      </c>
      <c r="G1745" s="1" t="n">
        <v>100</v>
      </c>
      <c r="H1745" s="1" t="s">
        <v>749</v>
      </c>
    </row>
    <row r="1746" customFormat="false" ht="14.25" hidden="false" customHeight="true" outlineLevel="0" collapsed="false">
      <c r="A1746" s="1" t="s">
        <v>644</v>
      </c>
      <c r="B1746" s="1" t="s">
        <v>464</v>
      </c>
      <c r="C1746" s="1" t="s">
        <v>478</v>
      </c>
      <c r="D1746" s="1" t="s">
        <v>289</v>
      </c>
      <c r="E1746" s="1" t="n">
        <v>1</v>
      </c>
      <c r="H1746" s="1" t="s">
        <v>477</v>
      </c>
    </row>
    <row r="1747" customFormat="false" ht="14.25" hidden="false" customHeight="true" outlineLevel="0" collapsed="false">
      <c r="A1747" s="1" t="s">
        <v>644</v>
      </c>
      <c r="B1747" s="1" t="s">
        <v>40</v>
      </c>
      <c r="C1747" s="1" t="s">
        <v>785</v>
      </c>
      <c r="D1747" s="1" t="s">
        <v>289</v>
      </c>
      <c r="E1747" s="1" t="n">
        <v>0</v>
      </c>
      <c r="F1747" s="1" t="n">
        <v>0</v>
      </c>
      <c r="G1747" s="1" t="n">
        <v>0</v>
      </c>
      <c r="H1747" s="1" t="s">
        <v>786</v>
      </c>
    </row>
    <row r="1748" customFormat="false" ht="14.25" hidden="false" customHeight="true" outlineLevel="0" collapsed="false">
      <c r="A1748" s="1" t="s">
        <v>644</v>
      </c>
      <c r="B1748" s="1" t="s">
        <v>50</v>
      </c>
      <c r="C1748" s="1" t="s">
        <v>533</v>
      </c>
      <c r="D1748" s="1" t="s">
        <v>289</v>
      </c>
      <c r="E1748" s="1" t="n">
        <v>1</v>
      </c>
      <c r="F1748" s="1" t="n">
        <v>676.8</v>
      </c>
      <c r="G1748" s="1" t="n">
        <v>676.8</v>
      </c>
      <c r="H1748" s="1" t="s">
        <v>534</v>
      </c>
    </row>
    <row r="1749" customFormat="false" ht="14.25" hidden="false" customHeight="true" outlineLevel="0" collapsed="false">
      <c r="A1749" s="1" t="s">
        <v>644</v>
      </c>
      <c r="B1749" s="1" t="s">
        <v>624</v>
      </c>
      <c r="C1749" s="1" t="s">
        <v>625</v>
      </c>
      <c r="D1749" s="1" t="s">
        <v>289</v>
      </c>
      <c r="E1749" s="1" t="n">
        <v>13402</v>
      </c>
      <c r="F1749" s="1" t="n">
        <v>2.64</v>
      </c>
      <c r="G1749" s="1" t="n">
        <v>35381.28</v>
      </c>
      <c r="H1749" s="1" t="s">
        <v>451</v>
      </c>
    </row>
    <row r="1750" customFormat="false" ht="14.25" hidden="false" customHeight="true" outlineLevel="0" collapsed="false">
      <c r="A1750" s="1" t="s">
        <v>644</v>
      </c>
      <c r="B1750" s="1" t="s">
        <v>32</v>
      </c>
      <c r="C1750" s="1" t="s">
        <v>620</v>
      </c>
      <c r="D1750" s="1" t="s">
        <v>289</v>
      </c>
      <c r="E1750" s="1" t="n">
        <v>0</v>
      </c>
      <c r="F1750" s="1" t="n">
        <v>0</v>
      </c>
      <c r="G1750" s="1" t="n">
        <v>0</v>
      </c>
      <c r="H1750" s="1" t="s">
        <v>621</v>
      </c>
    </row>
    <row r="1751" customFormat="false" ht="14.25" hidden="false" customHeight="true" outlineLevel="0" collapsed="false">
      <c r="A1751" s="1" t="s">
        <v>644</v>
      </c>
      <c r="B1751" s="1" t="s">
        <v>87</v>
      </c>
      <c r="C1751" s="1" t="s">
        <v>642</v>
      </c>
      <c r="D1751" s="1" t="s">
        <v>289</v>
      </c>
      <c r="E1751" s="1" t="n">
        <v>2</v>
      </c>
      <c r="F1751" s="1" t="n">
        <v>50</v>
      </c>
      <c r="G1751" s="1" t="n">
        <v>100</v>
      </c>
      <c r="H1751" s="1" t="s">
        <v>749</v>
      </c>
    </row>
    <row r="1752" customFormat="false" ht="14.25" hidden="false" customHeight="true" outlineLevel="0" collapsed="false">
      <c r="A1752" s="1" t="s">
        <v>644</v>
      </c>
      <c r="B1752" s="1" t="s">
        <v>464</v>
      </c>
      <c r="C1752" s="1" t="s">
        <v>467</v>
      </c>
      <c r="D1752" s="1" t="s">
        <v>293</v>
      </c>
      <c r="E1752" s="1" t="n">
        <v>0</v>
      </c>
      <c r="F1752" s="1" t="n">
        <v>0</v>
      </c>
      <c r="G1752" s="1" t="n">
        <v>0</v>
      </c>
      <c r="H1752" s="1" t="s">
        <v>788</v>
      </c>
    </row>
    <row r="1753" customFormat="false" ht="14.25" hidden="false" customHeight="true" outlineLevel="0" collapsed="false">
      <c r="A1753" s="1" t="s">
        <v>644</v>
      </c>
      <c r="B1753" s="1" t="s">
        <v>464</v>
      </c>
      <c r="C1753" s="1" t="s">
        <v>469</v>
      </c>
      <c r="D1753" s="1" t="s">
        <v>293</v>
      </c>
      <c r="E1753" s="1" t="n">
        <v>2</v>
      </c>
      <c r="F1753" s="1" t="n">
        <v>338.53</v>
      </c>
      <c r="G1753" s="1" t="n">
        <v>677.06</v>
      </c>
      <c r="H1753" s="1" t="s">
        <v>788</v>
      </c>
    </row>
    <row r="1754" customFormat="false" ht="14.25" hidden="false" customHeight="true" outlineLevel="0" collapsed="false">
      <c r="A1754" s="1" t="s">
        <v>644</v>
      </c>
      <c r="B1754" s="1" t="s">
        <v>464</v>
      </c>
      <c r="C1754" s="1" t="s">
        <v>478</v>
      </c>
      <c r="D1754" s="1" t="s">
        <v>293</v>
      </c>
      <c r="E1754" s="1" t="n">
        <v>1</v>
      </c>
      <c r="H1754" s="1" t="s">
        <v>477</v>
      </c>
    </row>
    <row r="1755" customFormat="false" ht="14.25" hidden="false" customHeight="true" outlineLevel="0" collapsed="false">
      <c r="A1755" s="1" t="s">
        <v>644</v>
      </c>
      <c r="B1755" s="1" t="s">
        <v>87</v>
      </c>
      <c r="C1755" s="1" t="s">
        <v>642</v>
      </c>
      <c r="D1755" s="1" t="s">
        <v>293</v>
      </c>
      <c r="E1755" s="1" t="n">
        <v>1</v>
      </c>
      <c r="F1755" s="1" t="n">
        <v>10</v>
      </c>
      <c r="G1755" s="1" t="n">
        <v>10</v>
      </c>
      <c r="H1755" s="1" t="s">
        <v>749</v>
      </c>
    </row>
    <row r="1756" customFormat="false" ht="14.25" hidden="false" customHeight="true" outlineLevel="0" collapsed="false">
      <c r="A1756" s="1" t="s">
        <v>644</v>
      </c>
      <c r="B1756" s="1" t="s">
        <v>464</v>
      </c>
      <c r="C1756" s="1" t="s">
        <v>504</v>
      </c>
      <c r="D1756" s="1" t="s">
        <v>290</v>
      </c>
      <c r="E1756" s="1" t="n">
        <v>2</v>
      </c>
      <c r="H1756" s="1" t="s">
        <v>477</v>
      </c>
    </row>
    <row r="1757" customFormat="false" ht="14.25" hidden="false" customHeight="true" outlineLevel="0" collapsed="false">
      <c r="A1757" s="1" t="s">
        <v>644</v>
      </c>
      <c r="B1757" s="1" t="s">
        <v>87</v>
      </c>
      <c r="C1757" s="1" t="s">
        <v>642</v>
      </c>
      <c r="D1757" s="1" t="s">
        <v>290</v>
      </c>
      <c r="E1757" s="1" t="n">
        <v>1</v>
      </c>
      <c r="F1757" s="1" t="n">
        <v>10</v>
      </c>
      <c r="G1757" s="1" t="n">
        <v>10</v>
      </c>
      <c r="H1757" s="1" t="s">
        <v>749</v>
      </c>
    </row>
    <row r="1758" customFormat="false" ht="14.25" hidden="false" customHeight="true" outlineLevel="0" collapsed="false">
      <c r="A1758" s="1" t="s">
        <v>644</v>
      </c>
      <c r="B1758" s="1" t="s">
        <v>87</v>
      </c>
      <c r="C1758" s="1" t="s">
        <v>642</v>
      </c>
      <c r="D1758" s="1" t="s">
        <v>290</v>
      </c>
      <c r="E1758" s="1" t="n">
        <v>5</v>
      </c>
      <c r="F1758" s="1" t="n">
        <v>50</v>
      </c>
      <c r="G1758" s="1" t="n">
        <v>250</v>
      </c>
      <c r="H1758" s="1" t="s">
        <v>749</v>
      </c>
    </row>
    <row r="1759" customFormat="false" ht="14.25" hidden="false" customHeight="true" outlineLevel="0" collapsed="false">
      <c r="A1759" s="1" t="s">
        <v>644</v>
      </c>
      <c r="B1759" s="1" t="s">
        <v>464</v>
      </c>
      <c r="C1759" s="1" t="s">
        <v>511</v>
      </c>
      <c r="D1759" s="1" t="s">
        <v>284</v>
      </c>
      <c r="E1759" s="1" t="n">
        <v>1</v>
      </c>
      <c r="F1759" s="1" t="n">
        <v>443</v>
      </c>
      <c r="G1759" s="1" t="n">
        <v>443</v>
      </c>
      <c r="H1759" s="1" t="s">
        <v>769</v>
      </c>
    </row>
    <row r="1760" customFormat="false" ht="14.25" hidden="false" customHeight="true" outlineLevel="0" collapsed="false">
      <c r="A1760" s="1" t="s">
        <v>644</v>
      </c>
      <c r="B1760" s="1" t="s">
        <v>464</v>
      </c>
      <c r="C1760" s="1" t="s">
        <v>478</v>
      </c>
      <c r="D1760" s="1" t="s">
        <v>284</v>
      </c>
      <c r="E1760" s="1" t="n">
        <v>15</v>
      </c>
      <c r="H1760" s="1" t="s">
        <v>477</v>
      </c>
    </row>
    <row r="1761" customFormat="false" ht="14.25" hidden="false" customHeight="true" outlineLevel="0" collapsed="false">
      <c r="A1761" s="1" t="s">
        <v>644</v>
      </c>
      <c r="B1761" s="1" t="s">
        <v>87</v>
      </c>
      <c r="C1761" s="1" t="s">
        <v>642</v>
      </c>
      <c r="D1761" s="1" t="s">
        <v>284</v>
      </c>
      <c r="E1761" s="1" t="n">
        <v>2</v>
      </c>
      <c r="F1761" s="1" t="n">
        <v>50</v>
      </c>
      <c r="G1761" s="1" t="n">
        <v>100</v>
      </c>
      <c r="H1761" s="1" t="s">
        <v>749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469</v>
      </c>
      <c r="D1762" s="1" t="s">
        <v>285</v>
      </c>
      <c r="E1762" s="1" t="n">
        <v>0</v>
      </c>
      <c r="F1762" s="1" t="n">
        <v>0</v>
      </c>
      <c r="G1762" s="1" t="n">
        <v>0</v>
      </c>
      <c r="H1762" s="1" t="s">
        <v>787</v>
      </c>
    </row>
    <row r="1763" customFormat="false" ht="14.25" hidden="false" customHeight="true" outlineLevel="0" collapsed="false">
      <c r="A1763" s="1" t="s">
        <v>644</v>
      </c>
      <c r="B1763" s="1" t="s">
        <v>464</v>
      </c>
      <c r="C1763" s="1" t="s">
        <v>471</v>
      </c>
      <c r="D1763" s="1" t="s">
        <v>285</v>
      </c>
      <c r="E1763" s="1" t="n">
        <v>1</v>
      </c>
      <c r="F1763" s="1" t="n">
        <v>400.26</v>
      </c>
      <c r="G1763" s="1" t="n">
        <v>400.26</v>
      </c>
      <c r="H1763" s="1" t="s">
        <v>788</v>
      </c>
    </row>
    <row r="1764" customFormat="false" ht="14.25" hidden="false" customHeight="true" outlineLevel="0" collapsed="false">
      <c r="A1764" s="1" t="s">
        <v>644</v>
      </c>
      <c r="B1764" s="1" t="s">
        <v>87</v>
      </c>
      <c r="C1764" s="1" t="s">
        <v>642</v>
      </c>
      <c r="D1764" s="1" t="s">
        <v>285</v>
      </c>
      <c r="E1764" s="1" t="n">
        <v>1</v>
      </c>
      <c r="F1764" s="1" t="n">
        <v>50</v>
      </c>
      <c r="G1764" s="1" t="n">
        <v>50</v>
      </c>
      <c r="H1764" s="1" t="s">
        <v>749</v>
      </c>
    </row>
    <row r="1765" customFormat="false" ht="14.25" hidden="false" customHeight="true" outlineLevel="0" collapsed="false">
      <c r="A1765" s="1" t="s">
        <v>644</v>
      </c>
      <c r="B1765" s="1" t="s">
        <v>464</v>
      </c>
      <c r="C1765" s="1" t="s">
        <v>467</v>
      </c>
      <c r="D1765" s="1" t="s">
        <v>282</v>
      </c>
      <c r="E1765" s="1" t="n">
        <v>1</v>
      </c>
      <c r="F1765" s="1" t="n">
        <v>383.56</v>
      </c>
      <c r="G1765" s="1" t="n">
        <v>383.56</v>
      </c>
      <c r="H1765" s="1" t="s">
        <v>789</v>
      </c>
    </row>
    <row r="1766" customFormat="false" ht="14.25" hidden="false" customHeight="true" outlineLevel="0" collapsed="false">
      <c r="A1766" s="1" t="s">
        <v>644</v>
      </c>
      <c r="B1766" s="1" t="s">
        <v>464</v>
      </c>
      <c r="C1766" s="1" t="s">
        <v>469</v>
      </c>
      <c r="D1766" s="1" t="s">
        <v>282</v>
      </c>
      <c r="E1766" s="1" t="n">
        <v>2</v>
      </c>
      <c r="F1766" s="1" t="n">
        <v>338.53</v>
      </c>
      <c r="G1766" s="1" t="n">
        <v>677.06</v>
      </c>
      <c r="H1766" s="1" t="s">
        <v>783</v>
      </c>
    </row>
    <row r="1767" customFormat="false" ht="14.25" hidden="false" customHeight="true" outlineLevel="0" collapsed="false">
      <c r="A1767" s="1" t="s">
        <v>644</v>
      </c>
      <c r="B1767" s="1" t="s">
        <v>464</v>
      </c>
      <c r="C1767" s="1" t="s">
        <v>471</v>
      </c>
      <c r="D1767" s="1" t="s">
        <v>282</v>
      </c>
      <c r="E1767" s="1" t="n">
        <v>2</v>
      </c>
      <c r="F1767" s="1" t="n">
        <v>400.26</v>
      </c>
      <c r="G1767" s="1" t="n">
        <v>800.52</v>
      </c>
      <c r="H1767" s="1" t="s">
        <v>784</v>
      </c>
    </row>
    <row r="1768" customFormat="false" ht="14.25" hidden="false" customHeight="true" outlineLevel="0" collapsed="false">
      <c r="A1768" s="1" t="s">
        <v>644</v>
      </c>
      <c r="B1768" s="1" t="s">
        <v>464</v>
      </c>
      <c r="C1768" s="1" t="s">
        <v>478</v>
      </c>
      <c r="D1768" s="1" t="s">
        <v>282</v>
      </c>
      <c r="E1768" s="1" t="n">
        <v>4</v>
      </c>
      <c r="H1768" s="1" t="s">
        <v>477</v>
      </c>
    </row>
    <row r="1769" customFormat="false" ht="14.25" hidden="false" customHeight="true" outlineLevel="0" collapsed="false">
      <c r="A1769" s="1" t="s">
        <v>644</v>
      </c>
      <c r="B1769" s="1" t="s">
        <v>464</v>
      </c>
      <c r="C1769" s="1" t="s">
        <v>524</v>
      </c>
      <c r="D1769" s="1" t="s">
        <v>282</v>
      </c>
      <c r="E1769" s="1" t="n">
        <v>-15</v>
      </c>
      <c r="H1769" s="1" t="s">
        <v>477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282</v>
      </c>
      <c r="E1770" s="1" t="n">
        <v>1</v>
      </c>
      <c r="F1770" s="1" t="n">
        <v>90</v>
      </c>
      <c r="G1770" s="1" t="n">
        <v>90</v>
      </c>
      <c r="H1770" s="1" t="s">
        <v>749</v>
      </c>
    </row>
    <row r="1771" customFormat="false" ht="14.25" hidden="false" customHeight="true" outlineLevel="0" collapsed="false">
      <c r="A1771" s="1" t="s">
        <v>644</v>
      </c>
      <c r="B1771" s="1" t="s">
        <v>87</v>
      </c>
      <c r="C1771" s="1" t="s">
        <v>642</v>
      </c>
      <c r="D1771" s="1" t="s">
        <v>282</v>
      </c>
      <c r="E1771" s="1" t="n">
        <v>2</v>
      </c>
      <c r="F1771" s="1" t="n">
        <v>10</v>
      </c>
      <c r="G1771" s="1" t="n">
        <v>20</v>
      </c>
      <c r="H1771" s="1" t="s">
        <v>749</v>
      </c>
    </row>
    <row r="1772" customFormat="false" ht="14.25" hidden="false" customHeight="true" outlineLevel="0" collapsed="false">
      <c r="A1772" s="1" t="s">
        <v>644</v>
      </c>
      <c r="B1772" s="1" t="s">
        <v>87</v>
      </c>
      <c r="C1772" s="1" t="s">
        <v>642</v>
      </c>
      <c r="D1772" s="1" t="s">
        <v>282</v>
      </c>
      <c r="E1772" s="1" t="n">
        <v>3</v>
      </c>
      <c r="F1772" s="1" t="n">
        <v>50</v>
      </c>
      <c r="G1772" s="1" t="n">
        <v>150</v>
      </c>
      <c r="H1772" s="1" t="s">
        <v>749</v>
      </c>
    </row>
    <row r="1773" customFormat="false" ht="14.25" hidden="false" customHeight="true" outlineLevel="0" collapsed="false">
      <c r="A1773" s="1" t="s">
        <v>655</v>
      </c>
      <c r="B1773" s="1" t="s">
        <v>464</v>
      </c>
      <c r="C1773" s="1" t="s">
        <v>467</v>
      </c>
      <c r="D1773" s="1" t="s">
        <v>287</v>
      </c>
      <c r="E1773" s="1" t="n">
        <v>0</v>
      </c>
      <c r="F1773" s="1" t="n">
        <v>0</v>
      </c>
      <c r="G1773" s="1" t="n">
        <v>0</v>
      </c>
      <c r="H1773" s="1" t="s">
        <v>788</v>
      </c>
    </row>
    <row r="1774" customFormat="false" ht="14.25" hidden="false" customHeight="true" outlineLevel="0" collapsed="false">
      <c r="A1774" s="1" t="s">
        <v>655</v>
      </c>
      <c r="B1774" s="1" t="s">
        <v>464</v>
      </c>
      <c r="C1774" s="1" t="s">
        <v>660</v>
      </c>
      <c r="D1774" s="1" t="s">
        <v>287</v>
      </c>
      <c r="E1774" s="1" t="n">
        <v>-1</v>
      </c>
      <c r="F1774" s="1" t="n">
        <v>206.78</v>
      </c>
      <c r="G1774" s="1" t="n">
        <v>-206.78</v>
      </c>
      <c r="H1774" s="1" t="s">
        <v>742</v>
      </c>
    </row>
    <row r="1775" customFormat="false" ht="14.25" hidden="false" customHeight="true" outlineLevel="0" collapsed="false">
      <c r="A1775" s="1" t="s">
        <v>655</v>
      </c>
      <c r="B1775" s="1" t="s">
        <v>87</v>
      </c>
      <c r="C1775" s="1" t="s">
        <v>642</v>
      </c>
      <c r="D1775" s="1" t="s">
        <v>287</v>
      </c>
      <c r="E1775" s="1" t="n">
        <v>2</v>
      </c>
      <c r="F1775" s="1" t="n">
        <v>50</v>
      </c>
      <c r="G1775" s="1" t="n">
        <v>100</v>
      </c>
      <c r="H1775" s="1" t="s">
        <v>749</v>
      </c>
    </row>
    <row r="1776" customFormat="false" ht="14.25" hidden="false" customHeight="true" outlineLevel="0" collapsed="false">
      <c r="A1776" s="1" t="s">
        <v>655</v>
      </c>
      <c r="B1776" s="1" t="s">
        <v>50</v>
      </c>
      <c r="C1776" s="1" t="s">
        <v>533</v>
      </c>
      <c r="D1776" s="1" t="s">
        <v>289</v>
      </c>
      <c r="E1776" s="1" t="n">
        <v>0</v>
      </c>
      <c r="F1776" s="1" t="n">
        <v>0</v>
      </c>
      <c r="G1776" s="1" t="n">
        <v>0</v>
      </c>
      <c r="H1776" s="1" t="s">
        <v>534</v>
      </c>
    </row>
    <row r="1777" customFormat="false" ht="14.25" hidden="false" customHeight="true" outlineLevel="0" collapsed="false">
      <c r="A1777" s="1" t="s">
        <v>655</v>
      </c>
      <c r="B1777" s="1" t="s">
        <v>624</v>
      </c>
      <c r="C1777" s="1" t="s">
        <v>625</v>
      </c>
      <c r="D1777" s="1" t="s">
        <v>289</v>
      </c>
      <c r="E1777" s="1" t="n">
        <v>13418</v>
      </c>
      <c r="F1777" s="1" t="n">
        <v>3.23223677486643</v>
      </c>
      <c r="G1777" s="1" t="n">
        <v>43370.1530451578</v>
      </c>
      <c r="H1777" s="1" t="s">
        <v>451</v>
      </c>
    </row>
    <row r="1778" customFormat="false" ht="14.25" hidden="false" customHeight="true" outlineLevel="0" collapsed="false">
      <c r="A1778" s="1" t="s">
        <v>655</v>
      </c>
      <c r="B1778" s="1" t="s">
        <v>32</v>
      </c>
      <c r="C1778" s="1" t="s">
        <v>620</v>
      </c>
      <c r="D1778" s="1" t="s">
        <v>289</v>
      </c>
      <c r="E1778" s="1" t="n">
        <v>0</v>
      </c>
      <c r="F1778" s="1" t="n">
        <v>0</v>
      </c>
      <c r="G1778" s="1" t="n">
        <v>0</v>
      </c>
      <c r="H1778" s="1" t="s">
        <v>621</v>
      </c>
    </row>
    <row r="1779" customFormat="false" ht="14.25" hidden="false" customHeight="true" outlineLevel="0" collapsed="false">
      <c r="A1779" s="1" t="s">
        <v>655</v>
      </c>
      <c r="B1779" s="1" t="s">
        <v>87</v>
      </c>
      <c r="C1779" s="1" t="s">
        <v>642</v>
      </c>
      <c r="D1779" s="1" t="s">
        <v>289</v>
      </c>
      <c r="E1779" s="1" t="n">
        <v>2</v>
      </c>
      <c r="F1779" s="1" t="n">
        <v>50</v>
      </c>
      <c r="G1779" s="1" t="n">
        <v>100</v>
      </c>
      <c r="H1779" s="1" t="s">
        <v>749</v>
      </c>
    </row>
    <row r="1780" customFormat="false" ht="14.25" hidden="false" customHeight="true" outlineLevel="0" collapsed="false">
      <c r="A1780" s="1" t="s">
        <v>655</v>
      </c>
      <c r="B1780" s="1" t="s">
        <v>464</v>
      </c>
      <c r="C1780" s="1" t="s">
        <v>467</v>
      </c>
      <c r="D1780" s="1" t="s">
        <v>293</v>
      </c>
      <c r="E1780" s="1" t="n">
        <v>1</v>
      </c>
      <c r="F1780" s="1" t="n">
        <v>393.04</v>
      </c>
      <c r="G1780" s="1" t="n">
        <v>393.04</v>
      </c>
      <c r="H1780" s="1" t="s">
        <v>788</v>
      </c>
    </row>
    <row r="1781" customFormat="false" ht="14.25" hidden="false" customHeight="true" outlineLevel="0" collapsed="false">
      <c r="A1781" s="1" t="s">
        <v>655</v>
      </c>
      <c r="B1781" s="1" t="s">
        <v>464</v>
      </c>
      <c r="C1781" s="1" t="s">
        <v>469</v>
      </c>
      <c r="D1781" s="1" t="s">
        <v>293</v>
      </c>
      <c r="E1781" s="1" t="n">
        <v>1</v>
      </c>
      <c r="F1781" s="1" t="n">
        <v>439.28</v>
      </c>
      <c r="G1781" s="1" t="n">
        <v>439.28</v>
      </c>
      <c r="H1781" s="1" t="s">
        <v>788</v>
      </c>
    </row>
    <row r="1782" customFormat="false" ht="14.25" hidden="false" customHeight="true" outlineLevel="0" collapsed="false">
      <c r="A1782" s="1" t="s">
        <v>655</v>
      </c>
      <c r="B1782" s="1" t="s">
        <v>87</v>
      </c>
      <c r="C1782" s="1" t="s">
        <v>642</v>
      </c>
      <c r="D1782" s="1" t="s">
        <v>293</v>
      </c>
      <c r="E1782" s="1" t="n">
        <v>1</v>
      </c>
      <c r="F1782" s="1" t="n">
        <v>10</v>
      </c>
      <c r="G1782" s="1" t="n">
        <v>10</v>
      </c>
      <c r="H1782" s="1" t="s">
        <v>749</v>
      </c>
    </row>
    <row r="1783" customFormat="false" ht="14.25" hidden="false" customHeight="true" outlineLevel="0" collapsed="false">
      <c r="A1783" s="1" t="s">
        <v>655</v>
      </c>
      <c r="B1783" s="1" t="s">
        <v>87</v>
      </c>
      <c r="C1783" s="1" t="s">
        <v>642</v>
      </c>
      <c r="D1783" s="1" t="s">
        <v>290</v>
      </c>
      <c r="E1783" s="1" t="n">
        <v>1</v>
      </c>
      <c r="F1783" s="1" t="n">
        <v>10</v>
      </c>
      <c r="G1783" s="1" t="n">
        <v>10</v>
      </c>
      <c r="H1783" s="1" t="s">
        <v>749</v>
      </c>
    </row>
    <row r="1784" customFormat="false" ht="14.25" hidden="false" customHeight="true" outlineLevel="0" collapsed="false">
      <c r="A1784" s="1" t="s">
        <v>655</v>
      </c>
      <c r="B1784" s="1" t="s">
        <v>87</v>
      </c>
      <c r="C1784" s="1" t="s">
        <v>642</v>
      </c>
      <c r="D1784" s="1" t="s">
        <v>290</v>
      </c>
      <c r="E1784" s="1" t="n">
        <v>5</v>
      </c>
      <c r="F1784" s="1" t="n">
        <v>50</v>
      </c>
      <c r="G1784" s="1" t="n">
        <v>250</v>
      </c>
      <c r="H1784" s="1" t="s">
        <v>749</v>
      </c>
    </row>
    <row r="1785" customFormat="false" ht="14.25" hidden="false" customHeight="true" outlineLevel="0" collapsed="false">
      <c r="A1785" s="1" t="s">
        <v>655</v>
      </c>
      <c r="B1785" s="1" t="s">
        <v>464</v>
      </c>
      <c r="C1785" s="1" t="s">
        <v>511</v>
      </c>
      <c r="D1785" s="1" t="s">
        <v>284</v>
      </c>
      <c r="E1785" s="1" t="n">
        <v>1</v>
      </c>
      <c r="F1785" s="1" t="n">
        <v>738.92</v>
      </c>
      <c r="G1785" s="1" t="n">
        <v>738.92</v>
      </c>
      <c r="H1785" s="1" t="s">
        <v>769</v>
      </c>
    </row>
    <row r="1786" customFormat="false" ht="14.25" hidden="false" customHeight="true" outlineLevel="0" collapsed="false">
      <c r="A1786" s="1" t="s">
        <v>655</v>
      </c>
      <c r="B1786" s="1" t="s">
        <v>87</v>
      </c>
      <c r="C1786" s="1" t="s">
        <v>642</v>
      </c>
      <c r="D1786" s="1" t="s">
        <v>284</v>
      </c>
      <c r="E1786" s="1" t="n">
        <v>2</v>
      </c>
      <c r="F1786" s="1" t="n">
        <v>50</v>
      </c>
      <c r="G1786" s="1" t="n">
        <v>100</v>
      </c>
      <c r="H1786" s="1" t="s">
        <v>749</v>
      </c>
    </row>
    <row r="1787" customFormat="false" ht="14.25" hidden="false" customHeight="true" outlineLevel="0" collapsed="false">
      <c r="A1787" s="1" t="s">
        <v>655</v>
      </c>
      <c r="B1787" s="1" t="s">
        <v>464</v>
      </c>
      <c r="C1787" s="1" t="s">
        <v>469</v>
      </c>
      <c r="D1787" s="1" t="s">
        <v>285</v>
      </c>
      <c r="E1787" s="1" t="n">
        <v>0</v>
      </c>
      <c r="F1787" s="1" t="n">
        <v>0</v>
      </c>
      <c r="G1787" s="1" t="n">
        <v>0</v>
      </c>
      <c r="H1787" s="1" t="s">
        <v>787</v>
      </c>
    </row>
    <row r="1788" customFormat="false" ht="14.25" hidden="false" customHeight="true" outlineLevel="0" collapsed="false">
      <c r="A1788" s="1" t="s">
        <v>655</v>
      </c>
      <c r="B1788" s="1" t="s">
        <v>464</v>
      </c>
      <c r="C1788" s="1" t="s">
        <v>471</v>
      </c>
      <c r="D1788" s="1" t="s">
        <v>285</v>
      </c>
      <c r="E1788" s="1" t="n">
        <v>0</v>
      </c>
      <c r="F1788" s="1" t="n">
        <v>0</v>
      </c>
      <c r="G1788" s="1" t="n">
        <v>0</v>
      </c>
      <c r="H1788" s="1" t="s">
        <v>788</v>
      </c>
    </row>
    <row r="1789" customFormat="false" ht="14.25" hidden="false" customHeight="true" outlineLevel="0" collapsed="false">
      <c r="A1789" s="1" t="s">
        <v>655</v>
      </c>
      <c r="B1789" s="1" t="s">
        <v>87</v>
      </c>
      <c r="C1789" s="1" t="s">
        <v>642</v>
      </c>
      <c r="D1789" s="1" t="s">
        <v>285</v>
      </c>
      <c r="E1789" s="1" t="n">
        <v>1</v>
      </c>
      <c r="F1789" s="1" t="n">
        <v>50</v>
      </c>
      <c r="G1789" s="1" t="n">
        <v>50</v>
      </c>
      <c r="H1789" s="1" t="s">
        <v>749</v>
      </c>
    </row>
    <row r="1790" customFormat="false" ht="14.25" hidden="false" customHeight="true" outlineLevel="0" collapsed="false">
      <c r="A1790" s="1" t="s">
        <v>655</v>
      </c>
      <c r="B1790" s="1" t="s">
        <v>464</v>
      </c>
      <c r="C1790" s="1" t="s">
        <v>467</v>
      </c>
      <c r="D1790" s="1" t="s">
        <v>282</v>
      </c>
      <c r="E1790" s="1" t="n">
        <v>3</v>
      </c>
      <c r="F1790" s="1" t="n">
        <v>393.04</v>
      </c>
      <c r="G1790" s="1" t="n">
        <v>1179.12</v>
      </c>
      <c r="H1790" s="1" t="s">
        <v>787</v>
      </c>
    </row>
    <row r="1791" customFormat="false" ht="14.25" hidden="false" customHeight="true" outlineLevel="0" collapsed="false">
      <c r="A1791" s="1" t="s">
        <v>655</v>
      </c>
      <c r="B1791" s="1" t="s">
        <v>464</v>
      </c>
      <c r="C1791" s="1" t="s">
        <v>469</v>
      </c>
      <c r="D1791" s="1" t="s">
        <v>282</v>
      </c>
      <c r="E1791" s="1" t="n">
        <v>2</v>
      </c>
      <c r="F1791" s="1" t="n">
        <v>439.28</v>
      </c>
      <c r="G1791" s="1" t="n">
        <v>878.56</v>
      </c>
      <c r="H1791" s="1" t="s">
        <v>788</v>
      </c>
    </row>
    <row r="1792" customFormat="false" ht="14.25" hidden="false" customHeight="true" outlineLevel="0" collapsed="false">
      <c r="A1792" s="1" t="s">
        <v>655</v>
      </c>
      <c r="B1792" s="1" t="s">
        <v>464</v>
      </c>
      <c r="C1792" s="1" t="s">
        <v>471</v>
      </c>
      <c r="D1792" s="1" t="s">
        <v>282</v>
      </c>
      <c r="E1792" s="1" t="n">
        <v>3</v>
      </c>
      <c r="F1792" s="1" t="n">
        <v>407.27</v>
      </c>
      <c r="G1792" s="1" t="n">
        <v>1221.81</v>
      </c>
      <c r="H1792" s="1" t="s">
        <v>787</v>
      </c>
    </row>
    <row r="1793" customFormat="false" ht="14.25" hidden="false" customHeight="true" outlineLevel="0" collapsed="false">
      <c r="A1793" s="1" t="s">
        <v>655</v>
      </c>
      <c r="B1793" s="1" t="s">
        <v>87</v>
      </c>
      <c r="C1793" s="1" t="s">
        <v>642</v>
      </c>
      <c r="D1793" s="1" t="s">
        <v>282</v>
      </c>
      <c r="E1793" s="1" t="n">
        <v>1</v>
      </c>
      <c r="F1793" s="1" t="n">
        <v>90</v>
      </c>
      <c r="G1793" s="1" t="n">
        <v>90</v>
      </c>
      <c r="H1793" s="1" t="s">
        <v>749</v>
      </c>
    </row>
    <row r="1794" customFormat="false" ht="14.25" hidden="false" customHeight="true" outlineLevel="0" collapsed="false">
      <c r="A1794" s="1" t="s">
        <v>655</v>
      </c>
      <c r="B1794" s="1" t="s">
        <v>87</v>
      </c>
      <c r="C1794" s="1" t="s">
        <v>642</v>
      </c>
      <c r="D1794" s="1" t="s">
        <v>282</v>
      </c>
      <c r="E1794" s="1" t="n">
        <v>2</v>
      </c>
      <c r="F1794" s="1" t="n">
        <v>10</v>
      </c>
      <c r="G1794" s="1" t="n">
        <v>20</v>
      </c>
      <c r="H1794" s="1" t="s">
        <v>749</v>
      </c>
    </row>
    <row r="1795" customFormat="false" ht="14.25" hidden="false" customHeight="true" outlineLevel="0" collapsed="false">
      <c r="A1795" s="1" t="s">
        <v>655</v>
      </c>
      <c r="B1795" s="1" t="s">
        <v>87</v>
      </c>
      <c r="C1795" s="1" t="s">
        <v>642</v>
      </c>
      <c r="D1795" s="1" t="s">
        <v>282</v>
      </c>
      <c r="E1795" s="1" t="n">
        <v>3</v>
      </c>
      <c r="F1795" s="1" t="n">
        <v>50</v>
      </c>
      <c r="G1795" s="1" t="n">
        <v>150</v>
      </c>
      <c r="H1795" s="1" t="s">
        <v>749</v>
      </c>
    </row>
    <row r="1796" customFormat="false" ht="14.25" hidden="false" customHeight="true" outlineLevel="0" collapsed="false">
      <c r="A1796" s="1" t="s">
        <v>682</v>
      </c>
      <c r="B1796" s="1" t="s">
        <v>85</v>
      </c>
      <c r="C1796" s="1" t="s">
        <v>615</v>
      </c>
      <c r="D1796" s="1" t="s">
        <v>275</v>
      </c>
      <c r="E1796" s="1" t="n">
        <v>1</v>
      </c>
      <c r="F1796" s="1" t="n">
        <v>131.1</v>
      </c>
      <c r="G1796" s="1" t="n">
        <v>131.1</v>
      </c>
      <c r="H1796" s="1" t="s">
        <v>740</v>
      </c>
    </row>
    <row r="1797" customFormat="false" ht="14.25" hidden="false" customHeight="true" outlineLevel="0" collapsed="false">
      <c r="A1797" s="1" t="s">
        <v>682</v>
      </c>
      <c r="B1797" s="1" t="s">
        <v>464</v>
      </c>
      <c r="C1797" s="1" t="s">
        <v>660</v>
      </c>
      <c r="D1797" s="1" t="s">
        <v>287</v>
      </c>
      <c r="E1797" s="1" t="n">
        <v>0</v>
      </c>
      <c r="F1797" s="1" t="n">
        <v>0</v>
      </c>
      <c r="G1797" s="1" t="n">
        <v>0</v>
      </c>
      <c r="H1797" s="1" t="s">
        <v>742</v>
      </c>
    </row>
    <row r="1798" customFormat="false" ht="14.25" hidden="false" customHeight="true" outlineLevel="0" collapsed="false">
      <c r="A1798" s="1" t="s">
        <v>682</v>
      </c>
      <c r="B1798" s="1" t="s">
        <v>464</v>
      </c>
      <c r="C1798" s="1" t="s">
        <v>476</v>
      </c>
      <c r="D1798" s="1" t="s">
        <v>287</v>
      </c>
      <c r="E1798" s="1" t="n">
        <v>-1</v>
      </c>
      <c r="F1798" s="1" t="n">
        <v>330.85192</v>
      </c>
      <c r="G1798" s="1" t="n">
        <v>-330.85192</v>
      </c>
      <c r="H1798" s="1" t="s">
        <v>684</v>
      </c>
    </row>
    <row r="1799" customFormat="false" ht="14.25" hidden="false" customHeight="true" outlineLevel="0" collapsed="false">
      <c r="A1799" s="1" t="s">
        <v>682</v>
      </c>
      <c r="B1799" s="1" t="s">
        <v>464</v>
      </c>
      <c r="C1799" s="1" t="s">
        <v>480</v>
      </c>
      <c r="D1799" s="1" t="s">
        <v>287</v>
      </c>
      <c r="E1799" s="1" t="n">
        <v>3</v>
      </c>
      <c r="F1799" s="1" t="n">
        <v>398.377812879708</v>
      </c>
      <c r="G1799" s="1" t="n">
        <v>1195.13343863913</v>
      </c>
      <c r="H1799" s="1" t="s">
        <v>684</v>
      </c>
    </row>
    <row r="1800" customFormat="false" ht="14.25" hidden="false" customHeight="true" outlineLevel="0" collapsed="false">
      <c r="A1800" s="1" t="s">
        <v>682</v>
      </c>
      <c r="B1800" s="1" t="s">
        <v>47</v>
      </c>
      <c r="C1800" s="1" t="s">
        <v>608</v>
      </c>
      <c r="D1800" s="1" t="s">
        <v>287</v>
      </c>
      <c r="E1800" s="1" t="n">
        <v>1</v>
      </c>
      <c r="F1800" s="1" t="n">
        <v>855.98</v>
      </c>
      <c r="G1800" s="1" t="n">
        <v>855.98</v>
      </c>
      <c r="H1800" s="1" t="s">
        <v>690</v>
      </c>
    </row>
    <row r="1801" customFormat="false" ht="14.25" hidden="false" customHeight="true" outlineLevel="0" collapsed="false">
      <c r="A1801" s="1" t="s">
        <v>682</v>
      </c>
      <c r="B1801" s="1" t="s">
        <v>85</v>
      </c>
      <c r="C1801" s="1" t="s">
        <v>615</v>
      </c>
      <c r="D1801" s="1" t="s">
        <v>287</v>
      </c>
      <c r="E1801" s="1" t="n">
        <v>2</v>
      </c>
      <c r="F1801" s="1" t="n">
        <v>134.85</v>
      </c>
      <c r="G1801" s="1" t="n">
        <v>269.7</v>
      </c>
      <c r="H1801" s="1" t="s">
        <v>693</v>
      </c>
    </row>
    <row r="1802" customFormat="false" ht="14.25" hidden="false" customHeight="true" outlineLevel="0" collapsed="false">
      <c r="A1802" s="1" t="s">
        <v>682</v>
      </c>
      <c r="B1802" s="1" t="s">
        <v>87</v>
      </c>
      <c r="C1802" s="1" t="s">
        <v>642</v>
      </c>
      <c r="D1802" s="1" t="s">
        <v>287</v>
      </c>
      <c r="E1802" s="1" t="n">
        <v>2</v>
      </c>
      <c r="F1802" s="1" t="n">
        <v>50</v>
      </c>
      <c r="G1802" s="1" t="n">
        <v>100</v>
      </c>
      <c r="H1802" s="1" t="s">
        <v>749</v>
      </c>
    </row>
    <row r="1803" customFormat="false" ht="14.25" hidden="false" customHeight="true" outlineLevel="0" collapsed="false">
      <c r="A1803" s="1" t="s">
        <v>682</v>
      </c>
      <c r="B1803" s="1" t="s">
        <v>449</v>
      </c>
      <c r="C1803" s="1" t="s">
        <v>450</v>
      </c>
      <c r="D1803" s="1" t="s">
        <v>289</v>
      </c>
      <c r="E1803" s="1" t="n">
        <v>13530</v>
      </c>
      <c r="F1803" s="1" t="n">
        <v>0.29164628641075</v>
      </c>
      <c r="G1803" s="1" t="n">
        <v>3945.97425513745</v>
      </c>
      <c r="H1803" s="1" t="s">
        <v>451</v>
      </c>
    </row>
    <row r="1804" customFormat="false" ht="14.25" hidden="false" customHeight="true" outlineLevel="0" collapsed="false">
      <c r="A1804" s="1" t="s">
        <v>682</v>
      </c>
      <c r="B1804" s="1" t="s">
        <v>452</v>
      </c>
      <c r="C1804" s="1" t="s">
        <v>86</v>
      </c>
      <c r="D1804" s="1" t="s">
        <v>289</v>
      </c>
      <c r="E1804" s="1" t="n">
        <v>13530</v>
      </c>
      <c r="F1804" s="1" t="n">
        <v>0.190683735687687</v>
      </c>
      <c r="G1804" s="1" t="n">
        <v>2579.95094385441</v>
      </c>
      <c r="H1804" s="1" t="s">
        <v>451</v>
      </c>
    </row>
    <row r="1805" customFormat="false" ht="14.25" hidden="false" customHeight="true" outlineLevel="0" collapsed="false">
      <c r="A1805" s="1" t="s">
        <v>682</v>
      </c>
      <c r="B1805" s="1" t="s">
        <v>464</v>
      </c>
      <c r="C1805" s="1" t="s">
        <v>465</v>
      </c>
      <c r="D1805" s="1" t="s">
        <v>289</v>
      </c>
      <c r="E1805" s="1" t="n">
        <v>312</v>
      </c>
      <c r="F1805" s="1" t="n">
        <v>1.86</v>
      </c>
      <c r="G1805" s="1" t="n">
        <v>580.32</v>
      </c>
      <c r="H1805" s="1" t="s">
        <v>790</v>
      </c>
    </row>
    <row r="1806" customFormat="false" ht="14.25" hidden="false" customHeight="true" outlineLevel="0" collapsed="false">
      <c r="A1806" s="1" t="s">
        <v>682</v>
      </c>
      <c r="B1806" s="1" t="s">
        <v>464</v>
      </c>
      <c r="C1806" s="1" t="s">
        <v>478</v>
      </c>
      <c r="D1806" s="1" t="s">
        <v>289</v>
      </c>
      <c r="E1806" s="1" t="n">
        <v>2</v>
      </c>
      <c r="F1806" s="1" t="n">
        <v>398.377812879708</v>
      </c>
      <c r="G1806" s="1" t="n">
        <v>796.755625759417</v>
      </c>
      <c r="H1806" s="1" t="s">
        <v>684</v>
      </c>
    </row>
    <row r="1807" customFormat="false" ht="14.25" hidden="false" customHeight="true" outlineLevel="0" collapsed="false">
      <c r="A1807" s="1" t="s">
        <v>682</v>
      </c>
      <c r="B1807" s="1" t="s">
        <v>464</v>
      </c>
      <c r="C1807" s="1" t="s">
        <v>490</v>
      </c>
      <c r="D1807" s="1" t="s">
        <v>289</v>
      </c>
      <c r="E1807" s="1" t="n">
        <v>1</v>
      </c>
      <c r="F1807" s="1" t="n">
        <v>330.85192</v>
      </c>
      <c r="G1807" s="1" t="n">
        <v>330.85192</v>
      </c>
      <c r="H1807" s="1" t="s">
        <v>684</v>
      </c>
    </row>
    <row r="1808" customFormat="false" ht="14.25" hidden="false" customHeight="true" outlineLevel="0" collapsed="false">
      <c r="A1808" s="1" t="s">
        <v>682</v>
      </c>
      <c r="B1808" s="1" t="s">
        <v>464</v>
      </c>
      <c r="C1808" s="1" t="s">
        <v>492</v>
      </c>
      <c r="D1808" s="1" t="s">
        <v>289</v>
      </c>
      <c r="E1808" s="1" t="n">
        <v>-6</v>
      </c>
      <c r="F1808" s="1" t="n">
        <v>398.377812879708</v>
      </c>
      <c r="G1808" s="1" t="n">
        <v>-2390.26687727825</v>
      </c>
      <c r="H1808" s="1" t="s">
        <v>684</v>
      </c>
    </row>
    <row r="1809" customFormat="false" ht="14.25" hidden="false" customHeight="true" outlineLevel="0" collapsed="false">
      <c r="A1809" s="1" t="s">
        <v>682</v>
      </c>
      <c r="B1809" s="1" t="s">
        <v>464</v>
      </c>
      <c r="C1809" s="1" t="s">
        <v>493</v>
      </c>
      <c r="D1809" s="1" t="s">
        <v>289</v>
      </c>
      <c r="E1809" s="1" t="n">
        <v>-3</v>
      </c>
      <c r="F1809" s="1" t="n">
        <v>398.377812879708</v>
      </c>
      <c r="G1809" s="1" t="n">
        <v>-1195.13343863913</v>
      </c>
      <c r="H1809" s="1" t="s">
        <v>684</v>
      </c>
    </row>
    <row r="1810" customFormat="false" ht="14.25" hidden="false" customHeight="true" outlineLevel="0" collapsed="false">
      <c r="A1810" s="1" t="s">
        <v>682</v>
      </c>
      <c r="B1810" s="1" t="s">
        <v>464</v>
      </c>
      <c r="C1810" s="1" t="s">
        <v>494</v>
      </c>
      <c r="D1810" s="1" t="s">
        <v>289</v>
      </c>
      <c r="E1810" s="1" t="n">
        <v>-2</v>
      </c>
      <c r="F1810" s="1" t="n">
        <v>398.377812879708</v>
      </c>
      <c r="G1810" s="1" t="n">
        <v>-796.755625759417</v>
      </c>
      <c r="H1810" s="1" t="s">
        <v>684</v>
      </c>
    </row>
    <row r="1811" customFormat="false" ht="14.25" hidden="false" customHeight="true" outlineLevel="0" collapsed="false">
      <c r="A1811" s="1" t="s">
        <v>682</v>
      </c>
      <c r="B1811" s="1" t="s">
        <v>50</v>
      </c>
      <c r="C1811" s="1" t="s">
        <v>533</v>
      </c>
      <c r="D1811" s="1" t="s">
        <v>289</v>
      </c>
      <c r="E1811" s="1" t="n">
        <v>0</v>
      </c>
      <c r="F1811" s="1" t="n">
        <v>0</v>
      </c>
      <c r="G1811" s="1" t="n">
        <v>0</v>
      </c>
      <c r="H1811" s="1" t="s">
        <v>534</v>
      </c>
    </row>
    <row r="1812" customFormat="false" ht="14.25" hidden="false" customHeight="true" outlineLevel="0" collapsed="false">
      <c r="A1812" s="1" t="s">
        <v>682</v>
      </c>
      <c r="B1812" s="1" t="s">
        <v>85</v>
      </c>
      <c r="C1812" s="1" t="s">
        <v>615</v>
      </c>
      <c r="D1812" s="1" t="s">
        <v>289</v>
      </c>
      <c r="E1812" s="1" t="n">
        <v>22</v>
      </c>
      <c r="F1812" s="1" t="n">
        <v>130.76</v>
      </c>
      <c r="G1812" s="1" t="n">
        <v>2876.72</v>
      </c>
      <c r="H1812" s="1" t="s">
        <v>693</v>
      </c>
    </row>
    <row r="1813" customFormat="false" ht="14.25" hidden="false" customHeight="true" outlineLevel="0" collapsed="false">
      <c r="A1813" s="1" t="s">
        <v>682</v>
      </c>
      <c r="B1813" s="1" t="s">
        <v>624</v>
      </c>
      <c r="C1813" s="1" t="s">
        <v>625</v>
      </c>
      <c r="D1813" s="1" t="s">
        <v>289</v>
      </c>
      <c r="E1813" s="1" t="n">
        <v>13530</v>
      </c>
      <c r="F1813" s="1" t="n">
        <v>2.26208038267291</v>
      </c>
      <c r="G1813" s="1" t="n">
        <v>30605.9475775645</v>
      </c>
      <c r="H1813" s="1" t="s">
        <v>451</v>
      </c>
    </row>
    <row r="1814" customFormat="false" ht="14.25" hidden="false" customHeight="true" outlineLevel="0" collapsed="false">
      <c r="A1814" s="1" t="s">
        <v>682</v>
      </c>
      <c r="B1814" s="1" t="s">
        <v>32</v>
      </c>
      <c r="C1814" s="1" t="s">
        <v>620</v>
      </c>
      <c r="D1814" s="1" t="s">
        <v>289</v>
      </c>
      <c r="E1814" s="1" t="n">
        <v>0</v>
      </c>
      <c r="F1814" s="1" t="n">
        <v>0</v>
      </c>
      <c r="G1814" s="1" t="n">
        <v>0</v>
      </c>
      <c r="H1814" s="1" t="s">
        <v>621</v>
      </c>
    </row>
    <row r="1815" customFormat="false" ht="14.25" hidden="false" customHeight="true" outlineLevel="0" collapsed="false">
      <c r="A1815" s="1" t="s">
        <v>682</v>
      </c>
      <c r="B1815" s="1" t="s">
        <v>87</v>
      </c>
      <c r="C1815" s="1" t="s">
        <v>642</v>
      </c>
      <c r="D1815" s="1" t="s">
        <v>289</v>
      </c>
      <c r="E1815" s="1" t="n">
        <v>2</v>
      </c>
      <c r="F1815" s="1" t="n">
        <v>50</v>
      </c>
      <c r="G1815" s="1" t="n">
        <v>100</v>
      </c>
      <c r="H1815" s="1" t="s">
        <v>749</v>
      </c>
    </row>
    <row r="1816" customFormat="false" ht="14.25" hidden="false" customHeight="true" outlineLevel="0" collapsed="false">
      <c r="A1816" s="1" t="s">
        <v>682</v>
      </c>
      <c r="B1816" s="1" t="s">
        <v>464</v>
      </c>
      <c r="C1816" s="1" t="s">
        <v>465</v>
      </c>
      <c r="D1816" s="1" t="s">
        <v>293</v>
      </c>
      <c r="E1816" s="1" t="n">
        <v>222</v>
      </c>
      <c r="F1816" s="1" t="n">
        <v>1.86</v>
      </c>
      <c r="G1816" s="1" t="n">
        <v>412.92</v>
      </c>
      <c r="H1816" s="1" t="s">
        <v>790</v>
      </c>
    </row>
    <row r="1817" customFormat="false" ht="14.25" hidden="false" customHeight="true" outlineLevel="0" collapsed="false">
      <c r="A1817" s="1" t="s">
        <v>682</v>
      </c>
      <c r="B1817" s="1" t="s">
        <v>464</v>
      </c>
      <c r="C1817" s="1" t="s">
        <v>478</v>
      </c>
      <c r="D1817" s="1" t="s">
        <v>293</v>
      </c>
      <c r="E1817" s="1" t="n">
        <v>1</v>
      </c>
      <c r="F1817" s="1" t="n">
        <v>398.377812879708</v>
      </c>
      <c r="G1817" s="1" t="n">
        <v>398.377812879708</v>
      </c>
      <c r="H1817" s="1" t="s">
        <v>684</v>
      </c>
    </row>
    <row r="1818" customFormat="false" ht="14.25" hidden="false" customHeight="true" outlineLevel="0" collapsed="false">
      <c r="A1818" s="1" t="s">
        <v>682</v>
      </c>
      <c r="B1818" s="1" t="s">
        <v>85</v>
      </c>
      <c r="C1818" s="1" t="s">
        <v>615</v>
      </c>
      <c r="D1818" s="1" t="s">
        <v>293</v>
      </c>
      <c r="E1818" s="1" t="n">
        <v>11</v>
      </c>
      <c r="F1818" s="1" t="n">
        <v>136.89</v>
      </c>
      <c r="G1818" s="1" t="n">
        <v>1505.79</v>
      </c>
      <c r="H1818" s="1" t="s">
        <v>693</v>
      </c>
    </row>
    <row r="1819" customFormat="false" ht="14.25" hidden="false" customHeight="true" outlineLevel="0" collapsed="false">
      <c r="A1819" s="1" t="s">
        <v>682</v>
      </c>
      <c r="B1819" s="1" t="s">
        <v>87</v>
      </c>
      <c r="C1819" s="1" t="s">
        <v>642</v>
      </c>
      <c r="D1819" s="1" t="s">
        <v>293</v>
      </c>
      <c r="E1819" s="1" t="n">
        <v>1</v>
      </c>
      <c r="F1819" s="1" t="n">
        <v>10</v>
      </c>
      <c r="G1819" s="1" t="n">
        <v>10</v>
      </c>
      <c r="H1819" s="1" t="s">
        <v>749</v>
      </c>
    </row>
    <row r="1820" customFormat="false" ht="14.25" hidden="false" customHeight="true" outlineLevel="0" collapsed="false">
      <c r="A1820" s="1" t="s">
        <v>682</v>
      </c>
      <c r="B1820" s="1" t="s">
        <v>464</v>
      </c>
      <c r="C1820" s="1" t="s">
        <v>465</v>
      </c>
      <c r="D1820" s="1" t="s">
        <v>290</v>
      </c>
      <c r="E1820" s="1" t="n">
        <v>669</v>
      </c>
      <c r="F1820" s="1" t="n">
        <v>1.86</v>
      </c>
      <c r="G1820" s="1" t="n">
        <v>1244.34</v>
      </c>
      <c r="H1820" s="1" t="s">
        <v>790</v>
      </c>
    </row>
    <row r="1821" customFormat="false" ht="14.25" hidden="false" customHeight="true" outlineLevel="0" collapsed="false">
      <c r="A1821" s="1" t="s">
        <v>682</v>
      </c>
      <c r="B1821" s="1" t="s">
        <v>464</v>
      </c>
      <c r="C1821" s="1" t="s">
        <v>504</v>
      </c>
      <c r="D1821" s="1" t="s">
        <v>290</v>
      </c>
      <c r="E1821" s="1" t="n">
        <v>1</v>
      </c>
      <c r="F1821" s="1" t="n">
        <v>398.377812879708</v>
      </c>
      <c r="G1821" s="1" t="n">
        <v>398.377812879708</v>
      </c>
      <c r="H1821" s="1" t="s">
        <v>684</v>
      </c>
    </row>
    <row r="1822" customFormat="false" ht="14.25" hidden="false" customHeight="true" outlineLevel="0" collapsed="false">
      <c r="A1822" s="1" t="s">
        <v>682</v>
      </c>
      <c r="B1822" s="1" t="s">
        <v>464</v>
      </c>
      <c r="C1822" s="1" t="s">
        <v>505</v>
      </c>
      <c r="D1822" s="1" t="s">
        <v>290</v>
      </c>
      <c r="E1822" s="1" t="n">
        <v>2</v>
      </c>
      <c r="F1822" s="1" t="n">
        <v>398.377812879708</v>
      </c>
      <c r="G1822" s="1" t="n">
        <v>796.755625759417</v>
      </c>
      <c r="H1822" s="1" t="s">
        <v>684</v>
      </c>
    </row>
    <row r="1823" customFormat="false" ht="14.25" hidden="false" customHeight="true" outlineLevel="0" collapsed="false">
      <c r="A1823" s="1" t="s">
        <v>682</v>
      </c>
      <c r="B1823" s="1" t="s">
        <v>593</v>
      </c>
      <c r="C1823" s="1" t="s">
        <v>677</v>
      </c>
      <c r="D1823" s="1" t="s">
        <v>290</v>
      </c>
      <c r="E1823" s="1" t="n">
        <v>-1</v>
      </c>
      <c r="F1823" s="1" t="n">
        <v>1046.56</v>
      </c>
      <c r="G1823" s="1" t="n">
        <v>-1046.56</v>
      </c>
      <c r="H1823" s="1" t="s">
        <v>791</v>
      </c>
    </row>
    <row r="1824" customFormat="false" ht="14.25" hidden="false" customHeight="true" outlineLevel="0" collapsed="false">
      <c r="A1824" s="1" t="s">
        <v>682</v>
      </c>
      <c r="B1824" s="1" t="s">
        <v>47</v>
      </c>
      <c r="C1824" s="1" t="s">
        <v>608</v>
      </c>
      <c r="D1824" s="1" t="s">
        <v>290</v>
      </c>
      <c r="E1824" s="1" t="n">
        <v>1</v>
      </c>
      <c r="F1824" s="1" t="n">
        <v>8714.57</v>
      </c>
      <c r="G1824" s="1" t="n">
        <v>8714.57</v>
      </c>
      <c r="H1824" s="1" t="s">
        <v>691</v>
      </c>
    </row>
    <row r="1825" customFormat="false" ht="14.25" hidden="false" customHeight="true" outlineLevel="0" collapsed="false">
      <c r="A1825" s="1" t="s">
        <v>682</v>
      </c>
      <c r="B1825" s="1" t="s">
        <v>85</v>
      </c>
      <c r="C1825" s="1" t="s">
        <v>615</v>
      </c>
      <c r="D1825" s="1" t="s">
        <v>290</v>
      </c>
      <c r="E1825" s="1" t="n">
        <v>2</v>
      </c>
      <c r="F1825" s="1" t="n">
        <v>59.92</v>
      </c>
      <c r="G1825" s="1" t="n">
        <v>119.84</v>
      </c>
      <c r="H1825" s="1" t="s">
        <v>740</v>
      </c>
    </row>
    <row r="1826" customFormat="false" ht="14.25" hidden="false" customHeight="true" outlineLevel="0" collapsed="false">
      <c r="A1826" s="1" t="s">
        <v>682</v>
      </c>
      <c r="B1826" s="1" t="s">
        <v>87</v>
      </c>
      <c r="C1826" s="1" t="s">
        <v>642</v>
      </c>
      <c r="D1826" s="1" t="s">
        <v>290</v>
      </c>
      <c r="E1826" s="1" t="n">
        <v>1</v>
      </c>
      <c r="F1826" s="1" t="n">
        <v>10</v>
      </c>
      <c r="G1826" s="1" t="n">
        <v>10</v>
      </c>
      <c r="H1826" s="1" t="s">
        <v>749</v>
      </c>
    </row>
    <row r="1827" customFormat="false" ht="14.25" hidden="false" customHeight="true" outlineLevel="0" collapsed="false">
      <c r="A1827" s="1" t="s">
        <v>682</v>
      </c>
      <c r="B1827" s="1" t="s">
        <v>87</v>
      </c>
      <c r="C1827" s="1" t="s">
        <v>642</v>
      </c>
      <c r="D1827" s="1" t="s">
        <v>290</v>
      </c>
      <c r="E1827" s="1" t="n">
        <v>5</v>
      </c>
      <c r="F1827" s="1" t="n">
        <v>50</v>
      </c>
      <c r="G1827" s="1" t="n">
        <v>250</v>
      </c>
      <c r="H1827" s="1" t="s">
        <v>749</v>
      </c>
    </row>
    <row r="1828" customFormat="false" ht="14.25" hidden="false" customHeight="true" outlineLevel="0" collapsed="false">
      <c r="A1828" s="1" t="s">
        <v>682</v>
      </c>
      <c r="B1828" s="1" t="s">
        <v>464</v>
      </c>
      <c r="C1828" s="1" t="s">
        <v>465</v>
      </c>
      <c r="D1828" s="1" t="s">
        <v>284</v>
      </c>
      <c r="E1828" s="1" t="n">
        <v>510</v>
      </c>
      <c r="F1828" s="1" t="n">
        <v>1.86</v>
      </c>
      <c r="G1828" s="1" t="n">
        <v>948.6</v>
      </c>
      <c r="H1828" s="1" t="s">
        <v>790</v>
      </c>
    </row>
    <row r="1829" customFormat="false" ht="14.25" hidden="false" customHeight="true" outlineLevel="0" collapsed="false">
      <c r="A1829" s="1" t="s">
        <v>682</v>
      </c>
      <c r="B1829" s="1" t="s">
        <v>464</v>
      </c>
      <c r="C1829" s="1" t="s">
        <v>511</v>
      </c>
      <c r="D1829" s="1" t="s">
        <v>284</v>
      </c>
      <c r="E1829" s="1" t="n">
        <v>1</v>
      </c>
      <c r="F1829" s="1" t="n">
        <v>542</v>
      </c>
      <c r="G1829" s="1" t="n">
        <v>542</v>
      </c>
      <c r="H1829" s="1" t="s">
        <v>769</v>
      </c>
    </row>
    <row r="1830" customFormat="false" ht="14.25" hidden="false" customHeight="true" outlineLevel="0" collapsed="false">
      <c r="A1830" s="1" t="s">
        <v>682</v>
      </c>
      <c r="B1830" s="1" t="s">
        <v>464</v>
      </c>
      <c r="C1830" s="1" t="s">
        <v>478</v>
      </c>
      <c r="D1830" s="1" t="s">
        <v>284</v>
      </c>
      <c r="E1830" s="1" t="n">
        <v>6</v>
      </c>
      <c r="F1830" s="1" t="n">
        <v>398.377812879708</v>
      </c>
      <c r="G1830" s="1" t="n">
        <v>2390.26687727825</v>
      </c>
      <c r="H1830" s="1" t="s">
        <v>684</v>
      </c>
    </row>
    <row r="1831" customFormat="false" ht="14.25" hidden="false" customHeight="true" outlineLevel="0" collapsed="false">
      <c r="A1831" s="1" t="s">
        <v>682</v>
      </c>
      <c r="B1831" s="1" t="s">
        <v>85</v>
      </c>
      <c r="C1831" s="1" t="s">
        <v>615</v>
      </c>
      <c r="D1831" s="1" t="s">
        <v>284</v>
      </c>
      <c r="E1831" s="1" t="n">
        <v>10</v>
      </c>
      <c r="F1831" s="1" t="n">
        <v>125.85</v>
      </c>
      <c r="G1831" s="1" t="n">
        <v>1258.5</v>
      </c>
      <c r="H1831" s="1" t="s">
        <v>693</v>
      </c>
    </row>
    <row r="1832" customFormat="false" ht="14.25" hidden="false" customHeight="true" outlineLevel="0" collapsed="false">
      <c r="A1832" s="1" t="s">
        <v>682</v>
      </c>
      <c r="B1832" s="1" t="s">
        <v>87</v>
      </c>
      <c r="C1832" s="1" t="s">
        <v>642</v>
      </c>
      <c r="D1832" s="1" t="s">
        <v>284</v>
      </c>
      <c r="E1832" s="1" t="n">
        <v>1</v>
      </c>
      <c r="F1832" s="1" t="n">
        <v>10</v>
      </c>
      <c r="G1832" s="1" t="n">
        <v>10</v>
      </c>
      <c r="H1832" s="1" t="s">
        <v>749</v>
      </c>
    </row>
    <row r="1833" customFormat="false" ht="14.25" hidden="false" customHeight="true" outlineLevel="0" collapsed="false">
      <c r="A1833" s="1" t="s">
        <v>682</v>
      </c>
      <c r="B1833" s="1" t="s">
        <v>87</v>
      </c>
      <c r="C1833" s="1" t="s">
        <v>642</v>
      </c>
      <c r="D1833" s="1" t="s">
        <v>284</v>
      </c>
      <c r="E1833" s="1" t="n">
        <v>2</v>
      </c>
      <c r="F1833" s="1" t="n">
        <v>50</v>
      </c>
      <c r="G1833" s="1" t="n">
        <v>100</v>
      </c>
      <c r="H1833" s="1" t="s">
        <v>749</v>
      </c>
    </row>
    <row r="1834" customFormat="false" ht="14.25" hidden="false" customHeight="true" outlineLevel="0" collapsed="false">
      <c r="A1834" s="1" t="s">
        <v>682</v>
      </c>
      <c r="B1834" s="1" t="s">
        <v>464</v>
      </c>
      <c r="C1834" s="1" t="s">
        <v>465</v>
      </c>
      <c r="D1834" s="1" t="s">
        <v>285</v>
      </c>
      <c r="E1834" s="1" t="n">
        <v>154</v>
      </c>
      <c r="F1834" s="1" t="n">
        <v>1.86</v>
      </c>
      <c r="G1834" s="1" t="n">
        <v>286.44</v>
      </c>
      <c r="H1834" s="1" t="s">
        <v>790</v>
      </c>
    </row>
    <row r="1835" customFormat="false" ht="14.25" hidden="false" customHeight="true" outlineLevel="0" collapsed="false">
      <c r="A1835" s="1" t="s">
        <v>682</v>
      </c>
      <c r="B1835" s="1" t="s">
        <v>464</v>
      </c>
      <c r="C1835" s="1" t="s">
        <v>519</v>
      </c>
      <c r="D1835" s="1" t="s">
        <v>285</v>
      </c>
      <c r="E1835" s="1" t="n">
        <v>-8</v>
      </c>
      <c r="F1835" s="1" t="n">
        <v>307.534</v>
      </c>
      <c r="G1835" s="1" t="n">
        <v>-2460.272</v>
      </c>
      <c r="H1835" s="1" t="s">
        <v>684</v>
      </c>
    </row>
    <row r="1836" customFormat="false" ht="14.25" hidden="false" customHeight="true" outlineLevel="0" collapsed="false">
      <c r="A1836" s="1" t="s">
        <v>682</v>
      </c>
      <c r="B1836" s="1" t="s">
        <v>87</v>
      </c>
      <c r="C1836" s="1" t="s">
        <v>642</v>
      </c>
      <c r="D1836" s="1" t="s">
        <v>285</v>
      </c>
      <c r="E1836" s="1" t="n">
        <v>1</v>
      </c>
      <c r="F1836" s="1" t="n">
        <v>50</v>
      </c>
      <c r="G1836" s="1" t="n">
        <v>50</v>
      </c>
      <c r="H1836" s="1" t="s">
        <v>749</v>
      </c>
    </row>
    <row r="1837" customFormat="false" ht="14.25" hidden="false" customHeight="true" outlineLevel="0" collapsed="false">
      <c r="A1837" s="1" t="s">
        <v>682</v>
      </c>
      <c r="B1837" s="1" t="s">
        <v>464</v>
      </c>
      <c r="C1837" s="1" t="s">
        <v>478</v>
      </c>
      <c r="D1837" s="1" t="s">
        <v>282</v>
      </c>
      <c r="E1837" s="1" t="n">
        <v>5</v>
      </c>
      <c r="F1837" s="1" t="n">
        <v>398.377812879708</v>
      </c>
      <c r="G1837" s="1" t="n">
        <v>1991.88906439854</v>
      </c>
      <c r="H1837" s="1" t="s">
        <v>686</v>
      </c>
    </row>
    <row r="1838" customFormat="false" ht="14.25" hidden="false" customHeight="true" outlineLevel="0" collapsed="false">
      <c r="A1838" s="1" t="s">
        <v>682</v>
      </c>
      <c r="B1838" s="1" t="s">
        <v>464</v>
      </c>
      <c r="C1838" s="1" t="s">
        <v>524</v>
      </c>
      <c r="D1838" s="1" t="s">
        <v>282</v>
      </c>
      <c r="E1838" s="1" t="n">
        <v>0</v>
      </c>
      <c r="F1838" s="1" t="n">
        <v>0</v>
      </c>
      <c r="G1838" s="1" t="n">
        <v>0</v>
      </c>
      <c r="H1838" s="1" t="s">
        <v>684</v>
      </c>
    </row>
    <row r="1839" customFormat="false" ht="14.25" hidden="false" customHeight="true" outlineLevel="0" collapsed="false">
      <c r="A1839" s="1" t="s">
        <v>682</v>
      </c>
      <c r="B1839" s="1" t="s">
        <v>554</v>
      </c>
      <c r="C1839" s="1" t="s">
        <v>589</v>
      </c>
      <c r="D1839" s="1" t="s">
        <v>282</v>
      </c>
      <c r="E1839" s="1" t="n">
        <v>1</v>
      </c>
      <c r="F1839" s="1" t="n">
        <v>510.58</v>
      </c>
      <c r="G1839" s="1" t="n">
        <v>510.58</v>
      </c>
      <c r="H1839" s="1" t="s">
        <v>564</v>
      </c>
    </row>
    <row r="1840" customFormat="false" ht="14.25" hidden="false" customHeight="true" outlineLevel="0" collapsed="false">
      <c r="A1840" s="1" t="s">
        <v>682</v>
      </c>
      <c r="B1840" s="1" t="s">
        <v>554</v>
      </c>
      <c r="C1840" s="1" t="s">
        <v>688</v>
      </c>
      <c r="D1840" s="1" t="s">
        <v>282</v>
      </c>
      <c r="E1840" s="1" t="n">
        <v>1</v>
      </c>
      <c r="F1840" s="1" t="n">
        <v>1848.64</v>
      </c>
      <c r="G1840" s="1" t="n">
        <v>1848.64</v>
      </c>
      <c r="H1840" s="1" t="s">
        <v>587</v>
      </c>
    </row>
    <row r="1841" customFormat="false" ht="14.25" hidden="false" customHeight="true" outlineLevel="0" collapsed="false">
      <c r="A1841" s="1" t="s">
        <v>682</v>
      </c>
      <c r="B1841" s="1" t="s">
        <v>47</v>
      </c>
      <c r="C1841" s="1" t="s">
        <v>608</v>
      </c>
      <c r="D1841" s="1" t="s">
        <v>282</v>
      </c>
      <c r="E1841" s="1" t="n">
        <v>1</v>
      </c>
      <c r="F1841" s="1" t="n">
        <v>309.54</v>
      </c>
      <c r="G1841" s="1" t="n">
        <v>309.54</v>
      </c>
      <c r="H1841" s="1" t="s">
        <v>692</v>
      </c>
    </row>
    <row r="1842" customFormat="false" ht="14.25" hidden="false" customHeight="true" outlineLevel="0" collapsed="false">
      <c r="A1842" s="1" t="s">
        <v>682</v>
      </c>
      <c r="B1842" s="1" t="s">
        <v>87</v>
      </c>
      <c r="C1842" s="1" t="s">
        <v>642</v>
      </c>
      <c r="D1842" s="1" t="s">
        <v>282</v>
      </c>
      <c r="E1842" s="1" t="n">
        <v>1</v>
      </c>
      <c r="F1842" s="1" t="n">
        <v>90</v>
      </c>
      <c r="G1842" s="1" t="n">
        <v>90</v>
      </c>
      <c r="H1842" s="1" t="s">
        <v>749</v>
      </c>
    </row>
    <row r="1843" customFormat="false" ht="14.25" hidden="false" customHeight="true" outlineLevel="0" collapsed="false">
      <c r="A1843" s="1" t="s">
        <v>682</v>
      </c>
      <c r="B1843" s="1" t="s">
        <v>87</v>
      </c>
      <c r="C1843" s="1" t="s">
        <v>642</v>
      </c>
      <c r="D1843" s="1" t="s">
        <v>282</v>
      </c>
      <c r="E1843" s="1" t="n">
        <v>2</v>
      </c>
      <c r="F1843" s="1" t="n">
        <v>10</v>
      </c>
      <c r="G1843" s="1" t="n">
        <v>20</v>
      </c>
      <c r="H1843" s="1" t="s">
        <v>749</v>
      </c>
    </row>
    <row r="1844" customFormat="false" ht="14.25" hidden="false" customHeight="true" outlineLevel="0" collapsed="false">
      <c r="A1844" s="1" t="s">
        <v>682</v>
      </c>
      <c r="B1844" s="1" t="s">
        <v>87</v>
      </c>
      <c r="C1844" s="1" t="s">
        <v>642</v>
      </c>
      <c r="D1844" s="1" t="s">
        <v>282</v>
      </c>
      <c r="E1844" s="1" t="n">
        <v>3</v>
      </c>
      <c r="F1844" s="1" t="n">
        <v>50</v>
      </c>
      <c r="G1844" s="1" t="n">
        <v>150</v>
      </c>
      <c r="H1844" s="1" t="s">
        <v>749</v>
      </c>
    </row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2026-09-21T19:10:16Z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