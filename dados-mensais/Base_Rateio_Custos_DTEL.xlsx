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<sst xmlns="http://schemas.openxmlformats.org/spreadsheetml/2006/main" count="11793" uniqueCount="345">
  <si>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</si>
  <si>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</si>
  <si>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</si>
  <si>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</si>
  <si>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</si>
  <si>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</si>
  <si>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</si>
  <si>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</si>
  <si>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</si>
  <si>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</si>
  <si>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</si>
  <si>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</si>
  <si>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</si>
  <si>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</si>
  <si>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</si>
  <si>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</si>
  <si>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</si>
  <si>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</si>
  <si>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</si>
  <si>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</si>
  <si>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</si>
  <si>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</si>
  <si>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</si>
  <si>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</si>
  <si>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</si>
  <si>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</si>
  <si>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</si>
  <si>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</si>
  <si>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</si>
  <si>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</si>
  <si>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</si>
  <si>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</si>
  <si>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</si>
  <si>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</si>
  <si>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</si>
  <si>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</si>
  <si>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</si>
  <si>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</si>
  <si>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</si>
  <si>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</si>
  <si>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</si>
  <si>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</si>
  <si>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</si>
  <si>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</si>
  <si>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</si>
  <si>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</si>
  <si>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</si>
  <si>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</si>
  <si>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</si>
  <si>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</si>
  <si>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</si>
  <si>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</si>
  <si>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</si>
  <si>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</si>
  <si>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</si>
  <si>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</si>
  <si>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</si>
  <si>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</si>
  <si>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</si>
  <si>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</si>
  <si>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</si>
  <si>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</si>
  <si>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</si>
  <si>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</si>
  <si>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</si>
  <si>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</si>
  <si>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</si>
  <si>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</si>
  <si>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</si>
  <si>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</si>
  <si>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</si>
  <si>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</si>
  <si>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</si>
  <si>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</si>
  <si>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</si>
  <si>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</si>
  <si>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</si>
  <si>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</si>
  <si>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</si>
  <si>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</si>
  <si>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</si>
  <si>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</si>
  <si>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</si>
  <si>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</si>
  <si>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</si>
  <si>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</si>
  <si>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</si>
  <si>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</si>
  <si>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</si>
  <si>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</si>
  <si>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</si>
  <si>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</si>
  <si>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</si>
  <si>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</si>
  <si>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</si>
  <si>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</si>
  <si>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</si>
  <si>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</si>
  <si>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</si>
  <si>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</si>
  <si>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</si>
  <si>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</si>
  <si>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</si>
  <si>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</si>
  <si>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</si>
  <si>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</si>
  <si>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</si>
  <si>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</si>
  <si>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</si>
  <si>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</si>
  <si>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</si>
  <si>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</si>
  <si>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</si>
  <si>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</si>
  <si>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</si>
  <si>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</si>
  <si>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</si>
  <si>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</si>
  <si>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</si>
  <si>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</si>
  <si>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</si>
  <si>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</si>
  <si>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</si>
  <si>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</si>
  <si>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</si>
  <si>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</si>
  <si>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</si>
  <si>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</si>
  <si>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</si>
  <si>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</si>
  <si>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</si>
  <si>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</si>
  <si>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</si>
  <si>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</si>
  <si>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</si>
  <si>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</si>
  <si>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</si>
  <si>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</si>
  <si>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</si>
  <si>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</si>
  <si>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</si>
  <si>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</si>
  <si>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</si>
  <si>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</si>
  <si>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</si>
  <si>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</si>
  <si>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</si>
  <si>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</si>
  <si>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</si>
  <si>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</si>
  <si>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</si>
  <si>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</si>
  <si>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</si>
  <si>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</si>
  <si>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</si>
  <si>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</si>
  <si>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</si>
  <si>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</si>
  <si>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</si>
  <si>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</si>
  <si>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</si>
  <si>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</si>
  <si>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</si>
  <si>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</si>
  <si>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</si>
  <si>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</si>
  <si>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</si>
  <si>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</si>
  <si>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</si>
  <si>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</si>
  <si>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</si>
  <si>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</si>
  <si>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</si>
  <si>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</si>
  <si>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</si>
  <si>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</si>
  <si>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</si>
  <si>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</si>
  <si>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</si>
  <si>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</si>
  <si>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</si>
  <si>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</si>
  <si>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</si>
  <si>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</si>
  <si>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</si>
  <si>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</si>
  <si>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</si>
  <si>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</si>
  <si>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</si>
  <si>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</si>
  <si>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</si>
  <si>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</si>
  <si>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</si>
  <si>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</si>
  <si>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</si>
  <si>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</si>
  <si>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</si>
  <si>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</si>
  <si>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</si>
  <si>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</si>
  <si>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</si>
  <si>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</si>
  <si>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</si>
  <si>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</si>
  <si>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</si>
  <si>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</si>
  <si>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</si>
  <si>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</si>
  <si>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</si>
  <si>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</si>
  <si>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</si>
  <si>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</si>
  <si>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Chip móvel corporativo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</si>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</sst>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317771.09</v>
      </c>
      <c r="F39" s="21" t="n">
        <f aca="false">IFERROR(D39*E39,0)</f>
        <v>10511.2047907803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10511.2047907803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317771.09</v>
      </c>
      <c r="F40" s="22" t="n">
        <f aca="false">IFERROR(D40*E40,0)</f>
        <v>21883.5292292769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21883.5292292769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317771.09</v>
      </c>
      <c r="F41" s="21" t="n">
        <f aca="false">IFERROR(D41*E41,0)</f>
        <v>23551.9485467274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23551.9485467274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317771.09</v>
      </c>
      <c r="F42" s="22" t="n">
        <f aca="false">IFERROR(D42*E42,0)</f>
        <v>6040.88480140421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6040.88480140421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317771.09</v>
      </c>
      <c r="F43" s="21" t="n">
        <f aca="false">IFERROR(D43*E43,0)</f>
        <v>10493.2647981195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10493.2647981195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317771.09</v>
      </c>
      <c r="F44" s="22" t="n">
        <f aca="false">IFERROR(D44*E44,0)</f>
        <v>7745.18410417618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7745.18410417618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317771.09</v>
      </c>
      <c r="F45" s="21" t="n">
        <f aca="false">IFERROR(D45*E45,0)</f>
        <v>7820.20589166662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7820.20589166662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317771.09</v>
      </c>
      <c r="F46" s="22" t="n">
        <f aca="false">IFERROR(D46*E46,0)</f>
        <v>229724.867837849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229724.867837849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111046.93</v>
      </c>
      <c r="F47" s="21" t="n">
        <f aca="false">IFERROR(D47*E47,0)</f>
        <v>3599.23319351764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3599.23319351764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111046.93</v>
      </c>
      <c r="F48" s="22" t="n">
        <f aca="false">IFERROR(D48*E48,0)</f>
        <v>3387.51359389895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3387.51359389895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111046.93</v>
      </c>
      <c r="F49" s="21" t="n">
        <f aca="false">IFERROR(D49*E49,0)</f>
        <v>4446.11159199237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4446.11159199237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111046.93</v>
      </c>
      <c r="F50" s="22" t="n">
        <f aca="false">IFERROR(D50*E50,0)</f>
        <v>1164.45779790276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1164.45779790276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111046.93</v>
      </c>
      <c r="F51" s="21" t="n">
        <f aca="false">IFERROR(D51*E51,0)</f>
        <v>4446.11159199237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4446.11159199237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111046.93</v>
      </c>
      <c r="F52" s="22" t="n">
        <f aca="false">IFERROR(D52*E52,0)</f>
        <v>1905.47639656816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1905.47639656816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111046.93</v>
      </c>
      <c r="F53" s="21" t="n">
        <f aca="false">IFERROR(D53*E53,0)</f>
        <v>1799.61659675882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1799.61659675882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111046.93</v>
      </c>
      <c r="F54" s="22" t="n">
        <f aca="false">IFERROR(D54*E54,0)</f>
        <v>90298.4092373689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90298.4092373689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296541.05</v>
      </c>
      <c r="F55" s="21" t="n">
        <f aca="false">IFERROR(D55*E55,0)</f>
        <v>9611.43536701621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9611.43536701621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296541.05</v>
      </c>
      <c r="F56" s="22" t="n">
        <f aca="false">IFERROR(D56*E56,0)</f>
        <v>9046.05681601525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9046.05681601525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296541.05</v>
      </c>
      <c r="F57" s="21" t="n">
        <f aca="false">IFERROR(D57*E57,0)</f>
        <v>11872.94957102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11872.94957102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296541.05</v>
      </c>
      <c r="F58" s="22" t="n">
        <f aca="false">IFERROR(D58*E58,0)</f>
        <v>3109.58203050524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3109.58203050524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296541.05</v>
      </c>
      <c r="F59" s="21" t="n">
        <f aca="false">IFERROR(D59*E59,0)</f>
        <v>11872.94957102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11872.94957102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296541.05</v>
      </c>
      <c r="F60" s="22" t="n">
        <f aca="false">IFERROR(D60*E60,0)</f>
        <v>5088.40695900858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5088.40695900858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296541.05</v>
      </c>
      <c r="F61" s="21" t="n">
        <f aca="false">IFERROR(D61*E61,0)</f>
        <v>4805.7176835081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4805.7176835081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296541.05</v>
      </c>
      <c r="F62" s="22" t="n">
        <f aca="false">IFERROR(D62*E62,0)</f>
        <v>241133.952001907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241133.952001907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272152.7</v>
      </c>
      <c r="F63" s="21" t="n">
        <f aca="false">IFERROR(D63*E63,0)</f>
        <v>9002.24360895696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9002.24360895696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272152.7</v>
      </c>
      <c r="F64" s="22" t="n">
        <f aca="false">IFERROR(D64*E64,0)</f>
        <v>18741.9867719138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18741.9867719138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272152.7</v>
      </c>
      <c r="F65" s="21" t="n">
        <f aca="false">IFERROR(D65*E65,0)</f>
        <v>20170.8921577886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20170.8921577886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272152.7</v>
      </c>
      <c r="F66" s="22" t="n">
        <f aca="false">IFERROR(D66*E66,0)</f>
        <v>5173.67111366588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5173.67111366588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272152.7</v>
      </c>
      <c r="F67" s="21" t="n">
        <f aca="false">IFERROR(D67*E67,0)</f>
        <v>8986.87903491529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8986.87903491529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272152.7</v>
      </c>
      <c r="F68" s="22" t="n">
        <f aca="false">IFERROR(D68*E68,0)</f>
        <v>6633.30564762398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6633.30564762398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272152.7</v>
      </c>
      <c r="F69" s="21" t="n">
        <f aca="false">IFERROR(D69*E69,0)</f>
        <v>6697.55750270731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6697.55750270731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272152.7</v>
      </c>
      <c r="F70" s="22" t="n">
        <f aca="false">IFERROR(D70*E70,0)</f>
        <v>196746.164162428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196746.164162428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58230.01</v>
      </c>
      <c r="F71" s="21" t="n">
        <f aca="false">IFERROR(D71*E71,0)</f>
        <v>1926.12726374568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1926.12726374568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58230.01</v>
      </c>
      <c r="F72" s="22" t="n">
        <f aca="false">IFERROR(D72*E72,0)</f>
        <v>4010.05052365238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4010.05052365238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58230.01</v>
      </c>
      <c r="F73" s="21" t="n">
        <f aca="false">IFERROR(D73*E73,0)</f>
        <v>4315.78026621434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4315.78026621434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58230.01</v>
      </c>
      <c r="F74" s="22" t="n">
        <f aca="false">IFERROR(D74*E74,0)</f>
        <v>1106.96282155376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1106.96282155376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58230.01</v>
      </c>
      <c r="F75" s="21" t="n">
        <f aca="false">IFERROR(D75*E75,0)</f>
        <v>1922.83984715899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1922.83984715899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58230.01</v>
      </c>
      <c r="F76" s="22" t="n">
        <f aca="false">IFERROR(D76*E76,0)</f>
        <v>1419.2673972891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1419.2673972891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58230.01</v>
      </c>
      <c r="F77" s="21" t="n">
        <f aca="false">IFERROR(D77*E77,0)</f>
        <v>1433.01477574252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1433.01477574252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58230.01</v>
      </c>
      <c r="F78" s="22" t="n">
        <f aca="false">IFERROR(D78*E78,0)</f>
        <v>42095.9671046432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42095.9671046432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225765.49</v>
      </c>
      <c r="F79" s="21" t="n">
        <f aca="false">IFERROR(D79*E79,0)</f>
        <v>7467.85146528231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7467.85146528231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225765.49</v>
      </c>
      <c r="F80" s="22" t="n">
        <f aca="false">IFERROR(D80*E80,0)</f>
        <v>15547.4989854396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15547.4989854396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225765.49</v>
      </c>
      <c r="F81" s="21" t="n">
        <f aca="false">IFERROR(D81*E81,0)</f>
        <v>16732.8538417598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16732.8538417598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225765.49</v>
      </c>
      <c r="F82" s="22" t="n">
        <f aca="false">IFERROR(D82*E82,0)</f>
        <v>4291.84202131973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4291.84202131973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225765.49</v>
      </c>
      <c r="F83" s="21" t="n">
        <f aca="false">IFERROR(D83*E83,0)</f>
        <v>7455.10571413908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7455.10571413908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225765.49</v>
      </c>
      <c r="F84" s="22" t="n">
        <f aca="false">IFERROR(D84*E84,0)</f>
        <v>5502.6883799264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5502.6883799264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225765.49</v>
      </c>
      <c r="F85" s="21" t="n">
        <f aca="false">IFERROR(D85*E85,0)</f>
        <v>5555.98879379808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5555.98879379808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225765.49</v>
      </c>
      <c r="F86" s="22" t="n">
        <f aca="false">IFERROR(D86*E86,0)</f>
        <v>163211.660798335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163211.660798335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7240435.509</v>
      </c>
      <c r="F87" s="21" t="n">
        <f aca="false">IFERROR(D87*E87,0)</f>
        <v>239498.503182075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239498.503182075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7240435.509</v>
      </c>
      <c r="F88" s="22" t="n">
        <f aca="false">IFERROR(D88*E88,0)</f>
        <v>498617.675049974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498617.675049974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7240435.509</v>
      </c>
      <c r="F89" s="21" t="n">
        <f aca="false">IFERROR(D89*E89,0)</f>
        <v>536632.720628758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536632.720628758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7240435.509</v>
      </c>
      <c r="F90" s="22" t="n">
        <f aca="false">IFERROR(D90*E90,0)</f>
        <v>137641.963659644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137641.963659644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7240435.509</v>
      </c>
      <c r="F91" s="21" t="n">
        <f aca="false">IFERROR(D91*E91,0)</f>
        <v>239089.73925112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239089.73925112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7240435.509</v>
      </c>
      <c r="F92" s="22" t="n">
        <f aca="false">IFERROR(D92*E92,0)</f>
        <v>176474.537100337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176474.537100337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7240435.509</v>
      </c>
      <c r="F93" s="21" t="n">
        <f aca="false">IFERROR(D93*E93,0)</f>
        <v>178183.913538875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178183.913538875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7240435.509</v>
      </c>
      <c r="F94" s="22" t="n">
        <f aca="false">IFERROR(D94*E94,0)</f>
        <v>5234296.45658922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5234296.45658922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452792.319</v>
      </c>
      <c r="F95" s="21" t="n">
        <f aca="false">IFERROR(D95*E95,0)</f>
        <v>14977.4253935476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14977.4253935476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452792.319</v>
      </c>
      <c r="F96" s="22" t="n">
        <f aca="false">IFERROR(D96*E96,0)</f>
        <v>31181.8609667373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31181.8609667373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452792.319</v>
      </c>
      <c r="F97" s="21" t="n">
        <f aca="false">IFERROR(D97*E97,0)</f>
        <v>33559.1931897938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33559.1931897938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452792.319</v>
      </c>
      <c r="F98" s="22" t="n">
        <f aca="false">IFERROR(D98*E98,0)</f>
        <v>8607.66232082241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8607.66232082241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452792.319</v>
      </c>
      <c r="F99" s="21" t="n">
        <f aca="false">IFERROR(D99*E99,0)</f>
        <v>14951.8626814717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14951.8626814717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452792.319</v>
      </c>
      <c r="F100" s="22" t="n">
        <f aca="false">IFERROR(D100*E100,0)</f>
        <v>11036.1199680307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11036.1199680307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452792.319</v>
      </c>
      <c r="F101" s="21" t="n">
        <f aca="false">IFERROR(D101*E101,0)</f>
        <v>11143.0185821662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11143.0185821662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452792.319</v>
      </c>
      <c r="F102" s="22" t="n">
        <f aca="false">IFERROR(D102*E102,0)</f>
        <v>327335.17589743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327335.17589743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691015.149</v>
      </c>
      <c r="F103" s="21" t="n">
        <f aca="false">IFERROR(D103*E103,0)</f>
        <v>22857.3396801784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22857.3396801784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691015.149</v>
      </c>
      <c r="F104" s="22" t="n">
        <f aca="false">IFERROR(D104*E104,0)</f>
        <v>47587.2434179416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47587.2434179416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691015.149</v>
      </c>
      <c r="F105" s="21" t="n">
        <f aca="false">IFERROR(D105*E105,0)</f>
        <v>51215.3362795122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51215.3362795122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691015.149</v>
      </c>
      <c r="F106" s="22" t="n">
        <f aca="false">IFERROR(D106*E106,0)</f>
        <v>13136.3205857845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13136.3205857845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691015.149</v>
      </c>
      <c r="F107" s="21" t="n">
        <f aca="false">IFERROR(D107*E107,0)</f>
        <v>22818.3279289787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22818.3279289787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691015.149</v>
      </c>
      <c r="F108" s="22" t="n">
        <f aca="false">IFERROR(D108*E108,0)</f>
        <v>16842.4369497544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16842.4369497544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691015.149</v>
      </c>
      <c r="F109" s="21" t="n">
        <f aca="false">IFERROR(D109*E109,0)</f>
        <v>17005.5770002258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17005.5770002258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691015.149</v>
      </c>
      <c r="F110" s="22" t="n">
        <f aca="false">IFERROR(D110*E110,0)</f>
        <v>499552.567157624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499552.567157624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77570.33</v>
      </c>
      <c r="F111" s="21" t="n">
        <f aca="false">IFERROR(D111*E111,0)</f>
        <v>2565.86470568612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2565.86470568612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77570.33</v>
      </c>
      <c r="F112" s="22" t="n">
        <f aca="false">IFERROR(D112*E112,0)</f>
        <v>5341.93523985979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5341.93523985979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77570.33</v>
      </c>
      <c r="F113" s="21" t="n">
        <f aca="false">IFERROR(D113*E113,0)</f>
        <v>5749.20903255442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5749.20903255442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77570.33</v>
      </c>
      <c r="F114" s="22" t="n">
        <f aca="false">IFERROR(D114*E114,0)</f>
        <v>1474.62573620813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1474.62573620813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77570.33</v>
      </c>
      <c r="F115" s="21" t="n">
        <f aca="false">IFERROR(D115*E115,0)</f>
        <v>2561.48541759263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2561.48541759263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77570.33</v>
      </c>
      <c r="F116" s="22" t="n">
        <f aca="false">IFERROR(D116*E116,0)</f>
        <v>1890.65810508974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1890.65810508974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77570.33</v>
      </c>
      <c r="F117" s="21" t="n">
        <f aca="false">IFERROR(D117*E117,0)</f>
        <v>1908.97149166252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1908.97149166252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77570.33</v>
      </c>
      <c r="F118" s="22" t="n">
        <f aca="false">IFERROR(D118*E118,0)</f>
        <v>56077.5802713467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56077.5802713467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19783.8</v>
      </c>
      <c r="F119" s="21" t="n">
        <f aca="false">IFERROR(D119*E119,0)</f>
        <v>654.40683524684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654.40683524684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19783.8</v>
      </c>
      <c r="F120" s="22" t="n">
        <f aca="false">IFERROR(D120*E120,0)</f>
        <v>1362.42527778776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1362.42527778776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19783.8</v>
      </c>
      <c r="F121" s="21" t="n">
        <f aca="false">IFERROR(D121*E121,0)</f>
        <v>1466.29776692003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1466.29776692003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19783.8</v>
      </c>
      <c r="F122" s="22" t="n">
        <f aca="false">IFERROR(D122*E122,0)</f>
        <v>376.093548138758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376.093548138758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19783.8</v>
      </c>
      <c r="F123" s="21" t="n">
        <f aca="false">IFERROR(D123*E123,0)</f>
        <v>653.289926761546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653.289926761546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19783.8</v>
      </c>
      <c r="F124" s="22" t="n">
        <f aca="false">IFERROR(D124*E124,0)</f>
        <v>482.19985424162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482.19985424162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19783.8</v>
      </c>
      <c r="F125" s="21" t="n">
        <f aca="false">IFERROR(D125*E125,0)</f>
        <v>486.870562452847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486.870562452847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19783.8</v>
      </c>
      <c r="F126" s="22" t="n">
        <f aca="false">IFERROR(D126*E126,0)</f>
        <v>14302.2162284506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14302.2162284506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122963.44</v>
      </c>
      <c r="F127" s="21" t="n">
        <f aca="false">IFERROR(D127*E127,0)</f>
        <v>4067.37409504062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4067.37409504062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122963.44</v>
      </c>
      <c r="F128" s="22" t="n">
        <f aca="false">IFERROR(D128*E128,0)</f>
        <v>8467.96363184718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8467.96363184718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122963.44</v>
      </c>
      <c r="F129" s="21" t="n">
        <f aca="false">IFERROR(D129*E129,0)</f>
        <v>9113.56855026868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9113.56855026868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122963.44</v>
      </c>
      <c r="F130" s="22" t="n">
        <f aca="false">IFERROR(D130*E130,0)</f>
        <v>2337.55681117618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2337.55681117618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122963.44</v>
      </c>
      <c r="F131" s="21" t="n">
        <f aca="false">IFERROR(D131*E131,0)</f>
        <v>4060.4321066705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4060.4321066705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122963.44</v>
      </c>
      <c r="F132" s="22" t="n">
        <f aca="false">IFERROR(D132*E132,0)</f>
        <v>2997.04570633792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2997.04570633792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122963.44</v>
      </c>
      <c r="F133" s="21" t="n">
        <f aca="false">IFERROR(D133*E133,0)</f>
        <v>3026.07583952208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3026.07583952208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122963.44</v>
      </c>
      <c r="F134" s="22" t="n">
        <f aca="false">IFERROR(D134*E134,0)</f>
        <v>88893.4232591368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88893.4232591368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95363.47</v>
      </c>
      <c r="F135" s="21" t="n">
        <f aca="false">IFERROR(D135*E135,0)</f>
        <v>3154.4246606242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3154.4246606242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95363.47</v>
      </c>
      <c r="F136" s="22" t="n">
        <f aca="false">IFERROR(D136*E136,0)</f>
        <v>6567.27231904662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6567.27231904662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95363.47</v>
      </c>
      <c r="F137" s="21" t="n">
        <f aca="false">IFERROR(D137*E137,0)</f>
        <v>7067.96687728068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7067.96687728068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95363.47</v>
      </c>
      <c r="F138" s="22" t="n">
        <f aca="false">IFERROR(D138*E138,0)</f>
        <v>1812.87648455423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1812.87648455423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95363.47</v>
      </c>
      <c r="F139" s="21" t="n">
        <f aca="false">IFERROR(D139*E139,0)</f>
        <v>3149.04084817007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3149.04084817007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95363.47</v>
      </c>
      <c r="F140" s="22" t="n">
        <f aca="false">IFERROR(D140*E140,0)</f>
        <v>2324.33866769656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2324.33866769656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95363.47</v>
      </c>
      <c r="F141" s="21" t="n">
        <f aca="false">IFERROR(D141*E141,0)</f>
        <v>2346.85279250473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2346.85279250473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95363.47</v>
      </c>
      <c r="F142" s="22" t="n">
        <f aca="false">IFERROR(D142*E142,0)</f>
        <v>68940.6973501229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68940.6973501229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242827.55</v>
      </c>
      <c r="F143" s="21" t="n">
        <f aca="false">IFERROR(D143*E143,0)</f>
        <v>7870.48303145853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7870.48303145853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242827.55</v>
      </c>
      <c r="F144" s="22" t="n">
        <f aca="false">IFERROR(D144*E144,0)</f>
        <v>7407.51344137274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7407.51344137274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242827.55</v>
      </c>
      <c r="F145" s="21" t="n">
        <f aca="false">IFERROR(D145*E145,0)</f>
        <v>9722.36139180172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9722.36139180172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242827.55</v>
      </c>
      <c r="F146" s="22" t="n">
        <f aca="false">IFERROR(D146*E146,0)</f>
        <v>2546.33274547188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2546.33274547188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242827.55</v>
      </c>
      <c r="F147" s="21" t="n">
        <f aca="false">IFERROR(D147*E147,0)</f>
        <v>9722.36139180172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9722.36139180172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242827.55</v>
      </c>
      <c r="F148" s="22" t="n">
        <f aca="false">IFERROR(D148*E148,0)</f>
        <v>4166.72631077217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4166.72631077217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242827.55</v>
      </c>
      <c r="F149" s="21" t="n">
        <f aca="false">IFERROR(D149*E149,0)</f>
        <v>3935.24151572927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3935.24151572927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242827.55</v>
      </c>
      <c r="F150" s="22" t="n">
        <f aca="false">IFERROR(D150*E150,0)</f>
        <v>197456.530171592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197456.530171592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731448.72</v>
      </c>
      <c r="F151" s="21" t="n">
        <f aca="false">IFERROR(D151*E151,0)</f>
        <v>24194.7978649477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24194.7978649477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731448.72</v>
      </c>
      <c r="F152" s="22" t="n">
        <f aca="false">IFERROR(D152*E152,0)</f>
        <v>50371.7296744558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50371.7296744558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731448.72</v>
      </c>
      <c r="F153" s="21" t="n">
        <f aca="false">IFERROR(D153*E153,0)</f>
        <v>54212.1141920418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54212.1141920418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731448.72</v>
      </c>
      <c r="F154" s="22" t="n">
        <f aca="false">IFERROR(D154*E154,0)</f>
        <v>13904.9699444168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13904.9699444168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731448.72</v>
      </c>
      <c r="F155" s="21" t="n">
        <f aca="false">IFERROR(D155*E155,0)</f>
        <v>24153.5034077693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24153.5034077693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731448.72</v>
      </c>
      <c r="F156" s="22" t="n">
        <f aca="false">IFERROR(D156*E156,0)</f>
        <v>17827.9433763594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17827.9433763594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731448.72</v>
      </c>
      <c r="F157" s="21" t="n">
        <f aca="false">IFERROR(D157*E157,0)</f>
        <v>18000.6292881961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18000.6292881961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731448.72</v>
      </c>
      <c r="F158" s="22" t="n">
        <f aca="false">IFERROR(D158*E158,0)</f>
        <v>528783.032251813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528783.032251813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3446701.44</v>
      </c>
      <c r="F159" s="21" t="n">
        <f aca="false">IFERROR(D159*E159,0)</f>
        <v>114009.693860185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114009.693860185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3446701.44</v>
      </c>
      <c r="F160" s="22" t="n">
        <f aca="false">IFERROR(D160*E160,0)</f>
        <v>237359.514696037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237359.514696037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3446701.44</v>
      </c>
      <c r="F161" s="21" t="n">
        <f aca="false">IFERROR(D161*E161,0)</f>
        <v>255456.010711393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255456.010711393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3446701.44</v>
      </c>
      <c r="F162" s="22" t="n">
        <f aca="false">IFERROR(D162*E162,0)</f>
        <v>65522.405905062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65522.405905062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3446701.44</v>
      </c>
      <c r="F163" s="21" t="n">
        <f aca="false">IFERROR(D163*E163,0)</f>
        <v>113815.107881525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113815.107881525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3446701.44</v>
      </c>
      <c r="F164" s="22" t="n">
        <f aca="false">IFERROR(D164*E164,0)</f>
        <v>84008.0738777375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84008.0738777375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3446701.44</v>
      </c>
      <c r="F165" s="21" t="n">
        <f aca="false">IFERROR(D165*E165,0)</f>
        <v>84821.7970612237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84821.7970612237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3446701.44</v>
      </c>
      <c r="F166" s="22" t="n">
        <f aca="false">IFERROR(D166*E166,0)</f>
        <v>2491708.83600684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2491708.83600684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1367312.84</v>
      </c>
      <c r="F167" s="21" t="n">
        <f aca="false">IFERROR(D167*E167,0)</f>
        <v>45227.8565501455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45227.8565501455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1367312.84</v>
      </c>
      <c r="F168" s="22" t="n">
        <f aca="false">IFERROR(D168*E168,0)</f>
        <v>94160.9587571532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94160.9587571532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1367312.84</v>
      </c>
      <c r="F169" s="21" t="n">
        <f aca="false">IFERROR(D169*E169,0)</f>
        <v>101339.872217324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101339.872217324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1367312.84</v>
      </c>
      <c r="F170" s="22" t="n">
        <f aca="false">IFERROR(D170*E170,0)</f>
        <v>25992.8596837454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25992.8596837454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1367312.84</v>
      </c>
      <c r="F171" s="21" t="n">
        <f aca="false">IFERROR(D171*E171,0)</f>
        <v>45150.6639322942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45150.6639322942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1367312.84</v>
      </c>
      <c r="F172" s="22" t="n">
        <f aca="false">IFERROR(D172*E172,0)</f>
        <v>33326.1583796185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33326.1583796185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1367312.84</v>
      </c>
      <c r="F173" s="21" t="n">
        <f aca="false">IFERROR(D173*E173,0)</f>
        <v>33648.9638724512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33648.9638724512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1367312.84</v>
      </c>
      <c r="F174" s="22" t="n">
        <f aca="false">IFERROR(D174*E174,0)</f>
        <v>988465.506607269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988465.506607269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1393797.37</v>
      </c>
      <c r="F175" s="21" t="n">
        <f aca="false">IFERROR(D175*E175,0)</f>
        <v>46103.9095561555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46103.9095561555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1393797.37</v>
      </c>
      <c r="F176" s="22" t="n">
        <f aca="false">IFERROR(D176*E176,0)</f>
        <v>95984.8345111705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95984.8345111705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1393797.37</v>
      </c>
      <c r="F177" s="21" t="n">
        <f aca="false">IFERROR(D177*E177,0)</f>
        <v>103302.801846461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103302.801846461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1393797.37</v>
      </c>
      <c r="F178" s="22" t="n">
        <f aca="false">IFERROR(D178*E178,0)</f>
        <v>26496.3352980605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26496.3352980605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1393797.37</v>
      </c>
      <c r="F179" s="21" t="n">
        <f aca="false">IFERROR(D179*E179,0)</f>
        <v>46025.2217353459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46025.2217353459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1393797.37</v>
      </c>
      <c r="F180" s="22" t="n">
        <f aca="false">IFERROR(D180*E180,0)</f>
        <v>33971.6782749701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33971.6782749701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1393797.37</v>
      </c>
      <c r="F181" s="21" t="n">
        <f aca="false">IFERROR(D181*E181,0)</f>
        <v>34300.7364347192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34300.7364347192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1393797.37</v>
      </c>
      <c r="F182" s="22" t="n">
        <f aca="false">IFERROR(D182*E182,0)</f>
        <v>1007611.85234312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1007611.85234312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125650.23</v>
      </c>
      <c r="F183" s="21" t="n">
        <f aca="false">IFERROR(D183*E183,0)</f>
        <v>4156.24750363113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4156.24750363113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125650.23</v>
      </c>
      <c r="F184" s="22" t="n">
        <f aca="false">IFERROR(D184*E184,0)</f>
        <v>8652.99131167145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8652.99131167145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125650.23</v>
      </c>
      <c r="F185" s="21" t="n">
        <f aca="false">IFERROR(D185*E185,0)</f>
        <v>9312.70290146426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9312.70290146426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125650.23</v>
      </c>
      <c r="F186" s="22" t="n">
        <f aca="false">IFERROR(D186*E186,0)</f>
        <v>2388.63316577963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2388.63316577963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125650.23</v>
      </c>
      <c r="F187" s="21" t="n">
        <f aca="false">IFERROR(D187*E187,0)</f>
        <v>4149.1538306226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4149.1538306226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125650.23</v>
      </c>
      <c r="F188" s="22" t="n">
        <f aca="false">IFERROR(D188*E188,0)</f>
        <v>3062.53210158949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3062.53210158949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125650.23</v>
      </c>
      <c r="F189" s="21" t="n">
        <f aca="false">IFERROR(D189*E189,0)</f>
        <v>3092.19655235241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3092.19655235241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125650.23</v>
      </c>
      <c r="F190" s="22" t="n">
        <f aca="false">IFERROR(D190*E190,0)</f>
        <v>90835.772632889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90835.772632889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739188.63</v>
      </c>
      <c r="F191" s="21" t="n">
        <f aca="false">IFERROR(D191*E191,0)</f>
        <v>24450.8179423946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24450.8179423946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739188.63</v>
      </c>
      <c r="F192" s="22" t="n">
        <f aca="false">IFERROR(D192*E192,0)</f>
        <v>50904.7440110243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50904.7440110243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739188.63</v>
      </c>
      <c r="F193" s="21" t="n">
        <f aca="false">IFERROR(D193*E193,0)</f>
        <v>54785.7660056045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54785.7660056045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739188.63</v>
      </c>
      <c r="F194" s="22" t="n">
        <f aca="false">IFERROR(D194*E194,0)</f>
        <v>14052.1070067696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14052.1070067696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739188.63</v>
      </c>
      <c r="F195" s="21" t="n">
        <f aca="false">IFERROR(D195*E195,0)</f>
        <v>24409.0865230981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24409.0865230981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739188.63</v>
      </c>
      <c r="F196" s="22" t="n">
        <f aca="false">IFERROR(D196*E196,0)</f>
        <v>18016.5918399429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18016.5918399429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739188.63</v>
      </c>
      <c r="F197" s="21" t="n">
        <f aca="false">IFERROR(D197*E197,0)</f>
        <v>18191.1050479104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18191.1050479104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739188.63</v>
      </c>
      <c r="F198" s="22" t="n">
        <f aca="false">IFERROR(D198*E198,0)</f>
        <v>534378.411623256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534378.411623256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1275399.05</v>
      </c>
      <c r="F199" s="21" t="n">
        <f aca="false">IFERROR(D199*E199,0)</f>
        <v>42187.5401079331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42187.5401079331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1275399.05</v>
      </c>
      <c r="F200" s="22" t="n">
        <f aca="false">IFERROR(D200*E200,0)</f>
        <v>87831.2510734283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87831.2510734283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1275399.05</v>
      </c>
      <c r="F201" s="21" t="n">
        <f aca="false">IFERROR(D201*E201,0)</f>
        <v>94527.5821099552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94527.5821099552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1275399.05</v>
      </c>
      <c r="F202" s="22" t="n">
        <f aca="false">IFERROR(D202*E202,0)</f>
        <v>24245.5622280503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24245.5622280503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1275399.05</v>
      </c>
      <c r="F203" s="21" t="n">
        <f aca="false">IFERROR(D203*E203,0)</f>
        <v>42115.5365484005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42115.5365484005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1275399.05</v>
      </c>
      <c r="F204" s="22" t="n">
        <f aca="false">IFERROR(D204*E204,0)</f>
        <v>31085.9003836422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31085.9003836422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1275399.05</v>
      </c>
      <c r="F205" s="21" t="n">
        <f aca="false">IFERROR(D205*E205,0)</f>
        <v>31387.006178051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31387.006178051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1275399.05</v>
      </c>
      <c r="F206" s="22" t="n">
        <f aca="false">IFERROR(D206*E206,0)</f>
        <v>922018.671370539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922018.671370539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318303.01</v>
      </c>
      <c r="F207" s="21" t="n">
        <f aca="false">IFERROR(D207*E207,0)</f>
        <v>10528.799594802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10528.799594802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318303.01</v>
      </c>
      <c r="F208" s="22" t="n">
        <f aca="false">IFERROR(D208*E208,0)</f>
        <v>21920.1602735536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21920.1602735536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318303.01</v>
      </c>
      <c r="F209" s="21" t="n">
        <f aca="false">IFERROR(D209*E209,0)</f>
        <v>23591.372373706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23591.372373706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318303.01</v>
      </c>
      <c r="F210" s="22" t="n">
        <f aca="false">IFERROR(D210*E210,0)</f>
        <v>6050.99669498006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6050.99669498006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318303.01</v>
      </c>
      <c r="F211" s="21" t="n">
        <f aca="false">IFERROR(D211*E211,0)</f>
        <v>10510.8295722197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10510.8295722197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318303.01</v>
      </c>
      <c r="F212" s="22" t="n">
        <f aca="false">IFERROR(D212*E212,0)</f>
        <v>7758.14884029706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7758.14884029706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318303.01</v>
      </c>
      <c r="F213" s="21" t="n">
        <f aca="false">IFERROR(D213*E213,0)</f>
        <v>7833.29620745934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7833.29620745934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318303.01</v>
      </c>
      <c r="F214" s="22" t="n">
        <f aca="false">IFERROR(D214*E214,0)</f>
        <v>230109.406442982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230109.406442982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3362757.99</v>
      </c>
      <c r="F215" s="21" t="n">
        <f aca="false">IFERROR(D215*E215,0)</f>
        <v>111233.019639145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111233.019639145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3362757.99</v>
      </c>
      <c r="F216" s="22" t="n">
        <f aca="false">IFERROR(D216*E216,0)</f>
        <v>231578.690072623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231578.690072623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3362757.99</v>
      </c>
      <c r="F217" s="21" t="n">
        <f aca="false">IFERROR(D217*E217,0)</f>
        <v>249234.450986641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249234.450986641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3362757.99</v>
      </c>
      <c r="F218" s="22" t="n">
        <f aca="false">IFERROR(D218*E218,0)</f>
        <v>63926.6260269037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63926.6260269037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3362757.99</v>
      </c>
      <c r="F219" s="21" t="n">
        <f aca="false">IFERROR(D219*E219,0)</f>
        <v>111043.172747597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111043.172747597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3362757.99</v>
      </c>
      <c r="F220" s="22" t="n">
        <f aca="false">IFERROR(D220*E220,0)</f>
        <v>81962.0807240188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81962.0807240188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3362757.99</v>
      </c>
      <c r="F221" s="21" t="n">
        <f aca="false">IFERROR(D221*E221,0)</f>
        <v>82755.9859068583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82755.9859068583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3362757.99</v>
      </c>
      <c r="F222" s="22" t="n">
        <f aca="false">IFERROR(D222*E222,0)</f>
        <v>2431023.96389621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2431023.96389621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1302598.37</v>
      </c>
      <c r="F223" s="21" t="n">
        <f aca="false">IFERROR(D223*E223,0)</f>
        <v>43087.2368761003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43087.2368761003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1302598.37</v>
      </c>
      <c r="F224" s="22" t="n">
        <f aca="false">IFERROR(D224*E224,0)</f>
        <v>89704.3513426708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89704.3513426708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1302598.37</v>
      </c>
      <c r="F225" s="21" t="n">
        <f aca="false">IFERROR(D225*E225,0)</f>
        <v>96543.4891742069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96543.4891742069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1302598.37</v>
      </c>
      <c r="F226" s="22" t="n">
        <f aca="false">IFERROR(D226*E226,0)</f>
        <v>24762.6261270869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24762.6261270869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1302598.37</v>
      </c>
      <c r="F227" s="21" t="n">
        <f aca="false">IFERROR(D227*E227,0)</f>
        <v>43013.6977596321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43013.6977596321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1302598.37</v>
      </c>
      <c r="F228" s="22" t="n">
        <f aca="false">IFERROR(D228*E228,0)</f>
        <v>31748.8421915594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31748.8421915594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1302598.37</v>
      </c>
      <c r="F229" s="21" t="n">
        <f aca="false">IFERROR(D229*E229,0)</f>
        <v>32056.3694058806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32056.3694058806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1302598.37</v>
      </c>
      <c r="F230" s="22" t="n">
        <f aca="false">IFERROR(D230*E230,0)</f>
        <v>941681.757122863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941681.757122863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184954.45</v>
      </c>
      <c r="F239" s="21" t="n">
        <f aca="false">IFERROR(D239*E239,0)</f>
        <v>6070.8313306538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6070.8313306538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184954.45</v>
      </c>
      <c r="F240" s="22" t="n">
        <f aca="false">IFERROR(D240*E240,0)</f>
        <v>12955.618072201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12955.618072201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184954.45</v>
      </c>
      <c r="F241" s="21" t="n">
        <f aca="false">IFERROR(D241*E241,0)</f>
        <v>13853.6757642675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13853.6757642675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184954.45</v>
      </c>
      <c r="F242" s="22" t="n">
        <f aca="false">IFERROR(D242*E242,0)</f>
        <v>3528.42903772076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3528.42903772076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184954.45</v>
      </c>
      <c r="F243" s="21" t="n">
        <f aca="false">IFERROR(D243*E243,0)</f>
        <v>6182.96770555123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6182.96770555123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184954.45</v>
      </c>
      <c r="F244" s="22" t="n">
        <f aca="false">IFERROR(D244*E244,0)</f>
        <v>4572.45735573129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4572.45735573129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184954.45</v>
      </c>
      <c r="F245" s="21" t="n">
        <f aca="false">IFERROR(D245*E245,0)</f>
        <v>4622.72538585772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4622.72538585772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184954.45</v>
      </c>
      <c r="F246" s="22" t="n">
        <f aca="false">IFERROR(D246*E246,0)</f>
        <v>133167.745348017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133167.745348017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89214.72</v>
      </c>
      <c r="F247" s="21" t="n">
        <f aca="false">IFERROR(D247*E247,0)</f>
        <v>2965.35156695157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2965.35156695157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89214.72</v>
      </c>
      <c r="F248" s="22" t="n">
        <f aca="false">IFERROR(D248*E248,0)</f>
        <v>2965.35156695157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2965.35156695157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89214.72</v>
      </c>
      <c r="F249" s="21" t="n">
        <f aca="false">IFERROR(D249*E249,0)</f>
        <v>3558.42188034188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3558.42188034188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89214.72</v>
      </c>
      <c r="F250" s="22" t="n">
        <f aca="false">IFERROR(D250*E250,0)</f>
        <v>931.967635327635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931.967635327635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89214.72</v>
      </c>
      <c r="F251" s="21" t="n">
        <f aca="false">IFERROR(D251*E251,0)</f>
        <v>3558.42188034188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3558.42188034188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89214.72</v>
      </c>
      <c r="F252" s="22" t="n">
        <f aca="false">IFERROR(D252*E252,0)</f>
        <v>1525.03794871795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1525.03794871795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89214.72</v>
      </c>
      <c r="F253" s="21" t="n">
        <f aca="false">IFERROR(D253*E253,0)</f>
        <v>1694.48660968661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1694.48660968661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89214.72</v>
      </c>
      <c r="F254" s="22" t="n">
        <f aca="false">IFERROR(D254*E254,0)</f>
        <v>72015.6809116809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72015.6809116809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259932.05</v>
      </c>
      <c r="F255" s="21" t="n">
        <f aca="false">IFERROR(D255*E255,0)</f>
        <v>8639.71676163343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8639.71676163343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259932.05</v>
      </c>
      <c r="F256" s="22" t="n">
        <f aca="false">IFERROR(D256*E256,0)</f>
        <v>8639.71676163343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8639.71676163343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259932.05</v>
      </c>
      <c r="F257" s="21" t="n">
        <f aca="false">IFERROR(D257*E257,0)</f>
        <v>10367.6601139601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10367.6601139601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259932.05</v>
      </c>
      <c r="F258" s="22" t="n">
        <f aca="false">IFERROR(D258*E258,0)</f>
        <v>2715.33955365622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2715.33955365622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259932.05</v>
      </c>
      <c r="F259" s="21" t="n">
        <f aca="false">IFERROR(D259*E259,0)</f>
        <v>10367.6601139601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10367.6601139601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259932.05</v>
      </c>
      <c r="F260" s="22" t="n">
        <f aca="false">IFERROR(D260*E260,0)</f>
        <v>4443.28290598291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4443.28290598291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259932.05</v>
      </c>
      <c r="F261" s="21" t="n">
        <f aca="false">IFERROR(D261*E261,0)</f>
        <v>4936.98100664767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4936.98100664767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259932.05</v>
      </c>
      <c r="F262" s="22" t="n">
        <f aca="false">IFERROR(D262*E262,0)</f>
        <v>209821.692782526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209821.692782526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229441.9</v>
      </c>
      <c r="F263" s="21" t="n">
        <f aca="false">IFERROR(D263*E263,0)</f>
        <v>7531.06008038594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7531.06008038594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229441.9</v>
      </c>
      <c r="F264" s="22" t="n">
        <f aca="false">IFERROR(D264*E264,0)</f>
        <v>16071.8578339701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16071.8578339701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229441.9</v>
      </c>
      <c r="F265" s="21" t="n">
        <f aca="false">IFERROR(D265*E265,0)</f>
        <v>17185.9270719763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17185.9270719763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229441.9</v>
      </c>
      <c r="F266" s="22" t="n">
        <f aca="false">IFERROR(D266*E266,0)</f>
        <v>4377.12886837718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4377.12886837718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229441.9</v>
      </c>
      <c r="F267" s="21" t="n">
        <f aca="false">IFERROR(D267*E267,0)</f>
        <v>7670.16883346313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7670.16883346313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229441.9</v>
      </c>
      <c r="F268" s="22" t="n">
        <f aca="false">IFERROR(D268*E268,0)</f>
        <v>5672.27932806138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5672.27932806138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229441.9</v>
      </c>
      <c r="F269" s="21" t="n">
        <f aca="false">IFERROR(D269*E269,0)</f>
        <v>5734.6384242684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5734.6384242684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229441.9</v>
      </c>
      <c r="F270" s="22" t="n">
        <f aca="false">IFERROR(D270*E270,0)</f>
        <v>165198.839559498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165198.839559498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51457.38</v>
      </c>
      <c r="F271" s="21" t="n">
        <f aca="false">IFERROR(D271*E271,0)</f>
        <v>1689.00545349062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1689.00545349062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51457.38</v>
      </c>
      <c r="F272" s="22" t="n">
        <f aca="false">IFERROR(D272*E272,0)</f>
        <v>3604.46673370721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3604.46673370721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51457.38</v>
      </c>
      <c r="F273" s="21" t="n">
        <f aca="false">IFERROR(D273*E273,0)</f>
        <v>3854.32120286212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3854.32120286212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51457.38</v>
      </c>
      <c r="F274" s="22" t="n">
        <f aca="false">IFERROR(D274*E274,0)</f>
        <v>981.667182363179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981.667182363179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51457.38</v>
      </c>
      <c r="F275" s="21" t="n">
        <f aca="false">IFERROR(D275*E275,0)</f>
        <v>1720.20364339586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1720.20364339586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51457.38</v>
      </c>
      <c r="F276" s="22" t="n">
        <f aca="false">IFERROR(D276*E276,0)</f>
        <v>1272.13308837749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1272.13308837749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51457.38</v>
      </c>
      <c r="F277" s="21" t="n">
        <f aca="false">IFERROR(D277*E277,0)</f>
        <v>1286.11848385225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1286.11848385225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51457.38</v>
      </c>
      <c r="F278" s="22" t="n">
        <f aca="false">IFERROR(D278*E278,0)</f>
        <v>37049.4642119513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37049.4642119513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222978.1</v>
      </c>
      <c r="F279" s="21" t="n">
        <f aca="false">IFERROR(D279*E279,0)</f>
        <v>7318.89627705447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7318.89627705447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222978.1</v>
      </c>
      <c r="F280" s="22" t="n">
        <f aca="false">IFERROR(D280*E280,0)</f>
        <v>15619.0840613191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15619.0840613191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222978.1</v>
      </c>
      <c r="F281" s="21" t="n">
        <f aca="false">IFERROR(D281*E281,0)</f>
        <v>16701.767921412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16701.767921412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222978.1</v>
      </c>
      <c r="F282" s="22" t="n">
        <f aca="false">IFERROR(D282*E282,0)</f>
        <v>4253.81710370204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4253.81710370204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222978.1</v>
      </c>
      <c r="F283" s="21" t="n">
        <f aca="false">IFERROR(D283*E283,0)</f>
        <v>7454.08608089815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7454.08608089815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222978.1</v>
      </c>
      <c r="F284" s="22" t="n">
        <f aca="false">IFERROR(D284*E284,0)</f>
        <v>5512.48079466045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5512.48079466045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222978.1</v>
      </c>
      <c r="F285" s="21" t="n">
        <f aca="false">IFERROR(D285*E285,0)</f>
        <v>5573.08312052141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5573.08312052141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222978.1</v>
      </c>
      <c r="F286" s="22" t="n">
        <f aca="false">IFERROR(D286*E286,0)</f>
        <v>160544.884640432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160544.884640432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6166077.189</v>
      </c>
      <c r="F287" s="21" t="n">
        <f aca="false">IFERROR(D287*E287,0)</f>
        <v>202391.532543342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202391.532543342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6166077.189</v>
      </c>
      <c r="F288" s="22" t="n">
        <f aca="false">IFERROR(D288*E288,0)</f>
        <v>431918.999863992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431918.999863992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6166077.189</v>
      </c>
      <c r="F289" s="21" t="n">
        <f aca="false">IFERROR(D289*E289,0)</f>
        <v>461858.766381948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461858.766381948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6166077.189</v>
      </c>
      <c r="F290" s="22" t="n">
        <f aca="false">IFERROR(D290*E290,0)</f>
        <v>117632.021303057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117632.021303057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6166077.189</v>
      </c>
      <c r="F291" s="21" t="n">
        <f aca="false">IFERROR(D291*E291,0)</f>
        <v>206129.974864206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206129.974864206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6166077.189</v>
      </c>
      <c r="F292" s="22" t="n">
        <f aca="false">IFERROR(D292*E292,0)</f>
        <v>152438.208428345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152438.208428345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6166077.189</v>
      </c>
      <c r="F293" s="21" t="n">
        <f aca="false">IFERROR(D293*E293,0)</f>
        <v>154114.061882526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154114.061882526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6166077.189</v>
      </c>
      <c r="F294" s="22" t="n">
        <f aca="false">IFERROR(D294*E294,0)</f>
        <v>4439593.62373258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4439593.62373258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447048.239</v>
      </c>
      <c r="F295" s="21" t="n">
        <f aca="false">IFERROR(D295*E295,0)</f>
        <v>14673.6369718858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14673.6369718858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447048.239</v>
      </c>
      <c r="F296" s="22" t="n">
        <f aca="false">IFERROR(D296*E296,0)</f>
        <v>31314.6628498748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31314.6628498748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447048.239</v>
      </c>
      <c r="F297" s="21" t="n">
        <f aca="false">IFERROR(D297*E297,0)</f>
        <v>33485.3330324993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33485.3330324993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447048.239</v>
      </c>
      <c r="F298" s="22" t="n">
        <f aca="false">IFERROR(D298*E298,0)</f>
        <v>8528.46734830944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8528.46734830944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447048.239</v>
      </c>
      <c r="F299" s="21" t="n">
        <f aca="false">IFERROR(D299*E299,0)</f>
        <v>14944.6786739143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14944.6786739143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447048.239</v>
      </c>
      <c r="F300" s="22" t="n">
        <f aca="false">IFERROR(D300*E300,0)</f>
        <v>11051.9590568503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11051.9590568503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447048.239</v>
      </c>
      <c r="F301" s="21" t="n">
        <f aca="false">IFERROR(D301*E301,0)</f>
        <v>11173.4605094838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11173.4605094838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447048.239</v>
      </c>
      <c r="F302" s="22" t="n">
        <f aca="false">IFERROR(D302*E302,0)</f>
        <v>321876.040557182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321876.040557182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331122.709</v>
      </c>
      <c r="F303" s="21" t="n">
        <f aca="false">IFERROR(D303*E303,0)</f>
        <v>10868.5685372164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10868.5685372164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331122.709</v>
      </c>
      <c r="F304" s="22" t="n">
        <f aca="false">IFERROR(D304*E304,0)</f>
        <v>23194.3559770341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23194.3559770341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331122.709</v>
      </c>
      <c r="F305" s="21" t="n">
        <f aca="false">IFERROR(D305*E305,0)</f>
        <v>24802.142628479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24802.142628479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331122.709</v>
      </c>
      <c r="F306" s="22" t="n">
        <f aca="false">IFERROR(D306*E306,0)</f>
        <v>6316.92279631207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6316.92279631207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331122.709</v>
      </c>
      <c r="F307" s="21" t="n">
        <f aca="false">IFERROR(D307*E307,0)</f>
        <v>11069.3255356745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11069.3255356745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331122.709</v>
      </c>
      <c r="F308" s="22" t="n">
        <f aca="false">IFERROR(D308*E308,0)</f>
        <v>8186.03967850852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8186.03967850852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331122.709</v>
      </c>
      <c r="F309" s="21" t="n">
        <f aca="false">IFERROR(D309*E309,0)</f>
        <v>8276.03419505872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8276.03419505872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331122.709</v>
      </c>
      <c r="F310" s="22" t="n">
        <f aca="false">IFERROR(D310*E310,0)</f>
        <v>238409.319651717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238409.319651717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82426.19</v>
      </c>
      <c r="F311" s="21" t="n">
        <f aca="false">IFERROR(D311*E311,0)</f>
        <v>2705.50666241566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2705.50666241566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82426.19</v>
      </c>
      <c r="F312" s="22" t="n">
        <f aca="false">IFERROR(D312*E312,0)</f>
        <v>5773.75800791315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5773.75800791315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82426.19</v>
      </c>
      <c r="F313" s="21" t="n">
        <f aca="false">IFERROR(D313*E313,0)</f>
        <v>6173.98343615904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6173.98343615904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82426.19</v>
      </c>
      <c r="F314" s="22" t="n">
        <f aca="false">IFERROR(D314*E314,0)</f>
        <v>1572.4680442384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1572.4680442384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82426.19</v>
      </c>
      <c r="F315" s="21" t="n">
        <f aca="false">IFERROR(D315*E315,0)</f>
        <v>2755.48098930104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2755.48098930104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82426.19</v>
      </c>
      <c r="F316" s="22" t="n">
        <f aca="false">IFERROR(D316*E316,0)</f>
        <v>2037.74626006784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2037.74626006784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82426.19</v>
      </c>
      <c r="F317" s="21" t="n">
        <f aca="false">IFERROR(D317*E317,0)</f>
        <v>2060.1485445337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2060.1485445337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82426.19</v>
      </c>
      <c r="F318" s="22" t="n">
        <f aca="false">IFERROR(D318*E318,0)</f>
        <v>59347.0980553712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59347.0980553712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19841.34</v>
      </c>
      <c r="F319" s="21" t="n">
        <f aca="false">IFERROR(D319*E319,0)</f>
        <v>651.259964354221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651.259964354221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19841.34</v>
      </c>
      <c r="F320" s="22" t="n">
        <f aca="false">IFERROR(D320*E320,0)</f>
        <v>1389.83854176358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1389.83854176358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19841.34</v>
      </c>
      <c r="F321" s="21" t="n">
        <f aca="false">IFERROR(D321*E321,0)</f>
        <v>1486.17938680897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1486.17938680897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19841.34</v>
      </c>
      <c r="F322" s="22" t="n">
        <f aca="false">IFERROR(D322*E322,0)</f>
        <v>378.518928326896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378.518928326896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19841.34</v>
      </c>
      <c r="F323" s="21" t="n">
        <f aca="false">IFERROR(D323*E323,0)</f>
        <v>663.289607007897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663.289607007897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19841.34</v>
      </c>
      <c r="F324" s="22" t="n">
        <f aca="false">IFERROR(D324*E324,0)</f>
        <v>490.519049585265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490.519049585265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19841.34</v>
      </c>
      <c r="F325" s="21" t="n">
        <f aca="false">IFERROR(D325*E325,0)</f>
        <v>495.911648016224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495.911648016224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19841.34</v>
      </c>
      <c r="F326" s="22" t="n">
        <f aca="false">IFERROR(D326*E326,0)</f>
        <v>14285.822874137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14285.822874137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112937.96</v>
      </c>
      <c r="F327" s="21" t="n">
        <f aca="false">IFERROR(D327*E327,0)</f>
        <v>3707.00627093928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3707.00627093928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112937.96</v>
      </c>
      <c r="F328" s="22" t="n">
        <f aca="false">IFERROR(D328*E328,0)</f>
        <v>7911.03472024335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7911.03472024335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112937.96</v>
      </c>
      <c r="F329" s="21" t="n">
        <f aca="false">IFERROR(D329*E329,0)</f>
        <v>8459.41192178835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8459.41192178835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112937.96</v>
      </c>
      <c r="F330" s="22" t="n">
        <f aca="false">IFERROR(D330*E330,0)</f>
        <v>2154.54982307777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2154.54982307777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112937.96</v>
      </c>
      <c r="F331" s="21" t="n">
        <f aca="false">IFERROR(D331*E331,0)</f>
        <v>3775.47963517956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3775.47963517956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112937.96</v>
      </c>
      <c r="F332" s="22" t="n">
        <f aca="false">IFERROR(D332*E332,0)</f>
        <v>2792.06045565968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2792.06045565968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112937.96</v>
      </c>
      <c r="F333" s="21" t="n">
        <f aca="false">IFERROR(D333*E333,0)</f>
        <v>2822.75541204326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2822.75541204326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112937.96</v>
      </c>
      <c r="F334" s="22" t="n">
        <f aca="false">IFERROR(D334*E334,0)</f>
        <v>81315.6617610688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81315.6617610688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85461.44</v>
      </c>
      <c r="F335" s="21" t="n">
        <f aca="false">IFERROR(D335*E335,0)</f>
        <v>2805.13384519697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2805.13384519697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85461.44</v>
      </c>
      <c r="F336" s="22" t="n">
        <f aca="false">IFERROR(D336*E336,0)</f>
        <v>5986.37003078499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5986.37003078499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85461.44</v>
      </c>
      <c r="F337" s="21" t="n">
        <f aca="false">IFERROR(D337*E337,0)</f>
        <v>6401.33330183403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6401.33330183403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85461.44</v>
      </c>
      <c r="F338" s="22" t="n">
        <f aca="false">IFERROR(D338*E338,0)</f>
        <v>1630.37237817977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1630.37237817977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85461.44</v>
      </c>
      <c r="F339" s="21" t="n">
        <f aca="false">IFERROR(D339*E339,0)</f>
        <v>2856.94841940761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2856.94841940761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85461.44</v>
      </c>
      <c r="F340" s="22" t="n">
        <f aca="false">IFERROR(D340*E340,0)</f>
        <v>2112.78393117542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2112.78393117542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85461.44</v>
      </c>
      <c r="F341" s="21" t="n">
        <f aca="false">IFERROR(D341*E341,0)</f>
        <v>2136.01115409744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2136.01115409744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85461.44</v>
      </c>
      <c r="F342" s="22" t="n">
        <f aca="false">IFERROR(D342*E342,0)</f>
        <v>61532.4869393238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61532.4869393238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244568.67</v>
      </c>
      <c r="F343" s="21" t="n">
        <f aca="false">IFERROR(D343*E343,0)</f>
        <v>8129.06310541311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8129.06310541311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244568.67</v>
      </c>
      <c r="F344" s="22" t="n">
        <f aca="false">IFERROR(D344*E344,0)</f>
        <v>8129.06310541311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8129.06310541311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244568.67</v>
      </c>
      <c r="F345" s="21" t="n">
        <f aca="false">IFERROR(D345*E345,0)</f>
        <v>9754.87572649573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9754.87572649573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244568.67</v>
      </c>
      <c r="F346" s="22" t="n">
        <f aca="false">IFERROR(D346*E346,0)</f>
        <v>2554.8484045584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2554.8484045584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244568.67</v>
      </c>
      <c r="F347" s="21" t="n">
        <f aca="false">IFERROR(D347*E347,0)</f>
        <v>9754.87572649573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9754.87572649573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244568.67</v>
      </c>
      <c r="F348" s="22" t="n">
        <f aca="false">IFERROR(D348*E348,0)</f>
        <v>4180.66102564103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4180.66102564103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244568.67</v>
      </c>
      <c r="F349" s="21" t="n">
        <f aca="false">IFERROR(D349*E349,0)</f>
        <v>4645.17891737892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4645.17891737892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244568.67</v>
      </c>
      <c r="F350" s="22" t="n">
        <f aca="false">IFERROR(D350*E350,0)</f>
        <v>197420.103988604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197420.103988604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657234.79</v>
      </c>
      <c r="F351" s="21" t="n">
        <f aca="false">IFERROR(D351*E351,0)</f>
        <v>21572.6712967851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21572.6712967851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657234.79</v>
      </c>
      <c r="F352" s="22" t="n">
        <f aca="false">IFERROR(D352*E352,0)</f>
        <v>46037.7294139353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46037.7294139353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657234.79</v>
      </c>
      <c r="F353" s="21" t="n">
        <f aca="false">IFERROR(D353*E353,0)</f>
        <v>49228.9733048132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49228.9733048132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657234.79</v>
      </c>
      <c r="F354" s="22" t="n">
        <f aca="false">IFERROR(D354*E354,0)</f>
        <v>12538.2564065709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12538.2564065709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657234.79</v>
      </c>
      <c r="F355" s="21" t="n">
        <f aca="false">IFERROR(D355*E355,0)</f>
        <v>21971.1473908021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21971.1473908021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657234.79</v>
      </c>
      <c r="F356" s="22" t="n">
        <f aca="false">IFERROR(D356*E356,0)</f>
        <v>16248.2062474193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16248.2062474193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657234.79</v>
      </c>
      <c r="F357" s="21" t="n">
        <f aca="false">IFERROR(D357*E357,0)</f>
        <v>16426.8334619787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16426.8334619787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657234.79</v>
      </c>
      <c r="F358" s="22" t="n">
        <f aca="false">IFERROR(D358*E358,0)</f>
        <v>473210.972477695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473210.972477695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3223530.42</v>
      </c>
      <c r="F359" s="21" t="n">
        <f aca="false">IFERROR(D359*E359,0)</f>
        <v>105807.183709565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105807.183709565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3223530.42</v>
      </c>
      <c r="F360" s="22" t="n">
        <f aca="false">IFERROR(D360*E360,0)</f>
        <v>225800.61720949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225800.61720949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3223530.42</v>
      </c>
      <c r="F361" s="21" t="n">
        <f aca="false">IFERROR(D361*E361,0)</f>
        <v>241452.667156334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241452.667156334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3223530.42</v>
      </c>
      <c r="F362" s="22" t="n">
        <f aca="false">IFERROR(D362*E362,0)</f>
        <v>61496.2134617696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61496.2134617696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3223530.42</v>
      </c>
      <c r="F363" s="21" t="n">
        <f aca="false">IFERROR(D363*E363,0)</f>
        <v>107761.583918213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107761.583918213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3223530.42</v>
      </c>
      <c r="F364" s="22" t="n">
        <f aca="false">IFERROR(D364*E364,0)</f>
        <v>79692.3533353891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79692.3533353891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3223530.42</v>
      </c>
      <c r="F365" s="21" t="n">
        <f aca="false">IFERROR(D365*E365,0)</f>
        <v>80568.4637737486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80568.4637737486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3223530.42</v>
      </c>
      <c r="F366" s="22" t="n">
        <f aca="false">IFERROR(D366*E366,0)</f>
        <v>2320951.33743549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2320951.33743549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1402542.53</v>
      </c>
      <c r="F367" s="21" t="n">
        <f aca="false">IFERROR(D367*E367,0)</f>
        <v>46036.1950399055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46036.1950399055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1402542.53</v>
      </c>
      <c r="F368" s="22" t="n">
        <f aca="false">IFERROR(D368*E368,0)</f>
        <v>98244.7589052251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98244.7589052251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1402542.53</v>
      </c>
      <c r="F369" s="21" t="n">
        <f aca="false">IFERROR(D369*E369,0)</f>
        <v>105054.890305237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105054.890305237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1402542.53</v>
      </c>
      <c r="F370" s="22" t="n">
        <f aca="false">IFERROR(D370*E370,0)</f>
        <v>26756.7057158686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26756.7057158686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1402542.53</v>
      </c>
      <c r="F371" s="21" t="n">
        <f aca="false">IFERROR(D371*E371,0)</f>
        <v>46886.5451393687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46886.5451393687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1402542.53</v>
      </c>
      <c r="F372" s="22" t="n">
        <f aca="false">IFERROR(D372*E372,0)</f>
        <v>34673.7583660435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34673.7583660435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1402542.53</v>
      </c>
      <c r="F373" s="21" t="n">
        <f aca="false">IFERROR(D373*E373,0)</f>
        <v>35054.9497899408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35054.9497899408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1402542.53</v>
      </c>
      <c r="F374" s="22" t="n">
        <f aca="false">IFERROR(D374*E374,0)</f>
        <v>1009834.72673841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1009834.72673841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868274.68</v>
      </c>
      <c r="F375" s="21" t="n">
        <f aca="false">IFERROR(D375*E375,0)</f>
        <v>28499.7150971896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28499.7150971896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868274.68</v>
      </c>
      <c r="F376" s="22" t="n">
        <f aca="false">IFERROR(D376*E376,0)</f>
        <v>60820.5703395757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60820.5703395757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868274.68</v>
      </c>
      <c r="F377" s="21" t="n">
        <f aca="false">IFERROR(D377*E377,0)</f>
        <v>65036.5313786345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65036.5313786345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868274.68</v>
      </c>
      <c r="F378" s="22" t="n">
        <f aca="false">IFERROR(D378*E378,0)</f>
        <v>16564.324857443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16564.324857443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868274.68</v>
      </c>
      <c r="F379" s="21" t="n">
        <f aca="false">IFERROR(D379*E379,0)</f>
        <v>29026.1429556728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29026.1429556728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868274.68</v>
      </c>
      <c r="F380" s="22" t="n">
        <f aca="false">IFERROR(D380*E380,0)</f>
        <v>21465.5497467686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21465.5497467686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868274.68</v>
      </c>
      <c r="F381" s="21" t="n">
        <f aca="false">IFERROR(D381*E381,0)</f>
        <v>21701.5346488473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21701.5346488473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868274.68</v>
      </c>
      <c r="F382" s="22" t="n">
        <f aca="false">IFERROR(D382*E382,0)</f>
        <v>625160.310975869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625160.310975869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98583.16</v>
      </c>
      <c r="F383" s="21" t="n">
        <f aca="false">IFERROR(D383*E383,0)</f>
        <v>3235.83312757739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3235.83312757739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98583.16</v>
      </c>
      <c r="F384" s="22" t="n">
        <f aca="false">IFERROR(D384*E384,0)</f>
        <v>6905.5152190752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6905.5152190752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98583.16</v>
      </c>
      <c r="F385" s="21" t="n">
        <f aca="false">IFERROR(D385*E385,0)</f>
        <v>7384.1918075337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7384.1918075337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98583.16</v>
      </c>
      <c r="F386" s="22" t="n">
        <f aca="false">IFERROR(D386*E386,0)</f>
        <v>1880.69919039132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1880.69919039132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98583.16</v>
      </c>
      <c r="F387" s="21" t="n">
        <f aca="false">IFERROR(D387*E387,0)</f>
        <v>3295.60329362819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3295.60329362819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98583.16</v>
      </c>
      <c r="F388" s="22" t="n">
        <f aca="false">IFERROR(D388*E388,0)</f>
        <v>2437.18004672629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2437.18004672629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98583.16</v>
      </c>
      <c r="F389" s="21" t="n">
        <f aca="false">IFERROR(D389*E389,0)</f>
        <v>2463.97356943871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2463.97356943871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98583.16</v>
      </c>
      <c r="F390" s="22" t="n">
        <f aca="false">IFERROR(D390*E390,0)</f>
        <v>70980.1637456292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70980.1637456292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654015.41</v>
      </c>
      <c r="F391" s="21" t="n">
        <f aca="false">IFERROR(D391*E391,0)</f>
        <v>21467.0003439138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21467.0003439138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654015.41</v>
      </c>
      <c r="F392" s="22" t="n">
        <f aca="false">IFERROR(D392*E392,0)</f>
        <v>45812.2195237473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45812.2195237473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654015.41</v>
      </c>
      <c r="F393" s="21" t="n">
        <f aca="false">IFERROR(D393*E393,0)</f>
        <v>48987.8315172976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48987.8315172976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654015.41</v>
      </c>
      <c r="F394" s="22" t="n">
        <f aca="false">IFERROR(D394*E394,0)</f>
        <v>12476.8393718607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12476.8393718607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654015.41</v>
      </c>
      <c r="F395" s="21" t="n">
        <f aca="false">IFERROR(D395*E395,0)</f>
        <v>21863.524554088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21863.524554088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654015.41</v>
      </c>
      <c r="F396" s="22" t="n">
        <f aca="false">IFERROR(D396*E396,0)</f>
        <v>16168.6165010688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16168.6165010688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654015.41</v>
      </c>
      <c r="F397" s="21" t="n">
        <f aca="false">IFERROR(D397*E397,0)</f>
        <v>16346.3687332159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16346.3687332159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654015.41</v>
      </c>
      <c r="F398" s="22" t="n">
        <f aca="false">IFERROR(D398*E398,0)</f>
        <v>470893.009454808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470893.009454808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446387.23</v>
      </c>
      <c r="F399" s="21" t="n">
        <f aca="false">IFERROR(D399*E399,0)</f>
        <v>14651.9404182368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14651.9404182368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446387.23</v>
      </c>
      <c r="F400" s="22" t="n">
        <f aca="false">IFERROR(D400*E400,0)</f>
        <v>31268.3607460526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31268.3607460526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446387.23</v>
      </c>
      <c r="F401" s="21" t="n">
        <f aca="false">IFERROR(D401*E401,0)</f>
        <v>33435.8213588777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33435.8213588777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446387.23</v>
      </c>
      <c r="F402" s="22" t="n">
        <f aca="false">IFERROR(D402*E402,0)</f>
        <v>8515.85709021727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8515.85709021727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446387.23</v>
      </c>
      <c r="F403" s="21" t="n">
        <f aca="false">IFERROR(D403*E403,0)</f>
        <v>14922.5813558985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14922.5813558985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446387.23</v>
      </c>
      <c r="F404" s="22" t="n">
        <f aca="false">IFERROR(D404*E404,0)</f>
        <v>11035.617544309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11035.617544309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446387.23</v>
      </c>
      <c r="F405" s="21" t="n">
        <f aca="false">IFERROR(D405*E405,0)</f>
        <v>11156.9393439504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11156.9393439504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446387.23</v>
      </c>
      <c r="F406" s="22" t="n">
        <f aca="false">IFERROR(D406*E406,0)</f>
        <v>321400.112142458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321400.112142458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292027.02</v>
      </c>
      <c r="F407" s="21" t="n">
        <f aca="false">IFERROR(D407*E407,0)</f>
        <v>9585.31564076163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9585.31564076163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292027.02</v>
      </c>
      <c r="F408" s="22" t="n">
        <f aca="false">IFERROR(D408*E408,0)</f>
        <v>20455.7962129757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20455.7962129757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292027.02</v>
      </c>
      <c r="F409" s="21" t="n">
        <f aca="false">IFERROR(D409*E409,0)</f>
        <v>21873.7513451839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21873.7513451839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292027.02</v>
      </c>
      <c r="F410" s="22" t="n">
        <f aca="false">IFERROR(D410*E410,0)</f>
        <v>5571.08313515604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5571.08313515604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292027.02</v>
      </c>
      <c r="F411" s="21" t="n">
        <f aca="false">IFERROR(D411*E411,0)</f>
        <v>9762.36924176933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9762.36924176933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292027.02</v>
      </c>
      <c r="F412" s="22" t="n">
        <f aca="false">IFERROR(D412*E412,0)</f>
        <v>7219.51321350358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7219.51321350358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292027.02</v>
      </c>
      <c r="F413" s="21" t="n">
        <f aca="false">IFERROR(D413*E413,0)</f>
        <v>7298.88206912772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7298.88206912772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292027.02</v>
      </c>
      <c r="F414" s="22" t="n">
        <f aca="false">IFERROR(D414*E414,0)</f>
        <v>210260.309141522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210260.309141522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2955576.43</v>
      </c>
      <c r="F415" s="21" t="n">
        <f aca="false">IFERROR(D415*E415,0)</f>
        <v>97012.0264280525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97012.0264280525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2955576.43</v>
      </c>
      <c r="F416" s="22" t="n">
        <f aca="false">IFERROR(D416*E416,0)</f>
        <v>207031.07932942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207031.07932942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2955576.43</v>
      </c>
      <c r="F417" s="21" t="n">
        <f aca="false">IFERROR(D417*E417,0)</f>
        <v>221382.062219812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221382.062219812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2955576.43</v>
      </c>
      <c r="F418" s="22" t="n">
        <f aca="false">IFERROR(D418*E418,0)</f>
        <v>56384.3784175783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56384.3784175783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2955576.43</v>
      </c>
      <c r="F419" s="21" t="n">
        <f aca="false">IFERROR(D419*E419,0)</f>
        <v>98803.9683174879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98803.9683174879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2955576.43</v>
      </c>
      <c r="F420" s="22" t="n">
        <f aca="false">IFERROR(D420*E420,0)</f>
        <v>73067.9753192179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73067.9753192179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2955576.43</v>
      </c>
      <c r="F421" s="21" t="n">
        <f aca="false">IFERROR(D421*E421,0)</f>
        <v>73871.259614482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73871.259614482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2955576.43</v>
      </c>
      <c r="F422" s="22" t="n">
        <f aca="false">IFERROR(D422*E422,0)</f>
        <v>2128023.68035395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2128023.68035395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1040247.5</v>
      </c>
      <c r="F423" s="21" t="n">
        <f aca="false">IFERROR(D423*E423,0)</f>
        <v>34144.4453736274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34144.4453736274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1040247.5</v>
      </c>
      <c r="F424" s="22" t="n">
        <f aca="false">IFERROR(D424*E424,0)</f>
        <v>72866.8561938462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72866.8561938462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1040247.5</v>
      </c>
      <c r="F425" s="21" t="n">
        <f aca="false">IFERROR(D425*E425,0)</f>
        <v>77917.8418231614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77917.8418231614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1040247.5</v>
      </c>
      <c r="F426" s="22" t="n">
        <f aca="false">IFERROR(D426*E426,0)</f>
        <v>19845.0996200223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19845.0996200223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1040247.5</v>
      </c>
      <c r="F427" s="21" t="n">
        <f aca="false">IFERROR(D427*E427,0)</f>
        <v>34775.1389505924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34775.1389505924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1040247.5</v>
      </c>
      <c r="F428" s="22" t="n">
        <f aca="false">IFERROR(D428*E428,0)</f>
        <v>25717.074302111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25717.074302111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1040247.5</v>
      </c>
      <c r="F429" s="21" t="n">
        <f aca="false">IFERROR(D429*E429,0)</f>
        <v>25999.7990090264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25999.7990090264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1040247.5</v>
      </c>
      <c r="F430" s="22" t="n">
        <f aca="false">IFERROR(D430*E430,0)</f>
        <v>748981.244727613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748981.244727613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310439.36</v>
      </c>
      <c r="F439" s="21" t="n">
        <f aca="false">IFERROR(D439*E439,0)</f>
        <v>10150.2027568477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10150.2027568477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310439.36</v>
      </c>
      <c r="F440" s="22" t="n">
        <f aca="false">IFERROR(D440*E440,0)</f>
        <v>20845.8171372419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20845.8171372419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310439.36</v>
      </c>
      <c r="F441" s="21" t="n">
        <f aca="false">IFERROR(D441*E441,0)</f>
        <v>22631.5009555762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22631.5009555762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310439.36</v>
      </c>
      <c r="F442" s="22" t="n">
        <f aca="false">IFERROR(D442*E442,0)</f>
        <v>5800.77616568482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5800.77616568482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310439.36</v>
      </c>
      <c r="F443" s="21" t="n">
        <f aca="false">IFERROR(D443*E443,0)</f>
        <v>10119.3885408281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10119.3885408281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310439.36</v>
      </c>
      <c r="F444" s="22" t="n">
        <f aca="false">IFERROR(D444*E444,0)</f>
        <v>7403.11539870267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7403.11539870267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310439.36</v>
      </c>
      <c r="F445" s="21" t="n">
        <f aca="false">IFERROR(D445*E445,0)</f>
        <v>7404.65610950365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7404.65610950365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310439.36</v>
      </c>
      <c r="F446" s="22" t="n">
        <f aca="false">IFERROR(D446*E446,0)</f>
        <v>226083.902935615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226083.902935615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184326.69</v>
      </c>
      <c r="F447" s="21" t="n">
        <f aca="false">IFERROR(D447*E447,0)</f>
        <v>5749.63987155963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5749.63987155963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184326.69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184326.69</v>
      </c>
      <c r="F449" s="21" t="n">
        <f aca="false">IFERROR(D449*E449,0)</f>
        <v>7948.03158715596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7948.03158715596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184326.69</v>
      </c>
      <c r="F450" s="22" t="n">
        <f aca="false">IFERROR(D450*E450,0)</f>
        <v>1860.17760550459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1860.17760550459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184326.69</v>
      </c>
      <c r="F451" s="21" t="n">
        <f aca="false">IFERROR(D451*E451,0)</f>
        <v>8455.35275229358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8455.35275229358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184326.69</v>
      </c>
      <c r="F452" s="22" t="n">
        <f aca="false">IFERROR(D452*E452,0)</f>
        <v>3043.92699082569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3043.92699082569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184326.69</v>
      </c>
      <c r="F453" s="21" t="n">
        <f aca="false">IFERROR(D453*E453,0)</f>
        <v>4058.56932110092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4058.56932110092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184326.69</v>
      </c>
      <c r="F454" s="22" t="n">
        <f aca="false">IFERROR(D454*E454,0)</f>
        <v>153210.99187156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153210.99187156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309930.79</v>
      </c>
      <c r="F455" s="21" t="n">
        <f aca="false">IFERROR(D455*E455,0)</f>
        <v>9667.56592660551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9667.56592660551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309930.79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309930.79</v>
      </c>
      <c r="F457" s="21" t="n">
        <f aca="false">IFERROR(D457*E457,0)</f>
        <v>13363.9881926606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13363.9881926606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309930.79</v>
      </c>
      <c r="F458" s="22" t="n">
        <f aca="false">IFERROR(D458*E458,0)</f>
        <v>3127.74191743119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3127.74191743119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309930.79</v>
      </c>
      <c r="F459" s="21" t="n">
        <f aca="false">IFERROR(D459*E459,0)</f>
        <v>14217.0087155963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14217.0087155963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309930.79</v>
      </c>
      <c r="F460" s="22" t="n">
        <f aca="false">IFERROR(D460*E460,0)</f>
        <v>5118.12313761468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5118.12313761468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309930.79</v>
      </c>
      <c r="F461" s="21" t="n">
        <f aca="false">IFERROR(D461*E461,0)</f>
        <v>6824.16418348624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6824.16418348624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309930.79</v>
      </c>
      <c r="F462" s="22" t="n">
        <f aca="false">IFERROR(D462*E462,0)</f>
        <v>257612.197926606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257612.197926606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317326.64</v>
      </c>
      <c r="F463" s="21" t="n">
        <f aca="false">IFERROR(D463*E463,0)</f>
        <v>10375.3909818305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10375.3909818305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317326.64</v>
      </c>
      <c r="F464" s="22" t="n">
        <f aca="false">IFERROR(D464*E464,0)</f>
        <v>21308.2938652347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21308.2938652347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317326.64</v>
      </c>
      <c r="F465" s="21" t="n">
        <f aca="false">IFERROR(D465*E465,0)</f>
        <v>23133.5941305567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23133.5941305567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317326.64</v>
      </c>
      <c r="F466" s="22" t="n">
        <f aca="false">IFERROR(D466*E466,0)</f>
        <v>5929.46980063626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5929.46980063626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317326.64</v>
      </c>
      <c r="F467" s="21" t="n">
        <f aca="false">IFERROR(D467*E467,0)</f>
        <v>10343.8931342839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10343.8931342839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317326.64</v>
      </c>
      <c r="F468" s="22" t="n">
        <f aca="false">IFERROR(D468*E468,0)</f>
        <v>7567.35787305636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7567.35787305636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317326.64</v>
      </c>
      <c r="F469" s="21" t="n">
        <f aca="false">IFERROR(D469*E469,0)</f>
        <v>7568.93276543369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7568.93276543369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317326.64</v>
      </c>
      <c r="F470" s="22" t="n">
        <f aca="false">IFERROR(D470*E470,0)</f>
        <v>231099.707448968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231099.707448968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29129.28</v>
      </c>
      <c r="F471" s="21" t="n">
        <f aca="false">IFERROR(D471*E471,0)</f>
        <v>952.418205478161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952.418205478161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29129.28</v>
      </c>
      <c r="F472" s="22" t="n">
        <f aca="false">IFERROR(D472*E472,0)</f>
        <v>1956.01370979349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1956.01370979349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29129.28</v>
      </c>
      <c r="F473" s="21" t="n">
        <f aca="false">IFERROR(D473*E473,0)</f>
        <v>2123.56876446094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2123.56876446094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29129.28</v>
      </c>
      <c r="F474" s="22" t="n">
        <f aca="false">IFERROR(D474*E474,0)</f>
        <v>544.300932547856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544.300932547856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29129.28</v>
      </c>
      <c r="F475" s="21" t="n">
        <f aca="false">IFERROR(D475*E475,0)</f>
        <v>949.526832662501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949.526832662501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29129.28</v>
      </c>
      <c r="F476" s="22" t="n">
        <f aca="false">IFERROR(D476*E476,0)</f>
        <v>694.652318962137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694.652318962137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29129.28</v>
      </c>
      <c r="F477" s="21" t="n">
        <f aca="false">IFERROR(D477*E477,0)</f>
        <v>694.79688760292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694.79688760292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29129.28</v>
      </c>
      <c r="F478" s="22" t="n">
        <f aca="false">IFERROR(D478*E478,0)</f>
        <v>21214.002348492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21214.002348492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276000.45</v>
      </c>
      <c r="F479" s="21" t="n">
        <f aca="false">IFERROR(D479*E479,0)</f>
        <v>9024.17956434779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9024.17956434779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276000.45</v>
      </c>
      <c r="F480" s="22" t="n">
        <f aca="false">IFERROR(D480*E480,0)</f>
        <v>18533.2649522807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18533.2649522807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276000.45</v>
      </c>
      <c r="F481" s="21" t="n">
        <f aca="false">IFERROR(D481*E481,0)</f>
        <v>20120.8520978605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20120.8520978605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276000.45</v>
      </c>
      <c r="F482" s="22" t="n">
        <f aca="false">IFERROR(D482*E482,0)</f>
        <v>5157.26108982535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5157.26108982535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276000.45</v>
      </c>
      <c r="F483" s="21" t="n">
        <f aca="false">IFERROR(D483*E483,0)</f>
        <v>8996.78375510569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8996.78375510569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276000.45</v>
      </c>
      <c r="F484" s="22" t="n">
        <f aca="false">IFERROR(D484*E484,0)</f>
        <v>6581.84317041456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6581.84317041456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276000.45</v>
      </c>
      <c r="F485" s="21" t="n">
        <f aca="false">IFERROR(D485*E485,0)</f>
        <v>6583.21296087666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6583.21296087666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276000.45</v>
      </c>
      <c r="F486" s="22" t="n">
        <f aca="false">IFERROR(D486*E486,0)</f>
        <v>201003.052409289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201003.052409289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6671741.799</v>
      </c>
      <c r="F487" s="21" t="n">
        <f aca="false">IFERROR(D487*E487,0)</f>
        <v>218140.934194639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218140.934194639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6671741.799</v>
      </c>
      <c r="F488" s="22" t="n">
        <f aca="false">IFERROR(D488*E488,0)</f>
        <v>448003.466856932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448003.466856932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6671741.799</v>
      </c>
      <c r="F489" s="21" t="n">
        <f aca="false">IFERROR(D489*E489,0)</f>
        <v>486380.11268747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486380.11268747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6671741.799</v>
      </c>
      <c r="F490" s="22" t="n">
        <f aca="false">IFERROR(D490*E490,0)</f>
        <v>124666.153194113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124666.153194113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6671741.799</v>
      </c>
      <c r="F491" s="21" t="n">
        <f aca="false">IFERROR(D491*E491,0)</f>
        <v>217478.696993077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217478.696993077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6671741.799</v>
      </c>
      <c r="F492" s="22" t="n">
        <f aca="false">IFERROR(D492*E492,0)</f>
        <v>159102.487675355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159102.487675355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6671741.799</v>
      </c>
      <c r="F493" s="21" t="n">
        <f aca="false">IFERROR(D493*E493,0)</f>
        <v>159135.599535433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159135.599535433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6671741.799</v>
      </c>
      <c r="F494" s="22" t="n">
        <f aca="false">IFERROR(D494*E494,0)</f>
        <v>4858834.34786298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4858834.34786298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525889.579</v>
      </c>
      <c r="F495" s="21" t="n">
        <f aca="false">IFERROR(D495*E495,0)</f>
        <v>17194.6168635423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17194.6168635423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525889.579</v>
      </c>
      <c r="F496" s="22" t="n">
        <f aca="false">IFERROR(D496*E496,0)</f>
        <v>35313.1703345063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35313.1703345063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525889.579</v>
      </c>
      <c r="F497" s="21" t="n">
        <f aca="false">IFERROR(D497*E497,0)</f>
        <v>38338.1492271665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38338.1492271665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525889.579</v>
      </c>
      <c r="F498" s="22" t="n">
        <f aca="false">IFERROR(D498*E498,0)</f>
        <v>9826.61391791693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9826.61391791693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525889.579</v>
      </c>
      <c r="F499" s="21" t="n">
        <f aca="false">IFERROR(D499*E499,0)</f>
        <v>17142.4170552134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17142.4170552134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525889.579</v>
      </c>
      <c r="F500" s="22" t="n">
        <f aca="false">IFERROR(D500*E500,0)</f>
        <v>12541.0039510201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12541.0039510201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525889.579</v>
      </c>
      <c r="F501" s="21" t="n">
        <f aca="false">IFERROR(D501*E501,0)</f>
        <v>12543.6139414366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12543.6139414366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525889.579</v>
      </c>
      <c r="F502" s="22" t="n">
        <f aca="false">IFERROR(D502*E502,0)</f>
        <v>382989.993709198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382989.993709198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490831.499</v>
      </c>
      <c r="F503" s="21" t="n">
        <f aca="false">IFERROR(D503*E503,0)</f>
        <v>16048.3491342641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16048.3491342641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490831.499</v>
      </c>
      <c r="F504" s="22" t="n">
        <f aca="false">IFERROR(D504*E504,0)</f>
        <v>32959.0412547955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32959.0412547955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490831.499</v>
      </c>
      <c r="F505" s="21" t="n">
        <f aca="false">IFERROR(D505*E505,0)</f>
        <v>35782.3619358234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35782.3619358234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490831.499</v>
      </c>
      <c r="F506" s="22" t="n">
        <f aca="false">IFERROR(D506*E506,0)</f>
        <v>9171.52921835218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9171.52921835218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490831.499</v>
      </c>
      <c r="F507" s="21" t="n">
        <f aca="false">IFERROR(D507*E507,0)</f>
        <v>15999.6291915371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15999.6291915371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490831.499</v>
      </c>
      <c r="F508" s="22" t="n">
        <f aca="false">IFERROR(D508*E508,0)</f>
        <v>11704.9662401546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11704.9662401546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490831.499</v>
      </c>
      <c r="F509" s="21" t="n">
        <f aca="false">IFERROR(D509*E509,0)</f>
        <v>11707.402237291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11707.402237291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490831.499</v>
      </c>
      <c r="F510" s="22" t="n">
        <f aca="false">IFERROR(D510*E510,0)</f>
        <v>357458.219787782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357458.219787782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94464.49</v>
      </c>
      <c r="F511" s="21" t="n">
        <f aca="false">IFERROR(D511*E511,0)</f>
        <v>3088.63453017753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3088.63453017753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94464.49</v>
      </c>
      <c r="F512" s="22" t="n">
        <f aca="false">IFERROR(D512*E512,0)</f>
        <v>6343.23393948117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6343.23393948117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94464.49</v>
      </c>
      <c r="F513" s="21" t="n">
        <f aca="false">IFERROR(D513*E513,0)</f>
        <v>6886.60482904944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6886.60482904944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94464.49</v>
      </c>
      <c r="F514" s="22" t="n">
        <f aca="false">IFERROR(D514*E514,0)</f>
        <v>1765.13494324809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1765.13494324809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94464.49</v>
      </c>
      <c r="F515" s="21" t="n">
        <f aca="false">IFERROR(D515*E515,0)</f>
        <v>3079.25798333424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3079.25798333424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94464.49</v>
      </c>
      <c r="F516" s="22" t="n">
        <f aca="false">IFERROR(D516*E516,0)</f>
        <v>2252.71537909882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2252.71537909882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94464.49</v>
      </c>
      <c r="F517" s="21" t="n">
        <f aca="false">IFERROR(D517*E517,0)</f>
        <v>2253.18420644098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2253.18420644098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94464.49</v>
      </c>
      <c r="F518" s="22" t="n">
        <f aca="false">IFERROR(D518*E518,0)</f>
        <v>68795.7241891698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68795.7241891698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21871.89</v>
      </c>
      <c r="F519" s="21" t="n">
        <f aca="false">IFERROR(D519*E519,0)</f>
        <v>715.128771607665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715.128771607665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21871.89</v>
      </c>
      <c r="F520" s="22" t="n">
        <f aca="false">IFERROR(D520*E520,0)</f>
        <v>1468.68431691738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1468.68431691738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21871.89</v>
      </c>
      <c r="F521" s="21" t="n">
        <f aca="false">IFERROR(D521*E521,0)</f>
        <v>1594.49400821873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1594.49400821873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21871.89</v>
      </c>
      <c r="F522" s="22" t="n">
        <f aca="false">IFERROR(D522*E522,0)</f>
        <v>408.691533865036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408.691533865036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21871.89</v>
      </c>
      <c r="F523" s="21" t="n">
        <f aca="false">IFERROR(D523*E523,0)</f>
        <v>712.957767443707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712.957767443707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21871.89</v>
      </c>
      <c r="F524" s="22" t="n">
        <f aca="false">IFERROR(D524*E524,0)</f>
        <v>521.583750390836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521.583750390836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21871.89</v>
      </c>
      <c r="F525" s="21" t="n">
        <f aca="false">IFERROR(D525*E525,0)</f>
        <v>521.692300599034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521.692300599034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21871.89</v>
      </c>
      <c r="F526" s="22" t="n">
        <f aca="false">IFERROR(D526*E526,0)</f>
        <v>15928.6575509576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15928.6575509576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168520.52</v>
      </c>
      <c r="F527" s="21" t="n">
        <f aca="false">IFERROR(D527*E527,0)</f>
        <v>5509.98896109504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5509.98896109504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168520.52</v>
      </c>
      <c r="F528" s="22" t="n">
        <f aca="false">IFERROR(D528*E528,0)</f>
        <v>11316.0520102635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11316.0520102635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168520.52</v>
      </c>
      <c r="F529" s="21" t="n">
        <f aca="false">IFERROR(D529*E529,0)</f>
        <v>12285.4019200858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12285.4019200858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168520.52</v>
      </c>
      <c r="F530" s="22" t="n">
        <f aca="false">IFERROR(D530*E530,0)</f>
        <v>3148.92356383164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3148.92356383164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168520.52</v>
      </c>
      <c r="F531" s="21" t="n">
        <f aca="false">IFERROR(D531*E531,0)</f>
        <v>5493.26161148637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5493.26161148637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168520.52</v>
      </c>
      <c r="F532" s="22" t="n">
        <f aca="false">IFERROR(D532*E532,0)</f>
        <v>4018.74574348234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4018.74574348234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168520.52</v>
      </c>
      <c r="F533" s="21" t="n">
        <f aca="false">IFERROR(D533*E533,0)</f>
        <v>4019.58211096277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4019.58211096277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168520.52</v>
      </c>
      <c r="F534" s="22" t="n">
        <f aca="false">IFERROR(D534*E534,0)</f>
        <v>122728.564078793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122728.564078793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132389.58</v>
      </c>
      <c r="F535" s="21" t="n">
        <f aca="false">IFERROR(D535*E535,0)</f>
        <v>4328.64273362086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4328.64273362086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132389.58</v>
      </c>
      <c r="F536" s="22" t="n">
        <f aca="false">IFERROR(D536*E536,0)</f>
        <v>8889.88102396633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8889.88102396633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132389.58</v>
      </c>
      <c r="F537" s="21" t="n">
        <f aca="false">IFERROR(D537*E537,0)</f>
        <v>9651.40150488111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9651.40150488111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132389.58</v>
      </c>
      <c r="F538" s="22" t="n">
        <f aca="false">IFERROR(D538*E538,0)</f>
        <v>2473.79172618132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2473.79172618132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132389.58</v>
      </c>
      <c r="F539" s="21" t="n">
        <f aca="false">IFERROR(D539*E539,0)</f>
        <v>4315.50174171551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4315.50174171551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132389.58</v>
      </c>
      <c r="F540" s="22" t="n">
        <f aca="false">IFERROR(D540*E540,0)</f>
        <v>3157.12330525929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3157.12330525929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132389.58</v>
      </c>
      <c r="F541" s="21" t="n">
        <f aca="false">IFERROR(D541*E541,0)</f>
        <v>3157.78035485456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3157.78035485456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132389.58</v>
      </c>
      <c r="F542" s="22" t="n">
        <f aca="false">IFERROR(D542*E542,0)</f>
        <v>96415.457609521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96415.457609521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440483.27</v>
      </c>
      <c r="F543" s="21" t="n">
        <f aca="false">IFERROR(D543*E543,0)</f>
        <v>13739.8451192661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13739.8451192661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440483.27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440483.27</v>
      </c>
      <c r="F545" s="21" t="n">
        <f aca="false">IFERROR(D545*E545,0)</f>
        <v>18993.3153119266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18993.3153119266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440483.27</v>
      </c>
      <c r="F546" s="22" t="n">
        <f aca="false">IFERROR(D546*E546,0)</f>
        <v>4445.24400917431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4445.24400917431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440483.27</v>
      </c>
      <c r="F547" s="21" t="n">
        <f aca="false">IFERROR(D547*E547,0)</f>
        <v>20205.654587156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20205.654587156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440483.27</v>
      </c>
      <c r="F548" s="22" t="n">
        <f aca="false">IFERROR(D548*E548,0)</f>
        <v>7274.03565137615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7274.03565137615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440483.27</v>
      </c>
      <c r="F549" s="21" t="n">
        <f aca="false">IFERROR(D549*E549,0)</f>
        <v>9698.71420183486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9698.71420183486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440483.27</v>
      </c>
      <c r="F550" s="22" t="n">
        <f aca="false">IFERROR(D550*E550,0)</f>
        <v>366126.461119266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366126.461119266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1013356.99</v>
      </c>
      <c r="F551" s="21" t="n">
        <f aca="false">IFERROR(D551*E551,0)</f>
        <v>33132.972937352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33132.972937352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1013356.99</v>
      </c>
      <c r="F552" s="22" t="n">
        <f aca="false">IFERROR(D552*E552,0)</f>
        <v>68046.3150944707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68046.3150944707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1013356.99</v>
      </c>
      <c r="F553" s="21" t="n">
        <f aca="false">IFERROR(D553*E553,0)</f>
        <v>73875.264037153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73875.264037153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1013356.99</v>
      </c>
      <c r="F554" s="22" t="n">
        <f aca="false">IFERROR(D554*E554,0)</f>
        <v>18935.2828034503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18935.2828034503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1013356.99</v>
      </c>
      <c r="F555" s="21" t="n">
        <f aca="false">IFERROR(D555*E555,0)</f>
        <v>33032.3871057268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33032.3871057268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1013356.99</v>
      </c>
      <c r="F556" s="22" t="n">
        <f aca="false">IFERROR(D556*E556,0)</f>
        <v>24165.7460479624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24165.7460479624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1013356.99</v>
      </c>
      <c r="F557" s="21" t="n">
        <f aca="false">IFERROR(D557*E557,0)</f>
        <v>24170.7753395437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24170.7753395437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1013356.99</v>
      </c>
      <c r="F558" s="22" t="n">
        <f aca="false">IFERROR(D558*E558,0)</f>
        <v>737998.246634341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737998.246634341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3263585.61</v>
      </c>
      <c r="F559" s="21" t="n">
        <f aca="false">IFERROR(D559*E559,0)</f>
        <v>106707.009239519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106707.009239519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3263585.61</v>
      </c>
      <c r="F560" s="22" t="n">
        <f aca="false">IFERROR(D560*E560,0)</f>
        <v>219147.819521964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219147.819521964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3263585.61</v>
      </c>
      <c r="F561" s="21" t="n">
        <f aca="false">IFERROR(D561*E561,0)</f>
        <v>237920.348925213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237920.348925213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3263585.61</v>
      </c>
      <c r="F562" s="22" t="n">
        <f aca="false">IFERROR(D562*E562,0)</f>
        <v>60982.3754989057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60982.3754989057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3263585.61</v>
      </c>
      <c r="F563" s="21" t="n">
        <f aca="false">IFERROR(D563*E563,0)</f>
        <v>106383.065677772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106383.065677772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3263585.61</v>
      </c>
      <c r="F564" s="22" t="n">
        <f aca="false">IFERROR(D564*E564,0)</f>
        <v>77827.4407097587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77827.4407097587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3263585.61</v>
      </c>
      <c r="F565" s="21" t="n">
        <f aca="false">IFERROR(D565*E565,0)</f>
        <v>77843.6378878461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77843.6378878461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3263585.61</v>
      </c>
      <c r="F566" s="22" t="n">
        <f aca="false">IFERROR(D566*E566,0)</f>
        <v>2376773.91253902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2376773.91253902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1383927.11</v>
      </c>
      <c r="F567" s="21" t="n">
        <f aca="false">IFERROR(D567*E567,0)</f>
        <v>45249.2260233956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45249.2260233956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1383927.11</v>
      </c>
      <c r="F568" s="22" t="n">
        <f aca="false">IFERROR(D568*E568,0)</f>
        <v>92929.8767602523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92929.8767602523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1383927.11</v>
      </c>
      <c r="F569" s="21" t="n">
        <f aca="false">IFERROR(D569*E569,0)</f>
        <v>100890.38874585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100890.38874585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1383927.11</v>
      </c>
      <c r="F570" s="22" t="n">
        <f aca="false">IFERROR(D570*E570,0)</f>
        <v>25859.644198252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25859.644198252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1383927.11</v>
      </c>
      <c r="F571" s="21" t="n">
        <f aca="false">IFERROR(D571*E571,0)</f>
        <v>45111.8573955164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45111.8573955164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1383927.11</v>
      </c>
      <c r="F572" s="22" t="n">
        <f aca="false">IFERROR(D572*E572,0)</f>
        <v>33002.8128479684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33002.8128479684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1383927.11</v>
      </c>
      <c r="F573" s="21" t="n">
        <f aca="false">IFERROR(D573*E573,0)</f>
        <v>33009.6812793624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33009.6812793624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1383927.11</v>
      </c>
      <c r="F574" s="22" t="n">
        <f aca="false">IFERROR(D574*E574,0)</f>
        <v>1007873.6227494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1007873.6227494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1254332.67</v>
      </c>
      <c r="F575" s="21" t="n">
        <f aca="false">IFERROR(D575*E575,0)</f>
        <v>41011.9738844911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41011.9738844911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1254332.67</v>
      </c>
      <c r="F576" s="22" t="n">
        <f aca="false">IFERROR(D576*E576,0)</f>
        <v>84227.6877135952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84227.6877135952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1254332.67</v>
      </c>
      <c r="F577" s="21" t="n">
        <f aca="false">IFERROR(D577*E577,0)</f>
        <v>91442.7571932741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91442.7571932741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1254332.67</v>
      </c>
      <c r="F578" s="22" t="n">
        <f aca="false">IFERROR(D578*E578,0)</f>
        <v>23438.0816143153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23438.0816143153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1254332.67</v>
      </c>
      <c r="F579" s="21" t="n">
        <f aca="false">IFERROR(D579*E579,0)</f>
        <v>40887.4688028746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40887.4688028746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1254332.67</v>
      </c>
      <c r="F580" s="22" t="n">
        <f aca="false">IFERROR(D580*E580,0)</f>
        <v>29912.3458583758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29912.3458583758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1254332.67</v>
      </c>
      <c r="F581" s="21" t="n">
        <f aca="false">IFERROR(D581*E581,0)</f>
        <v>29918.5711124566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29918.5711124566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1254332.67</v>
      </c>
      <c r="F582" s="22" t="n">
        <f aca="false">IFERROR(D582*E582,0)</f>
        <v>913493.783820617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913493.783820617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97761.36</v>
      </c>
      <c r="F583" s="21" t="n">
        <f aca="false">IFERROR(D583*E583,0)</f>
        <v>3196.42981413562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3196.42981413562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97761.36</v>
      </c>
      <c r="F584" s="22" t="n">
        <f aca="false">IFERROR(D584*E584,0)</f>
        <v>6564.6167858614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6564.6167858614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97761.36</v>
      </c>
      <c r="F585" s="21" t="n">
        <f aca="false">IFERROR(D585*E585,0)</f>
        <v>7126.95166057045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7126.95166057045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97761.36</v>
      </c>
      <c r="F586" s="22" t="n">
        <f aca="false">IFERROR(D586*E586,0)</f>
        <v>1826.73926081066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1826.73926081066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97761.36</v>
      </c>
      <c r="F587" s="21" t="n">
        <f aca="false">IFERROR(D587*E587,0)</f>
        <v>3186.72601992149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3186.72601992149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97761.36</v>
      </c>
      <c r="F588" s="22" t="n">
        <f aca="false">IFERROR(D588*E588,0)</f>
        <v>2331.33655994561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2331.33655994561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97761.36</v>
      </c>
      <c r="F589" s="21" t="n">
        <f aca="false">IFERROR(D589*E589,0)</f>
        <v>2331.82174965631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2331.82174965631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97761.36</v>
      </c>
      <c r="F590" s="22" t="n">
        <f aca="false">IFERROR(D590*E590,0)</f>
        <v>71196.7381490985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71196.7381490985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1829264.25</v>
      </c>
      <c r="F591" s="21" t="n">
        <f aca="false">IFERROR(D591*E591,0)</f>
        <v>59810.0802467604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59810.0802467604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1829264.25</v>
      </c>
      <c r="F592" s="22" t="n">
        <f aca="false">IFERROR(D592*E592,0)</f>
        <v>122833.999049585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122833.999049585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1829264.25</v>
      </c>
      <c r="F593" s="21" t="n">
        <f aca="false">IFERROR(D593*E593,0)</f>
        <v>133356.142796701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133356.142796701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1829264.25</v>
      </c>
      <c r="F594" s="22" t="n">
        <f aca="false">IFERROR(D594*E594,0)</f>
        <v>34181.079558144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34181.079558144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1829264.25</v>
      </c>
      <c r="F595" s="21" t="n">
        <f aca="false">IFERROR(D595*E595,0)</f>
        <v>59628.5074469827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59628.5074469827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1829264.25</v>
      </c>
      <c r="F596" s="22" t="n">
        <f aca="false">IFERROR(D596*E596,0)</f>
        <v>43622.8651465822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43622.8651465822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1829264.25</v>
      </c>
      <c r="F597" s="21" t="n">
        <f aca="false">IFERROR(D597*E597,0)</f>
        <v>43631.9437865711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43631.9437865711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1829264.25</v>
      </c>
      <c r="F598" s="22" t="n">
        <f aca="false">IFERROR(D598*E598,0)</f>
        <v>1332199.63196867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1332199.63196867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1051312.09</v>
      </c>
      <c r="F599" s="21" t="n">
        <f aca="false">IFERROR(D599*E599,0)</f>
        <v>34373.9623552417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34373.9623552417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1051312.09</v>
      </c>
      <c r="F600" s="22" t="n">
        <f aca="false">IFERROR(D600*E600,0)</f>
        <v>70594.9773324863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70594.9773324863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1051312.09</v>
      </c>
      <c r="F601" s="21" t="n">
        <f aca="false">IFERROR(D601*E601,0)</f>
        <v>76642.2484875751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76642.2484875751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1051312.09</v>
      </c>
      <c r="F602" s="22" t="n">
        <f aca="false">IFERROR(D602*E602,0)</f>
        <v>19644.5003441841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19644.5003441841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1051312.09</v>
      </c>
      <c r="F603" s="21" t="n">
        <f aca="false">IFERROR(D603*E603,0)</f>
        <v>34269.6090997613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34269.6090997613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1051312.09</v>
      </c>
      <c r="F604" s="22" t="n">
        <f aca="false">IFERROR(D604*E604,0)</f>
        <v>25070.8696291646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25070.8696291646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1051312.09</v>
      </c>
      <c r="F605" s="21" t="n">
        <f aca="false">IFERROR(D605*E605,0)</f>
        <v>25076.0872919386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25076.0872919386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1051312.09</v>
      </c>
      <c r="F606" s="22" t="n">
        <f aca="false">IFERROR(D606*E606,0)</f>
        <v>765639.835459648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765639.835459648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230802.58</v>
      </c>
      <c r="F607" s="21" t="n">
        <f aca="false">IFERROR(D607*E607,0)</f>
        <v>7546.37873175477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7546.37873175477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230802.58</v>
      </c>
      <c r="F608" s="22" t="n">
        <f aca="false">IFERROR(D608*E608,0)</f>
        <v>15498.2550456348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15498.2550456348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230802.58</v>
      </c>
      <c r="F609" s="21" t="n">
        <f aca="false">IFERROR(D609*E609,0)</f>
        <v>16825.8587114065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16825.8587114065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230802.58</v>
      </c>
      <c r="F610" s="22" t="n">
        <f aca="false">IFERROR(D610*E610,0)</f>
        <v>4312.70733531523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4312.70733531523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230802.58</v>
      </c>
      <c r="F611" s="21" t="n">
        <f aca="false">IFERROR(D611*E611,0)</f>
        <v>7523.46926383809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7523.46926383809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230802.58</v>
      </c>
      <c r="F612" s="22" t="n">
        <f aca="false">IFERROR(D612*E612,0)</f>
        <v>5503.99966698264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5503.99966698264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230802.58</v>
      </c>
      <c r="F613" s="21" t="n">
        <f aca="false">IFERROR(D613*E613,0)</f>
        <v>5505.14514037848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5505.14514037848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230802.58</v>
      </c>
      <c r="F614" s="22" t="n">
        <f aca="false">IFERROR(D614*E614,0)</f>
        <v>168086.76610469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168086.76610469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3398510.85</v>
      </c>
      <c r="F615" s="21" t="n">
        <f aca="false">IFERROR(D615*E615,0)</f>
        <v>111118.558545047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111118.558545047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3398510.85</v>
      </c>
      <c r="F616" s="22" t="n">
        <f aca="false">IFERROR(D616*E616,0)</f>
        <v>228207.968596612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228207.968596612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3398510.85</v>
      </c>
      <c r="F617" s="21" t="n">
        <f aca="false">IFERROR(D617*E617,0)</f>
        <v>247756.603896204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247756.603896204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3398510.85</v>
      </c>
      <c r="F618" s="22" t="n">
        <f aca="false">IFERROR(D618*E618,0)</f>
        <v>63503.5478023832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63503.5478023832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3398510.85</v>
      </c>
      <c r="F619" s="21" t="n">
        <f aca="false">IFERROR(D619*E619,0)</f>
        <v>110781.222301741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110781.222301741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3398510.85</v>
      </c>
      <c r="F620" s="22" t="n">
        <f aca="false">IFERROR(D620*E620,0)</f>
        <v>81045.0324543032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81045.0324543032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3398510.85</v>
      </c>
      <c r="F621" s="21" t="n">
        <f aca="false">IFERROR(D621*E621,0)</f>
        <v>81061.8992664685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81061.8992664685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3398510.85</v>
      </c>
      <c r="F622" s="22" t="n">
        <f aca="false">IFERROR(D622*E622,0)</f>
        <v>2475036.01713724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2475036.01713724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1257618.59</v>
      </c>
      <c r="F623" s="21" t="n">
        <f aca="false">IFERROR(D623*E623,0)</f>
        <v>41119.4111445176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41119.4111445176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1257618.59</v>
      </c>
      <c r="F624" s="22" t="n">
        <f aca="false">IFERROR(D624*E624,0)</f>
        <v>84448.3352740321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84448.3352740321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1257618.59</v>
      </c>
      <c r="F625" s="21" t="n">
        <f aca="false">IFERROR(D625*E625,0)</f>
        <v>91682.3057531602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91682.3057531602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1257618.59</v>
      </c>
      <c r="F626" s="22" t="n">
        <f aca="false">IFERROR(D626*E626,0)</f>
        <v>23499.4813234834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23499.4813234834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1257618.59</v>
      </c>
      <c r="F627" s="21" t="n">
        <f aca="false">IFERROR(D627*E627,0)</f>
        <v>40994.5799024274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40994.5799024274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1257618.59</v>
      </c>
      <c r="F628" s="22" t="n">
        <f aca="false">IFERROR(D628*E628,0)</f>
        <v>29990.7059121747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29990.7059121747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1257618.59</v>
      </c>
      <c r="F629" s="21" t="n">
        <f aca="false">IFERROR(D629*E629,0)</f>
        <v>29996.9474742793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29996.9474742793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1257618.59</v>
      </c>
      <c r="F630" s="22" t="n">
        <f aca="false">IFERROR(D630*E630,0)</f>
        <v>915886.823215925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915886.823215925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1102499.37</v>
      </c>
      <c r="F660" s="1" t="n">
        <f aca="false">IFERROR(D660*E660,0)</f>
        <v>36187.7625405719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36187.7625405719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1102499.37</v>
      </c>
      <c r="F661" s="1" t="n">
        <f aca="false">IFERROR(D661*E661,0)</f>
        <v>77227.4512052141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77227.4512052141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1102499.37</v>
      </c>
      <c r="F662" s="1" t="n">
        <f aca="false">IFERROR(D662*E662,0)</f>
        <v>82580.7046128879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82580.7046128879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1102499.37</v>
      </c>
      <c r="F663" s="1" t="n">
        <f aca="false">IFERROR(D663*E663,0)</f>
        <v>21032.6963810649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21032.6963810649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1102499.37</v>
      </c>
      <c r="F664" s="1" t="n">
        <f aca="false">IFERROR(D664*E664,0)</f>
        <v>36856.1989187098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36856.1989187098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1102499.37</v>
      </c>
      <c r="F665" s="1" t="n">
        <f aca="false">IFERROR(D665*E665,0)</f>
        <v>27256.069556832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27256.069556832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1102499.37</v>
      </c>
      <c r="F666" s="1" t="n">
        <f aca="false">IFERROR(D666*E666,0)</f>
        <v>27555.7134504801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27555.7134504801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1102499.37</v>
      </c>
      <c r="F667" s="1" t="n">
        <f aca="false">IFERROR(D667*E667,0)</f>
        <v>793802.773334239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793802.773334239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1350797.41</v>
      </c>
      <c r="F668" s="1" t="n">
        <f aca="false">IFERROR(D668*E668,0)</f>
        <v>44681.5605767207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44681.5605767207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1350797.41</v>
      </c>
      <c r="F669" s="1" t="n">
        <f aca="false">IFERROR(D669*E669,0)</f>
        <v>93023.6120742341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93023.6120742341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1350797.41</v>
      </c>
      <c r="F670" s="1" t="n">
        <f aca="false">IFERROR(D670*E670,0)</f>
        <v>100115.81323327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100115.81323327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1350797.41</v>
      </c>
      <c r="F671" s="1" t="n">
        <f aca="false">IFERROR(D671*E671,0)</f>
        <v>25678.8984291968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25678.8984291968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1350797.41</v>
      </c>
      <c r="F672" s="1" t="n">
        <f aca="false">IFERROR(D672*E672,0)</f>
        <v>44605.3003492042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44605.3003492042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1350797.41</v>
      </c>
      <c r="F673" s="1" t="n">
        <f aca="false">IFERROR(D673*E673,0)</f>
        <v>32923.6200432656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32923.6200432656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1350797.41</v>
      </c>
      <c r="F674" s="1" t="n">
        <f aca="false">IFERROR(D674*E674,0)</f>
        <v>33242.5264492438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33242.5264492438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1350797.41</v>
      </c>
      <c r="F675" s="1" t="n">
        <f aca="false">IFERROR(D675*E675,0)</f>
        <v>976526.078844865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976526.078844865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1046417.09</v>
      </c>
      <c r="F676" s="1" t="n">
        <f aca="false">IFERROR(D676*E676,0)</f>
        <v>34213.9142141336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34213.9142141336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1046417.09</v>
      </c>
      <c r="F677" s="1" t="n">
        <f aca="false">IFERROR(D677*E677,0)</f>
        <v>70266.281013544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70266.281013544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1046417.09</v>
      </c>
      <c r="F678" s="1" t="n">
        <f aca="false">IFERROR(D678*E678,0)</f>
        <v>76285.3955512157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76285.3955512157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1046417.09</v>
      </c>
      <c r="F679" s="1" t="n">
        <f aca="false">IFERROR(D679*E679,0)</f>
        <v>19553.0338518842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19553.0338518842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1046417.09</v>
      </c>
      <c r="F680" s="1" t="n">
        <f aca="false">IFERROR(D680*E680,0)</f>
        <v>34110.0468364344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34110.0468364344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1046417.09</v>
      </c>
      <c r="F681" s="1" t="n">
        <f aca="false">IFERROR(D681*E681,0)</f>
        <v>24954.1374922453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24954.1374922453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1046417.09</v>
      </c>
      <c r="F682" s="1" t="n">
        <f aca="false">IFERROR(D682*E682,0)</f>
        <v>24959.3308611303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24959.3308611303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1046417.09</v>
      </c>
      <c r="F683" s="1" t="n">
        <f aca="false">IFERROR(D683*E683,0)</f>
        <v>762074.950179413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762074.950179413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158017.95</v>
      </c>
      <c r="F684" s="1" t="n">
        <f aca="false">IFERROR(D684*E684,0)</f>
        <v>5252.25854700855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5252.25854700855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158017.95</v>
      </c>
      <c r="F685" s="1" t="n">
        <f aca="false">IFERROR(D685*E685,0)</f>
        <v>5252.25854700855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5252.25854700855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158017.95</v>
      </c>
      <c r="F686" s="1" t="n">
        <f aca="false">IFERROR(D686*E686,0)</f>
        <v>6302.71025641026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6302.71025641026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158017.95</v>
      </c>
      <c r="F687" s="1" t="n">
        <f aca="false">IFERROR(D687*E687,0)</f>
        <v>1650.70982905983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1650.70982905983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158017.95</v>
      </c>
      <c r="F688" s="1" t="n">
        <f aca="false">IFERROR(D688*E688,0)</f>
        <v>6302.71025641026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6302.71025641026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158017.95</v>
      </c>
      <c r="F689" s="1" t="n">
        <f aca="false">IFERROR(D689*E689,0)</f>
        <v>2701.16153846154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2701.16153846154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158017.95</v>
      </c>
      <c r="F690" s="1" t="n">
        <f aca="false">IFERROR(D690*E690,0)</f>
        <v>3001.2905982906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3001.2905982906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158017.95</v>
      </c>
      <c r="F691" s="1" t="n">
        <f aca="false">IFERROR(D691*E691,0)</f>
        <v>127554.85042735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127554.85042735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230244.24</v>
      </c>
      <c r="F692" s="1" t="n">
        <f aca="false">IFERROR(D692*E692,0)</f>
        <v>7462.635042898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7462.635042898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230244.24</v>
      </c>
      <c r="F693" s="1" t="n">
        <f aca="false">IFERROR(D693*E693,0)</f>
        <v>7023.65651096282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7023.65651096282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230244.24</v>
      </c>
      <c r="F694" s="1" t="n">
        <f aca="false">IFERROR(D694*E694,0)</f>
        <v>9218.5491706387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9218.5491706387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230244.24</v>
      </c>
      <c r="F695" s="1" t="n">
        <f aca="false">IFERROR(D695*E695,0)</f>
        <v>2414.38192564347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2414.38192564347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230244.24</v>
      </c>
      <c r="F696" s="1" t="n">
        <f aca="false">IFERROR(D696*E696,0)</f>
        <v>9218.5491706387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9218.5491706387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230244.24</v>
      </c>
      <c r="F697" s="1" t="n">
        <f aca="false">IFERROR(D697*E697,0)</f>
        <v>3950.80678741659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3950.80678741659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230244.24</v>
      </c>
      <c r="F698" s="1" t="n">
        <f aca="false">IFERROR(D698*E698,0)</f>
        <v>3731.317521449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3731.317521449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230244.24</v>
      </c>
      <c r="F699" s="1" t="n">
        <f aca="false">IFERROR(D699*E699,0)</f>
        <v>187224.343870353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187224.343870353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115587.07</v>
      </c>
      <c r="F700" s="1" t="n">
        <f aca="false">IFERROR(D700*E700,0)</f>
        <v>3605.46823853211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3605.46823853211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115587.07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115587.07</v>
      </c>
      <c r="F702" s="1" t="n">
        <f aca="false">IFERROR(D702*E702,0)</f>
        <v>4984.02962385321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4984.02962385321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115587.07</v>
      </c>
      <c r="F703" s="1" t="n">
        <f aca="false">IFERROR(D703*E703,0)</f>
        <v>1166.47501834862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1166.47501834862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115587.07</v>
      </c>
      <c r="F704" s="1" t="n">
        <f aca="false">IFERROR(D704*E704,0)</f>
        <v>5302.15917431193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5302.15917431193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115587.07</v>
      </c>
      <c r="F705" s="1" t="n">
        <f aca="false">IFERROR(D705*E705,0)</f>
        <v>1908.77730275229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1908.77730275229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115587.07</v>
      </c>
      <c r="F706" s="1" t="n">
        <f aca="false">IFERROR(D706*E706,0)</f>
        <v>2545.03640366972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2545.03640366972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115587.07</v>
      </c>
      <c r="F707" s="1" t="n">
        <f aca="false">IFERROR(D707*E707,0)</f>
        <v>96075.1242385321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96075.1242385321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87363.54</v>
      </c>
      <c r="F708" s="1" t="n">
        <f aca="false">IFERROR(D708*E708,0)</f>
        <v>2867.56720797378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2867.56720797378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87363.54</v>
      </c>
      <c r="F709" s="1" t="n">
        <f aca="false">IFERROR(D709*E709,0)</f>
        <v>6119.60759892749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6119.60759892749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87363.54</v>
      </c>
      <c r="F710" s="1" t="n">
        <f aca="false">IFERROR(D710*E710,0)</f>
        <v>6543.80663335546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6543.80663335546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87363.54</v>
      </c>
      <c r="F711" s="1" t="n">
        <f aca="false">IFERROR(D711*E711,0)</f>
        <v>1666.65928488922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1666.65928488922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87363.54</v>
      </c>
      <c r="F712" s="1" t="n">
        <f aca="false">IFERROR(D712*E712,0)</f>
        <v>2920.53500990451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2920.53500990451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87363.54</v>
      </c>
      <c r="F713" s="1" t="n">
        <f aca="false">IFERROR(D713*E713,0)</f>
        <v>2159.80778562357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2159.80778562357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87363.54</v>
      </c>
      <c r="F714" s="1" t="n">
        <f aca="false">IFERROR(D714*E714,0)</f>
        <v>2183.55197269596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2183.55197269596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87363.54</v>
      </c>
      <c r="F715" s="1" t="n">
        <f aca="false">IFERROR(D715*E715,0)</f>
        <v>62902.00450663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62902.00450663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86778.87</v>
      </c>
      <c r="F716" s="1" t="n">
        <f aca="false">IFERROR(D716*E716,0)</f>
        <v>2870.46399998974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2870.46399998974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86778.87</v>
      </c>
      <c r="F717" s="1" t="n">
        <f aca="false">IFERROR(D717*E717,0)</f>
        <v>5976.08781254651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5976.08781254651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86778.87</v>
      </c>
      <c r="F718" s="1" t="n">
        <f aca="false">IFERROR(D718*E718,0)</f>
        <v>6431.70994939515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6431.70994939515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86778.87</v>
      </c>
      <c r="F719" s="1" t="n">
        <f aca="false">IFERROR(D719*E719,0)</f>
        <v>1649.68171543243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1649.68171543243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86778.87</v>
      </c>
      <c r="F720" s="1" t="n">
        <f aca="false">IFERROR(D720*E720,0)</f>
        <v>2865.56483722792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2865.56483722792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86778.87</v>
      </c>
      <c r="F721" s="1" t="n">
        <f aca="false">IFERROR(D721*E721,0)</f>
        <v>2115.10217780469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2115.10217780469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86778.87</v>
      </c>
      <c r="F722" s="1" t="n">
        <f aca="false">IFERROR(D722*E722,0)</f>
        <v>2135.58958571773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2135.58958571773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86778.87</v>
      </c>
      <c r="F723" s="1" t="n">
        <f aca="false">IFERROR(D723*E723,0)</f>
        <v>62734.6699218858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62734.6699218858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86626.03</v>
      </c>
      <c r="F724" s="1" t="n">
        <f aca="false">IFERROR(D724*E724,0)</f>
        <v>2832.34628663315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2832.34628663315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86626.03</v>
      </c>
      <c r="F725" s="1" t="n">
        <f aca="false">IFERROR(D725*E725,0)</f>
        <v>5816.88604404167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5816.88604404167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86626.03</v>
      </c>
      <c r="F726" s="1" t="n">
        <f aca="false">IFERROR(D726*E726,0)</f>
        <v>6315.16918706046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6315.16918706046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86626.03</v>
      </c>
      <c r="F727" s="1" t="n">
        <f aca="false">IFERROR(D727*E727,0)</f>
        <v>1618.66784595838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1618.66784595838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86626.03</v>
      </c>
      <c r="F728" s="1" t="n">
        <f aca="false">IFERROR(D728*E728,0)</f>
        <v>2823.7477854594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2823.7477854594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86626.03</v>
      </c>
      <c r="F729" s="1" t="n">
        <f aca="false">IFERROR(D729*E729,0)</f>
        <v>2065.78990699336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2065.78990699336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86626.03</v>
      </c>
      <c r="F730" s="1" t="n">
        <f aca="false">IFERROR(D730*E730,0)</f>
        <v>2066.21983205205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2066.21983205205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86626.03</v>
      </c>
      <c r="F731" s="1" t="n">
        <f aca="false">IFERROR(D731*E731,0)</f>
        <v>63087.2031118015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63087.2031118015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19315.06</v>
      </c>
      <c r="F732" s="1" t="n">
        <f aca="false">IFERROR(D732*E732,0)</f>
        <v>633.985672696483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633.985672696483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19315.06</v>
      </c>
      <c r="F733" s="1" t="n">
        <f aca="false">IFERROR(D733*E733,0)</f>
        <v>1352.97388303794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1352.97388303794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19315.06</v>
      </c>
      <c r="F734" s="1" t="n">
        <f aca="false">IFERROR(D734*E734,0)</f>
        <v>1446.75934321868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1446.75934321868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19315.06</v>
      </c>
      <c r="F735" s="1" t="n">
        <f aca="false">IFERROR(D735*E735,0)</f>
        <v>368.478933971682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368.478933971682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19315.06</v>
      </c>
      <c r="F736" s="1" t="n">
        <f aca="false">IFERROR(D736*E736,0)</f>
        <v>645.696236077501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645.696236077501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19315.06</v>
      </c>
      <c r="F737" s="1" t="n">
        <f aca="false">IFERROR(D737*E737,0)</f>
        <v>477.508317174262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477.508317174262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19315.06</v>
      </c>
      <c r="F738" s="1" t="n">
        <f aca="false">IFERROR(D738*E738,0)</f>
        <v>482.757880069201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482.757880069201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19315.06</v>
      </c>
      <c r="F739" s="1" t="n">
        <f aca="false">IFERROR(D739*E739,0)</f>
        <v>13906.8997337543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13906.8997337543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26507.66</v>
      </c>
      <c r="F740" s="1" t="n">
        <f aca="false">IFERROR(D740*E740,0)</f>
        <v>876.818098161084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876.818098161084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26507.66</v>
      </c>
      <c r="F741" s="1" t="n">
        <f aca="false">IFERROR(D741*E741,0)</f>
        <v>1825.46861770759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1825.46861770759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26507.66</v>
      </c>
      <c r="F742" s="1" t="n">
        <f aca="false">IFERROR(D742*E742,0)</f>
        <v>1964.64393414185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1964.64393414185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26507.66</v>
      </c>
      <c r="F743" s="1" t="n">
        <f aca="false">IFERROR(D743*E743,0)</f>
        <v>503.915319718953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503.915319718953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26507.66</v>
      </c>
      <c r="F744" s="1" t="n">
        <f aca="false">IFERROR(D744*E744,0)</f>
        <v>875.321589382221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875.321589382221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26507.66</v>
      </c>
      <c r="F745" s="1" t="n">
        <f aca="false">IFERROR(D745*E745,0)</f>
        <v>646.083653710937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646.083653710937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26507.66</v>
      </c>
      <c r="F746" s="1" t="n">
        <f aca="false">IFERROR(D746*E746,0)</f>
        <v>652.341781331636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652.341781331636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26507.66</v>
      </c>
      <c r="F747" s="1" t="n">
        <f aca="false">IFERROR(D747*E747,0)</f>
        <v>19163.0670058457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19163.0670058457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41610.79</v>
      </c>
      <c r="F748" s="1" t="n">
        <f aca="false">IFERROR(D748*E748,0)</f>
        <v>1360.51677007906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1360.51677007906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41610.79</v>
      </c>
      <c r="F749" s="1" t="n">
        <f aca="false">IFERROR(D749*E749,0)</f>
        <v>2794.13963253942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2794.13963253942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41610.79</v>
      </c>
      <c r="F750" s="1" t="n">
        <f aca="false">IFERROR(D750*E750,0)</f>
        <v>3033.48980505333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3033.48980505333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41610.79</v>
      </c>
      <c r="F751" s="1" t="n">
        <f aca="false">IFERROR(D751*E751,0)</f>
        <v>777.526660496002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777.526660496002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41610.79</v>
      </c>
      <c r="F752" s="1" t="n">
        <f aca="false">IFERROR(D752*E752,0)</f>
        <v>1356.3864823739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1356.3864823739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41610.79</v>
      </c>
      <c r="F753" s="1" t="n">
        <f aca="false">IFERROR(D753*E753,0)</f>
        <v>992.301621164221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992.301621164221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41610.79</v>
      </c>
      <c r="F754" s="1" t="n">
        <f aca="false">IFERROR(D754*E754,0)</f>
        <v>992.508135549479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992.508135549479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41610.79</v>
      </c>
      <c r="F755" s="1" t="n">
        <f aca="false">IFERROR(D755*E755,0)</f>
        <v>30303.9208927446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30303.9208927446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640375.01</v>
      </c>
      <c r="F756" s="1" t="n">
        <f aca="false">IFERROR(D756*E756,0)</f>
        <v>21019.2762276103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21019.2762276103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640375.01</v>
      </c>
      <c r="F757" s="1" t="n">
        <f aca="false">IFERROR(D757*E757,0)</f>
        <v>44856.7420386041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44856.7420386041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640375.01</v>
      </c>
      <c r="F758" s="1" t="n">
        <f aca="false">IFERROR(D758*E758,0)</f>
        <v>47966.1222321471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47966.1222321471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640375.01</v>
      </c>
      <c r="F759" s="1" t="n">
        <f aca="false">IFERROR(D759*E759,0)</f>
        <v>12216.6175526716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12216.6175526716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640375.01</v>
      </c>
      <c r="F760" s="1" t="n">
        <f aca="false">IFERROR(D760*E760,0)</f>
        <v>21407.5303744897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21407.5303744897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640375.01</v>
      </c>
      <c r="F761" s="1" t="n">
        <f aca="false">IFERROR(D761*E761,0)</f>
        <v>15831.3975408594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15831.3975408594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640375.01</v>
      </c>
      <c r="F762" s="1" t="n">
        <f aca="false">IFERROR(D762*E762,0)</f>
        <v>16005.4425032536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16005.4425032536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640375.01</v>
      </c>
      <c r="F763" s="1" t="n">
        <f aca="false">IFERROR(D763*E763,0)</f>
        <v>461071.881530364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461071.881530364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989351.46</v>
      </c>
      <c r="F764" s="1" t="n">
        <f aca="false">IFERROR(D764*E764,0)</f>
        <v>32725.6825223385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32725.6825223385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989351.46</v>
      </c>
      <c r="F765" s="1" t="n">
        <f aca="false">IFERROR(D765*E765,0)</f>
        <v>68132.3829456537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68132.3829456537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989351.46</v>
      </c>
      <c r="F766" s="1" t="n">
        <f aca="false">IFERROR(D766*E766,0)</f>
        <v>73326.855128796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73326.855128796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989351.46</v>
      </c>
      <c r="F767" s="1" t="n">
        <f aca="false">IFERROR(D767*E767,0)</f>
        <v>18807.7467901849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18807.7467901849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989351.46</v>
      </c>
      <c r="F768" s="1" t="n">
        <f aca="false">IFERROR(D768*E768,0)</f>
        <v>32669.8279827348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32669.8279827348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989351.46</v>
      </c>
      <c r="F769" s="1" t="n">
        <f aca="false">IFERROR(D769*E769,0)</f>
        <v>24113.9280525346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24113.9280525346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989351.46</v>
      </c>
      <c r="F770" s="1" t="n">
        <f aca="false">IFERROR(D770*E770,0)</f>
        <v>24347.5015817864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24347.5015817864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989351.46</v>
      </c>
      <c r="F771" s="1" t="n">
        <f aca="false">IFERROR(D771*E771,0)</f>
        <v>715227.534995971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715227.534995971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472012.31</v>
      </c>
      <c r="F772" s="1" t="n">
        <f aca="false">IFERROR(D772*E772,0)</f>
        <v>15433.03223608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15433.03223608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472012.31</v>
      </c>
      <c r="F773" s="1" t="n">
        <f aca="false">IFERROR(D773*E773,0)</f>
        <v>31695.3439821133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31695.3439821133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472012.31</v>
      </c>
      <c r="F774" s="1" t="n">
        <f aca="false">IFERROR(D774*E774,0)</f>
        <v>34410.4144680904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34410.4144680904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472012.31</v>
      </c>
      <c r="F775" s="1" t="n">
        <f aca="false">IFERROR(D775*E775,0)</f>
        <v>8819.87953382533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8819.87953382533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472012.31</v>
      </c>
      <c r="F776" s="1" t="n">
        <f aca="false">IFERROR(D776*E776,0)</f>
        <v>15386.1802863651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15386.1802863651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472012.31</v>
      </c>
      <c r="F777" s="1" t="n">
        <f aca="false">IFERROR(D777*E777,0)</f>
        <v>11256.1809189989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11256.1809189989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472012.31</v>
      </c>
      <c r="F778" s="1" t="n">
        <f aca="false">IFERROR(D778*E778,0)</f>
        <v>11258.5235164846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11258.5235164846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472012.31</v>
      </c>
      <c r="F779" s="1" t="n">
        <f aca="false">IFERROR(D779*E779,0)</f>
        <v>343752.755058042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343752.755058042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17297.48</v>
      </c>
      <c r="F780" s="1" t="n">
        <f aca="false">IFERROR(D780*E780,0)</f>
        <v>567.761865288224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567.761865288224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17297.48</v>
      </c>
      <c r="F781" s="1" t="n">
        <f aca="false">IFERROR(D781*E781,0)</f>
        <v>1211.64721633643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1211.64721633643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17297.48</v>
      </c>
      <c r="F782" s="1" t="n">
        <f aca="false">IFERROR(D782*E782,0)</f>
        <v>1295.63619290534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1295.63619290534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17297.48</v>
      </c>
      <c r="F783" s="1" t="n">
        <f aca="false">IFERROR(D783*E783,0)</f>
        <v>329.988982213697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329.988982213697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17297.48</v>
      </c>
      <c r="F784" s="1" t="n">
        <f aca="false">IFERROR(D784*E784,0)</f>
        <v>578.249186366796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578.249186366796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17297.48</v>
      </c>
      <c r="F785" s="1" t="n">
        <f aca="false">IFERROR(D785*E785,0)</f>
        <v>427.629557772818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427.629557772818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17297.48</v>
      </c>
      <c r="F786" s="1" t="n">
        <f aca="false">IFERROR(D786*E786,0)</f>
        <v>432.330770670109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432.330770670109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17297.48</v>
      </c>
      <c r="F787" s="1" t="n">
        <f aca="false">IFERROR(D787*E787,0)</f>
        <v>12454.2362284466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12454.2362284466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22595.25</v>
      </c>
      <c r="F788" s="1" t="n">
        <f aca="false">IFERROR(D788*E788,0)</f>
        <v>747.403736598184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747.403736598184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22595.25</v>
      </c>
      <c r="F789" s="1" t="n">
        <f aca="false">IFERROR(D789*E789,0)</f>
        <v>1556.03775603948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1556.03775603948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22595.25</v>
      </c>
      <c r="F790" s="1" t="n">
        <f aca="false">IFERROR(D790*E790,0)</f>
        <v>1674.671429048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1674.671429048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22595.25</v>
      </c>
      <c r="F791" s="1" t="n">
        <f aca="false">IFERROR(D791*E791,0)</f>
        <v>429.539711459996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429.539711459996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22595.25</v>
      </c>
      <c r="F792" s="1" t="n">
        <f aca="false">IFERROR(D792*E792,0)</f>
        <v>746.128105705619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746.128105705619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22595.25</v>
      </c>
      <c r="F793" s="1" t="n">
        <f aca="false">IFERROR(D793*E793,0)</f>
        <v>550.72464625365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550.72464625365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22595.25</v>
      </c>
      <c r="F794" s="1" t="n">
        <f aca="false">IFERROR(D794*E794,0)</f>
        <v>556.059102713467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556.059102713467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22595.25</v>
      </c>
      <c r="F795" s="1" t="n">
        <f aca="false">IFERROR(D795*E795,0)</f>
        <v>16334.6855121816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16334.6855121816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22359.54</v>
      </c>
      <c r="F796" s="1" t="n">
        <f aca="false">IFERROR(D796*E796,0)</f>
        <v>731.073097656967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731.073097656967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22359.54</v>
      </c>
      <c r="F797" s="1" t="n">
        <f aca="false">IFERROR(D797*E797,0)</f>
        <v>1501.42972241936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1501.42972241936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22359.54</v>
      </c>
      <c r="F798" s="1" t="n">
        <f aca="false">IFERROR(D798*E798,0)</f>
        <v>1630.0444340442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1630.0444340442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22359.54</v>
      </c>
      <c r="F799" s="1" t="n">
        <f aca="false">IFERROR(D799*E799,0)</f>
        <v>417.803614553504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417.803614553504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22359.54</v>
      </c>
      <c r="F800" s="1" t="n">
        <f aca="false">IFERROR(D800*E800,0)</f>
        <v>728.853689345926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728.853689345926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22359.54</v>
      </c>
      <c r="F801" s="1" t="n">
        <f aca="false">IFERROR(D801*E801,0)</f>
        <v>533.212846727645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533.212846727645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22359.54</v>
      </c>
      <c r="F802" s="1" t="n">
        <f aca="false">IFERROR(D802*E802,0)</f>
        <v>533.323817143198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533.323817143198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22359.54</v>
      </c>
      <c r="F803" s="1" t="n">
        <f aca="false">IFERROR(D803*E803,0)</f>
        <v>16283.7987781092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16283.7987781092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2384136.11</v>
      </c>
      <c r="F804" s="1" t="n">
        <f aca="false">IFERROR(D804*E804,0)</f>
        <v>78255.4201487506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78255.4201487506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2384136.11</v>
      </c>
      <c r="F805" s="1" t="n">
        <f aca="false">IFERROR(D805*E805,0)</f>
        <v>167003.047903432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167003.047903432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2384136.11</v>
      </c>
      <c r="F806" s="1" t="n">
        <f aca="false">IFERROR(D806*E806,0)</f>
        <v>178579.367221615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178579.367221615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2384136.11</v>
      </c>
      <c r="F807" s="1" t="n">
        <f aca="false">IFERROR(D807*E807,0)</f>
        <v>45482.8476979203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45482.8476979203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2384136.11</v>
      </c>
      <c r="F808" s="1" t="n">
        <f aca="false">IFERROR(D808*E808,0)</f>
        <v>79700.902431753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79700.902431753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2384136.11</v>
      </c>
      <c r="F809" s="1" t="n">
        <f aca="false">IFERROR(D809*E809,0)</f>
        <v>58940.7861948392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58940.7861948392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2384136.11</v>
      </c>
      <c r="F810" s="1" t="n">
        <f aca="false">IFERROR(D810*E810,0)</f>
        <v>59588.7610113575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59588.7610113575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2384136.11</v>
      </c>
      <c r="F811" s="1" t="n">
        <f aca="false">IFERROR(D811*E811,0)</f>
        <v>1716584.97739033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1716584.97739033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2771812.28</v>
      </c>
      <c r="F812" s="1" t="n">
        <f aca="false">IFERROR(D812*E812,0)</f>
        <v>91685.7682575202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91685.7682575202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2771812.28</v>
      </c>
      <c r="F813" s="1" t="n">
        <f aca="false">IFERROR(D813*E813,0)</f>
        <v>190882.798833112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190882.798833112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2771812.28</v>
      </c>
      <c r="F814" s="1" t="n">
        <f aca="false">IFERROR(D814*E814,0)</f>
        <v>205435.869574375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205435.869574375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2771812.28</v>
      </c>
      <c r="F815" s="1" t="n">
        <f aca="false">IFERROR(D815*E815,0)</f>
        <v>52692.6432313196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52692.6432313196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2771812.28</v>
      </c>
      <c r="F816" s="1" t="n">
        <f aca="false">IFERROR(D816*E816,0)</f>
        <v>91529.2836258937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91529.2836258937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2771812.28</v>
      </c>
      <c r="F817" s="1" t="n">
        <f aca="false">IFERROR(D817*E817,0)</f>
        <v>67558.683235836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67558.683235836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2771812.28</v>
      </c>
      <c r="F818" s="1" t="n">
        <f aca="false">IFERROR(D818*E818,0)</f>
        <v>68213.0735135468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68213.0735135468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2771812.28</v>
      </c>
      <c r="F819" s="1" t="n">
        <f aca="false">IFERROR(D819*E819,0)</f>
        <v>2003814.1597284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2003814.1597284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3496099.7</v>
      </c>
      <c r="F820" s="1" t="n">
        <f aca="false">IFERROR(D820*E820,0)</f>
        <v>114309.347929188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114309.347929188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3496099.7</v>
      </c>
      <c r="F821" s="1" t="n">
        <f aca="false">IFERROR(D821*E821,0)</f>
        <v>234761.00143927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234761.00143927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3496099.7</v>
      </c>
      <c r="F822" s="1" t="n">
        <f aca="false">IFERROR(D822*E822,0)</f>
        <v>254870.979315701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254870.979315701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3496099.7</v>
      </c>
      <c r="F823" s="1" t="n">
        <f aca="false">IFERROR(D823*E823,0)</f>
        <v>65327.0635934111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65327.0635934111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3496099.7</v>
      </c>
      <c r="F824" s="1" t="n">
        <f aca="false">IFERROR(D824*E824,0)</f>
        <v>113962.325015013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113962.325015013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3496099.7</v>
      </c>
      <c r="F825" s="1" t="n">
        <f aca="false">IFERROR(D825*E825,0)</f>
        <v>83372.2551305021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83372.2551305021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3496099.7</v>
      </c>
      <c r="F826" s="1" t="n">
        <f aca="false">IFERROR(D826*E826,0)</f>
        <v>83389.6062762109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83389.6062762109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3496099.7</v>
      </c>
      <c r="F827" s="1" t="n">
        <f aca="false">IFERROR(D827*E827,0)</f>
        <v>2546107.1213007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2546107.1213007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672287.43</v>
      </c>
      <c r="F828" s="1" t="n">
        <f aca="false">IFERROR(D828*E828,0)</f>
        <v>22066.7499119309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22066.7499119309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672287.43</v>
      </c>
      <c r="F829" s="1" t="n">
        <f aca="false">IFERROR(D829*E829,0)</f>
        <v>47092.130942627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47092.130942627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672287.43</v>
      </c>
      <c r="F830" s="1" t="n">
        <f aca="false">IFERROR(D830*E830,0)</f>
        <v>50356.4638515735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50356.4638515735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672287.43</v>
      </c>
      <c r="F831" s="1" t="n">
        <f aca="false">IFERROR(D831*E831,0)</f>
        <v>12825.4199328898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12825.4199328898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672287.43</v>
      </c>
      <c r="F832" s="1" t="n">
        <f aca="false">IFERROR(D832*E832,0)</f>
        <v>22474.3522988392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22474.3522988392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672287.43</v>
      </c>
      <c r="F833" s="1" t="n">
        <f aca="false">IFERROR(D833*E833,0)</f>
        <v>16620.338707553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16620.338707553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672287.43</v>
      </c>
      <c r="F834" s="1" t="n">
        <f aca="false">IFERROR(D834*E834,0)</f>
        <v>16803.0570189257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16803.0570189257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672287.43</v>
      </c>
      <c r="F835" s="1" t="n">
        <f aca="false">IFERROR(D835*E835,0)</f>
        <v>484048.917335661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484048.917335661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638795.73</v>
      </c>
      <c r="F836" s="1" t="n">
        <f aca="false">IFERROR(D836*E836,0)</f>
        <v>21130.030228697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21130.030228697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638795.73</v>
      </c>
      <c r="F837" s="1" t="n">
        <f aca="false">IFERROR(D837*E837,0)</f>
        <v>43991.1164637169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43991.1164637169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638795.73</v>
      </c>
      <c r="F838" s="1" t="n">
        <f aca="false">IFERROR(D838*E838,0)</f>
        <v>47345.0374759678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47345.0374759678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638795.73</v>
      </c>
      <c r="F839" s="1" t="n">
        <f aca="false">IFERROR(D839*E839,0)</f>
        <v>12143.6201655692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12143.6201655692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638795.73</v>
      </c>
      <c r="F840" s="1" t="n">
        <f aca="false">IFERROR(D840*E840,0)</f>
        <v>21093.9665618986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21093.9665618986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638795.73</v>
      </c>
      <c r="F841" s="1" t="n">
        <f aca="false">IFERROR(D841*E841,0)</f>
        <v>15569.6685114169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15569.6685114169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638795.73</v>
      </c>
      <c r="F842" s="1" t="n">
        <f aca="false">IFERROR(D842*E842,0)</f>
        <v>15720.4802089375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15720.4802089375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638795.73</v>
      </c>
      <c r="F843" s="1" t="n">
        <f aca="false">IFERROR(D843*E843,0)</f>
        <v>461801.810383796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461801.810383796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676067.35</v>
      </c>
      <c r="F844" s="1" t="n">
        <f aca="false">IFERROR(D844*E844,0)</f>
        <v>22104.8667275461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22104.8667275461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676067.35</v>
      </c>
      <c r="F845" s="1" t="n">
        <f aca="false">IFERROR(D845*E845,0)</f>
        <v>45397.517732802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45397.517732802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676067.35</v>
      </c>
      <c r="F846" s="1" t="n">
        <f aca="false">IFERROR(D846*E846,0)</f>
        <v>49286.3368793147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49286.3368793147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676067.35</v>
      </c>
      <c r="F847" s="1" t="n">
        <f aca="false">IFERROR(D847*E847,0)</f>
        <v>12632.7904112343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12632.7904112343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676067.35</v>
      </c>
      <c r="F848" s="1" t="n">
        <f aca="false">IFERROR(D848*E848,0)</f>
        <v>22037.7602711784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22037.7602711784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676067.35</v>
      </c>
      <c r="F849" s="1" t="n">
        <f aca="false">IFERROR(D849*E849,0)</f>
        <v>16122.3261423587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16122.3261423587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676067.35</v>
      </c>
      <c r="F850" s="1" t="n">
        <f aca="false">IFERROR(D850*E850,0)</f>
        <v>16125.6814651771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16125.6814651771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676067.35</v>
      </c>
      <c r="F851" s="1" t="n">
        <f aca="false">IFERROR(D851*E851,0)</f>
        <v>492360.070370389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492360.070370389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172122.21</v>
      </c>
      <c r="F852" s="1" t="n">
        <f aca="false">IFERROR(D852*E852,0)</f>
        <v>5649.63376209317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5649.63376209317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172122.21</v>
      </c>
      <c r="F853" s="1" t="n">
        <f aca="false">IFERROR(D853*E853,0)</f>
        <v>12056.7502674479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12056.7502674479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172122.21</v>
      </c>
      <c r="F854" s="1" t="n">
        <f aca="false">IFERROR(D854*E854,0)</f>
        <v>12892.500230025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12892.500230025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172122.21</v>
      </c>
      <c r="F855" s="1" t="n">
        <f aca="false">IFERROR(D855*E855,0)</f>
        <v>3283.62471841402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3283.62471841402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172122.21</v>
      </c>
      <c r="F856" s="1" t="n">
        <f aca="false">IFERROR(D856*E856,0)</f>
        <v>5753.990054514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5753.990054514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172122.21</v>
      </c>
      <c r="F857" s="1" t="n">
        <f aca="false">IFERROR(D857*E857,0)</f>
        <v>4255.21778578037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4255.21778578037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172122.21</v>
      </c>
      <c r="F858" s="1" t="n">
        <f aca="false">IFERROR(D858*E858,0)</f>
        <v>4301.99819272763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4301.99819272763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172122.21</v>
      </c>
      <c r="F859" s="1" t="n">
        <f aca="false">IFERROR(D859*E859,0)</f>
        <v>123928.494988998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123928.494988998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267189.8</v>
      </c>
      <c r="F860" s="1" t="n">
        <f aca="false">IFERROR(D860*E860,0)</f>
        <v>8838.08122950273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8838.08122950273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267189.8</v>
      </c>
      <c r="F861" s="1" t="n">
        <f aca="false">IFERROR(D861*E861,0)</f>
        <v>18400.2131788158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18400.2131788158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267189.8</v>
      </c>
      <c r="F862" s="1" t="n">
        <f aca="false">IFERROR(D862*E862,0)</f>
        <v>19803.0614484482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19803.0614484482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267189.8</v>
      </c>
      <c r="F863" s="1" t="n">
        <f aca="false">IFERROR(D863*E863,0)</f>
        <v>5079.32550412383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5079.32550412383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267189.8</v>
      </c>
      <c r="F864" s="1" t="n">
        <f aca="false">IFERROR(D864*E864,0)</f>
        <v>8822.99683950668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8822.99683950668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267189.8</v>
      </c>
      <c r="F865" s="1" t="n">
        <f aca="false">IFERROR(D865*E865,0)</f>
        <v>6512.3425537484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6512.3425537484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267189.8</v>
      </c>
      <c r="F866" s="1" t="n">
        <f aca="false">IFERROR(D866*E866,0)</f>
        <v>6575.42273009551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6575.42273009551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267189.8</v>
      </c>
      <c r="F867" s="1" t="n">
        <f aca="false">IFERROR(D867*E867,0)</f>
        <v>193158.356515759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193158.356515759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197914.12</v>
      </c>
      <c r="F868" s="1" t="n">
        <f aca="false">IFERROR(D868*E868,0)</f>
        <v>6471.04943923054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6471.04943923054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197914.12</v>
      </c>
      <c r="F869" s="1" t="n">
        <f aca="false">IFERROR(D869*E869,0)</f>
        <v>13289.8146497858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13289.8146497858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197914.12</v>
      </c>
      <c r="F870" s="1" t="n">
        <f aca="false">IFERROR(D870*E870,0)</f>
        <v>14428.2400140949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14428.2400140949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197914.12</v>
      </c>
      <c r="F871" s="1" t="n">
        <f aca="false">IFERROR(D871*E871,0)</f>
        <v>3698.1635001067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3698.1635001067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197914.12</v>
      </c>
      <c r="F872" s="1" t="n">
        <f aca="false">IFERROR(D872*E872,0)</f>
        <v>6451.40448039863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6451.40448039863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197914.12</v>
      </c>
      <c r="F873" s="1" t="n">
        <f aca="false">IFERROR(D873*E873,0)</f>
        <v>4719.70135936593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4719.70135936593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197914.12</v>
      </c>
      <c r="F874" s="1" t="n">
        <f aca="false">IFERROR(D874*E874,0)</f>
        <v>4720.68360730752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4720.68360730752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197914.12</v>
      </c>
      <c r="F875" s="1" t="n">
        <f aca="false">IFERROR(D875*E875,0)</f>
        <v>144135.06294971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144135.06294971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162221.3</v>
      </c>
      <c r="F876" s="1" t="n">
        <f aca="false">IFERROR(D876*E876,0)</f>
        <v>5324.65237002619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5324.65237002619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162221.3</v>
      </c>
      <c r="F877" s="1" t="n">
        <f aca="false">IFERROR(D877*E877,0)</f>
        <v>11363.2151374349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11363.2151374349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162221.3</v>
      </c>
      <c r="F878" s="1" t="n">
        <f aca="false">IFERROR(D878*E878,0)</f>
        <v>12150.890623383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12150.890623383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162221.3</v>
      </c>
      <c r="F879" s="1" t="n">
        <f aca="false">IFERROR(D879*E879,0)</f>
        <v>3094.74222143242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3094.74222143242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162221.3</v>
      </c>
      <c r="F880" s="1" t="n">
        <f aca="false">IFERROR(D880*E880,0)</f>
        <v>5423.00582144705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5423.00582144705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162221.3</v>
      </c>
      <c r="F881" s="1" t="n">
        <f aca="false">IFERROR(D881*E881,0)</f>
        <v>4010.44676914393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4010.44676914393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162221.3</v>
      </c>
      <c r="F882" s="1" t="n">
        <f aca="false">IFERROR(D882*E882,0)</f>
        <v>4054.53624736707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4054.53624736707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162221.3</v>
      </c>
      <c r="F883" s="1" t="n">
        <f aca="false">IFERROR(D883*E883,0)</f>
        <v>116799.810809765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116799.810809765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129977.060001</v>
      </c>
      <c r="F884" s="1" t="n">
        <f aca="false">IFERROR(D884*E884,0)</f>
        <v>4299.3700143523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4299.3700143523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129977.060001</v>
      </c>
      <c r="F885" s="1" t="n">
        <f aca="false">IFERROR(D885*E885,0)</f>
        <v>8950.9614976849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8950.9614976849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129977.060001</v>
      </c>
      <c r="F886" s="1" t="n">
        <f aca="false">IFERROR(D886*E886,0)</f>
        <v>9633.39059383422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9633.39059383422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129977.060001</v>
      </c>
      <c r="F887" s="1" t="n">
        <f aca="false">IFERROR(D887*E887,0)</f>
        <v>2470.88697178602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2470.88697178602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129977.060001</v>
      </c>
      <c r="F888" s="1" t="n">
        <f aca="false">IFERROR(D888*E888,0)</f>
        <v>4292.03206708188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4292.03206708188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129977.060001</v>
      </c>
      <c r="F889" s="1" t="n">
        <f aca="false">IFERROR(D889*E889,0)</f>
        <v>3167.99196247619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3167.99196247619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129977.060001</v>
      </c>
      <c r="F890" s="1" t="n">
        <f aca="false">IFERROR(D890*E890,0)</f>
        <v>3198.67792378887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3198.67792378887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129977.060001</v>
      </c>
      <c r="F891" s="1" t="n">
        <f aca="false">IFERROR(D891*E891,0)</f>
        <v>93963.7489699956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93963.7489699956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227902.6</v>
      </c>
      <c r="F892" s="1" t="n">
        <f aca="false">IFERROR(D892*E892,0)</f>
        <v>7451.56026224497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7451.56026224497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227902.6</v>
      </c>
      <c r="F893" s="1" t="n">
        <f aca="false">IFERROR(D893*E893,0)</f>
        <v>15303.5231251024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15303.5231251024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227902.6</v>
      </c>
      <c r="F894" s="1" t="n">
        <f aca="false">IFERROR(D894*E894,0)</f>
        <v>16614.4457638306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16614.4457638306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227902.6</v>
      </c>
      <c r="F895" s="1" t="n">
        <f aca="false">IFERROR(D895*E895,0)</f>
        <v>4258.51918447971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4258.51918447971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227902.6</v>
      </c>
      <c r="F896" s="1" t="n">
        <f aca="false">IFERROR(D896*E896,0)</f>
        <v>7428.93864639115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7428.93864639115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227902.6</v>
      </c>
      <c r="F897" s="1" t="n">
        <f aca="false">IFERROR(D897*E897,0)</f>
        <v>5434.84320887782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5434.84320887782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227902.6</v>
      </c>
      <c r="F898" s="1" t="n">
        <f aca="false">IFERROR(D898*E898,0)</f>
        <v>5435.97428967051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5435.97428967051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227902.6</v>
      </c>
      <c r="F899" s="1" t="n">
        <f aca="false">IFERROR(D899*E899,0)</f>
        <v>165974.795519403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165974.795519403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317771.09</v>
      </c>
      <c r="E5" s="21" t="n">
        <f aca="false">IFERROR(D5/IF(B5="Clientes",SUMIFS(PARÂMETROS!$B$8:$B$33,PARÂMETROS!$G$8:$G$33,F5),SUMIFS(PARÂMETROS!$C$8:$C$33,PARÂMETROS!$G$8:$G$33,F5)),0)</f>
        <v>1.63090842370524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111046.93</v>
      </c>
      <c r="E6" s="21" t="n">
        <f aca="false">IFERROR(D6/IF(B6="Clientes",SUMIFS(PARÂMETROS!$B$8:$B$33,PARÂMETROS!$G$8:$G$33,F6),SUMIFS(PARÂMETROS!$C$8:$C$33,PARÂMETROS!$G$8:$G$33,F6)),0)</f>
        <v>105.859799809342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296541.05</v>
      </c>
      <c r="E7" s="21" t="n">
        <f aca="false">IFERROR(D7/IF(B7="Clientes",SUMIFS(PARÂMETROS!$B$8:$B$33,PARÂMETROS!$G$8:$G$33,F7),SUMIFS(PARÂMETROS!$C$8:$C$33,PARÂMETROS!$G$8:$G$33,F7)),0)</f>
        <v>282.689275500477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272152.7</v>
      </c>
      <c r="E8" s="21" t="n">
        <f aca="false">IFERROR(D8/IF(B8="Clientes",SUMIFS(PARÂMETROS!$B$8:$B$33,PARÂMETROS!$G$8:$G$33,F8),SUMIFS(PARÂMETROS!$C$8:$C$33,PARÂMETROS!$G$8:$G$33,F8)),0)</f>
        <v>1.39677945833312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58230.01</v>
      </c>
      <c r="E9" s="21" t="n">
        <f aca="false">IFERROR(D9/IF(B9="Clientes",SUMIFS(PARÂMETROS!$B$8:$B$33,PARÂMETROS!$G$8:$G$33,F9),SUMIFS(PARÂMETROS!$C$8:$C$33,PARÂMETROS!$G$8:$G$33,F9)),0)</f>
        <v>0.298856053335249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225765.49</v>
      </c>
      <c r="E10" s="21" t="n">
        <f aca="false">IFERROR(D10/IF(B10="Clientes",SUMIFS(PARÂMETROS!$B$8:$B$33,PARÂMETROS!$G$8:$G$33,F10),SUMIFS(PARÂMETROS!$C$8:$C$33,PARÂMETROS!$G$8:$G$33,F10)),0)</f>
        <v>1.15870464938438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7240435.509</v>
      </c>
      <c r="E11" s="21" t="n">
        <f aca="false">IFERROR(D11/IF(B11="Clientes",SUMIFS(PARÂMETROS!$B$8:$B$33,PARÂMETROS!$G$8:$G$33,F11),SUMIFS(PARÂMETROS!$C$8:$C$33,PARÂMETROS!$G$8:$G$33,F11)),0)</f>
        <v>37.1603573595151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452792.319</v>
      </c>
      <c r="E12" s="21" t="n">
        <f aca="false">IFERROR(D12/IF(B12="Clientes",SUMIFS(PARÂMETROS!$B$8:$B$33,PARÂMETROS!$G$8:$G$33,F12),SUMIFS(PARÂMETROS!$C$8:$C$33,PARÂMETROS!$G$8:$G$33,F12)),0)</f>
        <v>2.32388291598877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691015.149</v>
      </c>
      <c r="E13" s="21" t="n">
        <f aca="false">IFERROR(D13/IF(B13="Clientes",SUMIFS(PARÂMETROS!$B$8:$B$33,PARÂMETROS!$G$8:$G$33,F13),SUMIFS(PARÂMETROS!$C$8:$C$33,PARÂMETROS!$G$8:$G$33,F13)),0)</f>
        <v>3.5465228363349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77570.33</v>
      </c>
      <c r="E14" s="21" t="n">
        <f aca="false">IFERROR(D14/IF(B14="Clientes",SUMIFS(PARÂMETROS!$B$8:$B$33,PARÂMETROS!$G$8:$G$33,F14),SUMIFS(PARÂMETROS!$C$8:$C$33,PARÂMETROS!$G$8:$G$33,F14)),0)</f>
        <v>0.398117099408242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19783.8</v>
      </c>
      <c r="E15" s="21" t="n">
        <f aca="false">IFERROR(D15/IF(B15="Clientes",SUMIFS(PARÂMETROS!$B$8:$B$33,PARÂMETROS!$G$8:$G$33,F15),SUMIFS(PARÂMETROS!$C$8:$C$33,PARÂMETROS!$G$8:$G$33,F15)),0)</f>
        <v>0.101537135026662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122963.44</v>
      </c>
      <c r="E16" s="21" t="n">
        <f aca="false">IFERROR(D16/IF(B16="Clientes",SUMIFS(PARÂMETROS!$B$8:$B$33,PARÂMETROS!$G$8:$G$33,F16),SUMIFS(PARÂMETROS!$C$8:$C$33,PARÂMETROS!$G$8:$G$33,F16)),0)</f>
        <v>0.631089851829422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95363.47</v>
      </c>
      <c r="E17" s="21" t="n">
        <f aca="false">IFERROR(D17/IF(B17="Clientes",SUMIFS(PARÂMETROS!$B$8:$B$33,PARÂMETROS!$G$8:$G$33,F17),SUMIFS(PARÂMETROS!$C$8:$C$33,PARÂMETROS!$G$8:$G$33,F17)),0)</f>
        <v>0.489437495829976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242827.55</v>
      </c>
      <c r="E18" s="21" t="n">
        <f aca="false">IFERROR(D18/IF(B18="Clientes",SUMIFS(PARÂMETROS!$B$8:$B$33,PARÂMETROS!$G$8:$G$33,F18),SUMIFS(PARÂMETROS!$C$8:$C$33,PARÂMETROS!$G$8:$G$33,F18)),0)</f>
        <v>231.484795042898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731448.72</v>
      </c>
      <c r="E19" s="21" t="n">
        <f aca="false">IFERROR(D19/IF(B19="Clientes",SUMIFS(PARÂMETROS!$B$8:$B$33,PARÂMETROS!$G$8:$G$33,F19),SUMIFS(PARÂMETROS!$C$8:$C$33,PARÂMETROS!$G$8:$G$33,F19)),0)</f>
        <v>3.7540415616676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3446701.44</v>
      </c>
      <c r="E20" s="21" t="n">
        <f aca="false">IFERROR(D20/IF(B20="Clientes",SUMIFS(PARÂMETROS!$B$8:$B$33,PARÂMETROS!$G$8:$G$33,F20),SUMIFS(PARÂMETROS!$C$8:$C$33,PARÂMETROS!$G$8:$G$33,F20)),0)</f>
        <v>17.6896344236129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1367312.84</v>
      </c>
      <c r="E21" s="21" t="n">
        <f aca="false">IFERROR(D21/IF(B21="Clientes",SUMIFS(PARÂMETROS!$B$8:$B$33,PARÂMETROS!$G$8:$G$33,F21),SUMIFS(PARÂMETROS!$C$8:$C$33,PARÂMETROS!$G$8:$G$33,F21)),0)</f>
        <v>7.01751071375415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1393797.37</v>
      </c>
      <c r="E22" s="21" t="n">
        <f aca="false">IFERROR(D22/IF(B22="Clientes",SUMIFS(PARÂMETROS!$B$8:$B$33,PARÂMETROS!$G$8:$G$33,F22),SUMIFS(PARÂMETROS!$C$8:$C$33,PARÂMETROS!$G$8:$G$33,F22)),0)</f>
        <v>7.1534382554159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125650.23</v>
      </c>
      <c r="E23" s="21" t="n">
        <f aca="false">IFERROR(D23/IF(B23="Clientes",SUMIFS(PARÂMETROS!$B$8:$B$33,PARÂMETROS!$G$8:$G$33,F23),SUMIFS(PARÂMETROS!$C$8:$C$33,PARÂMETROS!$G$8:$G$33,F23)),0)</f>
        <v>0.644879364411347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739188.63</v>
      </c>
      <c r="E24" s="21" t="n">
        <f aca="false">IFERROR(D24/IF(B24="Clientes",SUMIFS(PARÂMETROS!$B$8:$B$33,PARÂMETROS!$G$8:$G$33,F24),SUMIFS(PARÂMETROS!$C$8:$C$33,PARÂMETROS!$G$8:$G$33,F24)),0)</f>
        <v>3.79376539059653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1275399.05</v>
      </c>
      <c r="E25" s="21" t="n">
        <f aca="false">IFERROR(D25/IF(B25="Clientes",SUMIFS(PARÂMETROS!$B$8:$B$33,PARÂMETROS!$G$8:$G$33,F25),SUMIFS(PARÂMETROS!$C$8:$C$33,PARÂMETROS!$G$8:$G$33,F25)),0)</f>
        <v>6.54577813932243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318303.01</v>
      </c>
      <c r="E26" s="21" t="n">
        <f aca="false">IFERROR(D26/IF(B26="Clientes",SUMIFS(PARÂMETROS!$B$8:$B$33,PARÂMETROS!$G$8:$G$33,F26),SUMIFS(PARÂMETROS!$C$8:$C$33,PARÂMETROS!$G$8:$G$33,F26)),0)</f>
        <v>1.63363841657129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3362757.99</v>
      </c>
      <c r="E27" s="21" t="n">
        <f aca="false">IFERROR(D27/IF(B27="Clientes",SUMIFS(PARÂMETROS!$B$8:$B$33,PARÂMETROS!$G$8:$G$33,F27),SUMIFS(PARÂMETROS!$C$8:$C$33,PARÂMETROS!$G$8:$G$33,F27)),0)</f>
        <v>17.2588083225982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1302598.37</v>
      </c>
      <c r="E28" s="21" t="n">
        <f aca="false">IFERROR(D28/IF(B28="Clientes",SUMIFS(PARÂMETROS!$B$8:$B$33,PARÂMETROS!$G$8:$G$33,F28),SUMIFS(PARÂMETROS!$C$8:$C$33,PARÂMETROS!$G$8:$G$33,F28)),0)</f>
        <v>6.68537422437552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267189.8</v>
      </c>
      <c r="E30" s="21" t="n">
        <f aca="false">IFERROR(D30/IF(B30="Clientes",SUMIFS(PARÂMETROS!$B$8:$B$33,PARÂMETROS!$G$8:$G$33,F30),SUMIFS(PARÂMETROS!$C$8:$C$33,PARÂMETROS!$G$8:$G$33,F30)),0)</f>
        <v>1.37130818145892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22595.25</v>
      </c>
      <c r="E31" s="21" t="n">
        <f aca="false">IFERROR(D31/IF(B31="Clientes",SUMIFS(PARÂMETROS!$B$8:$B$33,PARÂMETROS!$G$8:$G$33,F31),SUMIFS(PARÂMETROS!$C$8:$C$33,PARÂMETROS!$G$8:$G$33,F31)),0)</f>
        <v>0.115966444778617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638795.73</v>
      </c>
      <c r="E32" s="21" t="n">
        <f aca="false">IFERROR(D32/IF(B32="Clientes",SUMIFS(PARÂMETROS!$B$8:$B$33,PARÂMETROS!$G$8:$G$33,F32),SUMIFS(PARÂMETROS!$C$8:$C$33,PARÂMETROS!$G$8:$G$33,F32)),0)</f>
        <v>3.27851516349061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129977.060001</v>
      </c>
      <c r="E33" s="21" t="n">
        <f aca="false">IFERROR(D33/IF(B33="Clientes",SUMIFS(PARÂMETROS!$B$8:$B$33,PARÂMETROS!$G$8:$G$33,F33),SUMIFS(PARÂMETROS!$C$8:$C$33,PARÂMETROS!$G$8:$G$33,F33)),0)</f>
        <v>0.667086115492987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1350797.41</v>
      </c>
      <c r="E34" s="21" t="n">
        <f aca="false">IFERROR(D34/IF(B34="Clientes",SUMIFS(PARÂMETROS!$B$8:$B$33,PARÂMETROS!$G$8:$G$33,F34),SUMIFS(PARÂMETROS!$C$8:$C$33,PARÂMETROS!$G$8:$G$33,F34)),0)</f>
        <v>6.93274795604666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26507.66</v>
      </c>
      <c r="E35" s="21" t="n">
        <f aca="false">IFERROR(D35/IF(B35="Clientes",SUMIFS(PARÂMETROS!$B$8:$B$33,PARÂMETROS!$G$8:$G$33,F35),SUMIFS(PARÂMETROS!$C$8:$C$33,PARÂMETROS!$G$8:$G$33,F35)),0)</f>
        <v>0.136046252623907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2771812.28</v>
      </c>
      <c r="E36" s="21" t="n">
        <f aca="false">IFERROR(D36/IF(B36="Clientes",SUMIFS(PARÂMETROS!$B$8:$B$33,PARÂMETROS!$G$8:$G$33,F36),SUMIFS(PARÂMETROS!$C$8:$C$33,PARÂMETROS!$G$8:$G$33,F36)),0)</f>
        <v>14.2258756024081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989351.46</v>
      </c>
      <c r="E37" s="21" t="n">
        <f aca="false">IFERROR(D37/IF(B37="Clientes",SUMIFS(PARÂMETROS!$B$8:$B$33,PARÂMETROS!$G$8:$G$33,F37),SUMIFS(PARÂMETROS!$C$8:$C$33,PARÂMETROS!$G$8:$G$33,F37)),0)</f>
        <v>5.07768541851645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86778.87</v>
      </c>
      <c r="E38" s="21" t="n">
        <f aca="false">IFERROR(D38/IF(B38="Clientes",SUMIFS(PARÂMETROS!$B$8:$B$33,PARÂMETROS!$G$8:$G$33,F38),SUMIFS(PARÂMETROS!$C$8:$C$33,PARÂMETROS!$G$8:$G$33,F38)),0)</f>
        <v>0.445378432892123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230244.24</v>
      </c>
      <c r="E39" s="21" t="n">
        <f aca="false">IFERROR(D39/IF(B39="Clientes",SUMIFS(PARÂMETROS!$B$8:$B$33,PARÂMETROS!$G$8:$G$33,F39),SUMIFS(PARÂMETROS!$C$8:$C$33,PARÂMETROS!$G$8:$G$33,F39)),0)</f>
        <v>219.489265967588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</f>
        <v>30849245.847001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184954.45</v>
      </c>
      <c r="E42" s="21" t="n">
        <f aca="false">IFERROR(D42/IF(B42="Clientes",SUMIFS(PARÂMETROS!$B$8:$B$33,PARÂMETROS!$G$8:$G$33,F42),SUMIFS(PARÂMETROS!$C$8:$C$33,PARÂMETROS!$G$8:$G$33,F42)),0)</f>
        <v>0.966692887046784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89214.72</v>
      </c>
      <c r="E43" s="21" t="n">
        <f aca="false">IFERROR(D43/IF(B43="Clientes",SUMIFS(PARÂMETROS!$B$8:$B$33,PARÂMETROS!$G$8:$G$33,F43),SUMIFS(PARÂMETROS!$C$8:$C$33,PARÂMETROS!$G$8:$G$33,F43)),0)</f>
        <v>84.7243304843305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259932.05</v>
      </c>
      <c r="E44" s="21" t="n">
        <f aca="false">IFERROR(D44/IF(B44="Clientes",SUMIFS(PARÂMETROS!$B$8:$B$33,PARÂMETROS!$G$8:$G$33,F44),SUMIFS(PARÂMETROS!$C$8:$C$33,PARÂMETROS!$G$8:$G$33,F44)),0)</f>
        <v>246.849050332384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229441.9</v>
      </c>
      <c r="E45" s="21" t="n">
        <f aca="false">IFERROR(D45/IF(B45="Clientes",SUMIFS(PARÂMETROS!$B$8:$B$33,PARÂMETROS!$G$8:$G$33,F45),SUMIFS(PARÂMETROS!$C$8:$C$33,PARÂMETROS!$G$8:$G$33,F45)),0)</f>
        <v>1.19921338859649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51457.38</v>
      </c>
      <c r="E46" s="21" t="n">
        <f aca="false">IFERROR(D46/IF(B46="Clientes",SUMIFS(PARÂMETROS!$B$8:$B$33,PARÂMETROS!$G$8:$G$33,F46),SUMIFS(PARÂMETROS!$C$8:$C$33,PARÂMETROS!$G$8:$G$33,F46)),0)</f>
        <v>0.268949912976214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222978.1</v>
      </c>
      <c r="E47" s="21" t="n">
        <f aca="false">IFERROR(D47/IF(B47="Clientes",SUMIFS(PARÂMETROS!$B$8:$B$33,PARÂMETROS!$G$8:$G$33,F47),SUMIFS(PARÂMETROS!$C$8:$C$33,PARÂMETROS!$G$8:$G$33,F47)),0)</f>
        <v>1.16542934348001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6166077.189</v>
      </c>
      <c r="E48" s="21" t="n">
        <f aca="false">IFERROR(D48/IF(B48="Clientes",SUMIFS(PARÂMETROS!$B$8:$B$33,PARÂMETROS!$G$8:$G$33,F48),SUMIFS(PARÂMETROS!$C$8:$C$33,PARÂMETROS!$G$8:$G$33,F48)),0)</f>
        <v>32.2279510419334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447048.239</v>
      </c>
      <c r="E49" s="21" t="n">
        <f aca="false">IFERROR(D49/IF(B49="Clientes",SUMIFS(PARÂMETROS!$B$8:$B$33,PARÂMETROS!$G$8:$G$33,F49),SUMIFS(PARÂMETROS!$C$8:$C$33,PARÂMETROS!$G$8:$G$33,F49)),0)</f>
        <v>2.33656639679711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331122.709</v>
      </c>
      <c r="E50" s="21" t="n">
        <f aca="false">IFERROR(D50/IF(B50="Clientes",SUMIFS(PARÂMETROS!$B$8:$B$33,PARÂMETROS!$G$8:$G$33,F50),SUMIFS(PARÂMETROS!$C$8:$C$33,PARÂMETROS!$G$8:$G$33,F50)),0)</f>
        <v>1.73066377981153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82426.19</v>
      </c>
      <c r="E51" s="21" t="n">
        <f aca="false">IFERROR(D51/IF(B51="Clientes",SUMIFS(PARÂMETROS!$B$8:$B$33,PARÂMETROS!$G$8:$G$33,F51),SUMIFS(PARÂMETROS!$C$8:$C$33,PARÂMETROS!$G$8:$G$33,F51)),0)</f>
        <v>0.430813162805041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19841.34</v>
      </c>
      <c r="E52" s="21" t="n">
        <f aca="false">IFERROR(D52/IF(B52="Clientes",SUMIFS(PARÂMETROS!$B$8:$B$33,PARÂMETROS!$G$8:$G$33,F52),SUMIFS(PARÂMETROS!$C$8:$C$33,PARÂMETROS!$G$8:$G$33,F52)),0)</f>
        <v>0.103703815979971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112937.96</v>
      </c>
      <c r="E53" s="21" t="n">
        <f aca="false">IFERROR(D53/IF(B53="Clientes",SUMIFS(PARÂMETROS!$B$8:$B$33,PARÂMETROS!$G$8:$G$33,F53),SUMIFS(PARÂMETROS!$C$8:$C$33,PARÂMETROS!$G$8:$G$33,F53)),0)</f>
        <v>0.590287622761032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85461.44</v>
      </c>
      <c r="E54" s="21" t="n">
        <f aca="false">IFERROR(D54/IF(B54="Clientes",SUMIFS(PARÂMETROS!$B$8:$B$33,PARÂMETROS!$G$8:$G$33,F54),SUMIFS(PARÂMETROS!$C$8:$C$33,PARÂMETROS!$G$8:$G$33,F54)),0)</f>
        <v>0.446677363884867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244568.67</v>
      </c>
      <c r="E55" s="21" t="n">
        <f aca="false">IFERROR(D55/IF(B55="Clientes",SUMIFS(PARÂMETROS!$B$8:$B$33,PARÂMETROS!$G$8:$G$33,F55),SUMIFS(PARÂMETROS!$C$8:$C$33,PARÂMETROS!$G$8:$G$33,F55)),0)</f>
        <v>232.258945868946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657234.79</v>
      </c>
      <c r="E56" s="21" t="n">
        <f aca="false">IFERROR(D56/IF(B56="Clientes",SUMIFS(PARÂMETROS!$B$8:$B$33,PARÂMETROS!$G$8:$G$33,F56),SUMIFS(PARÂMETROS!$C$8:$C$33,PARÂMETROS!$G$8:$G$33,F56)),0)</f>
        <v>3.43513874152629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3223530.42</v>
      </c>
      <c r="E57" s="21" t="n">
        <f aca="false">IFERROR(D57/IF(B57="Clientes",SUMIFS(PARÂMETROS!$B$8:$B$33,PARÂMETROS!$G$8:$G$33,F57),SUMIFS(PARÂMETROS!$C$8:$C$33,PARÂMETROS!$G$8:$G$33,F57)),0)</f>
        <v>16.8482776607588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1402542.53</v>
      </c>
      <c r="E58" s="21" t="n">
        <f aca="false">IFERROR(D58/IF(B58="Clientes",SUMIFS(PARÂMETROS!$B$8:$B$33,PARÂMETROS!$G$8:$G$33,F58),SUMIFS(PARÂMETROS!$C$8:$C$33,PARÂMETROS!$G$8:$G$33,F58)),0)</f>
        <v>7.33060430571744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868274.68</v>
      </c>
      <c r="E59" s="21" t="n">
        <f aca="false">IFERROR(D59/IF(B59="Clientes",SUMIFS(PARÂMETROS!$B$8:$B$33,PARÂMETROS!$G$8:$G$33,F59),SUMIFS(PARÂMETROS!$C$8:$C$33,PARÂMETROS!$G$8:$G$33,F59)),0)</f>
        <v>4.53817119382001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98583.16</v>
      </c>
      <c r="E60" s="21" t="n">
        <f aca="false">IFERROR(D60/IF(B60="Clientes",SUMIFS(PARÂMETROS!$B$8:$B$33,PARÂMETROS!$G$8:$G$33,F60),SUMIFS(PARÂMETROS!$C$8:$C$33,PARÂMETROS!$G$8:$G$33,F60)),0)</f>
        <v>0.515260052162005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654015.41</v>
      </c>
      <c r="E61" s="21" t="n">
        <f aca="false">IFERROR(D61/IF(B61="Clientes",SUMIFS(PARÂMETROS!$B$8:$B$33,PARÂMETROS!$G$8:$G$33,F61),SUMIFS(PARÂMETROS!$C$8:$C$33,PARÂMETROS!$G$8:$G$33,F61)),0)</f>
        <v>3.41831215667418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446387.23</v>
      </c>
      <c r="E62" s="21" t="n">
        <f aca="false">IFERROR(D62/IF(B62="Clientes",SUMIFS(PARÂMETROS!$B$8:$B$33,PARÂMETROS!$G$8:$G$33,F62),SUMIFS(PARÂMETROS!$C$8:$C$33,PARÂMETROS!$G$8:$G$33,F62)),0)</f>
        <v>2.33311153156638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292027.02</v>
      </c>
      <c r="E63" s="21" t="n">
        <f aca="false">IFERROR(D63/IF(B63="Clientes",SUMIFS(PARÂMETROS!$B$8:$B$33,PARÂMETROS!$G$8:$G$33,F63),SUMIFS(PARÂMETROS!$C$8:$C$33,PARÂMETROS!$G$8:$G$33,F63)),0)</f>
        <v>1.52632414661809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2955576.43</v>
      </c>
      <c r="E64" s="21" t="n">
        <f aca="false">IFERROR(D64/IF(B64="Clientes",SUMIFS(PARÂMETROS!$B$8:$B$33,PARÂMETROS!$G$8:$G$33,F64),SUMIFS(PARÂMETROS!$C$8:$C$33,PARÂMETROS!$G$8:$G$33,F64)),0)</f>
        <v>15.4477749089256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1040247.5</v>
      </c>
      <c r="E65" s="21" t="n">
        <f aca="false">IFERROR(D65/IF(B65="Clientes",SUMIFS(PARÂMETROS!$B$8:$B$33,PARÂMETROS!$G$8:$G$33,F65),SUMIFS(PARÂMETROS!$C$8:$C$33,PARÂMETROS!$G$8:$G$33,F65)),0)</f>
        <v>5.43701359452665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172122.21</v>
      </c>
      <c r="E67" s="21" t="n">
        <f aca="false">IFERROR(D67/IF(B67="Clientes",SUMIFS(PARÂMETROS!$B$8:$B$33,PARÂMETROS!$G$8:$G$33,F67),SUMIFS(PARÂMETROS!$C$8:$C$33,PARÂMETROS!$G$8:$G$33,F67)),0)</f>
        <v>0.89962321052439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17297.48</v>
      </c>
      <c r="E68" s="21" t="n">
        <f aca="false">IFERROR(D68/IF(B68="Clientes",SUMIFS(PARÂMETROS!$B$8:$B$33,PARÂMETROS!$G$8:$G$33,F68),SUMIFS(PARÂMETROS!$C$8:$C$33,PARÂMETROS!$G$8:$G$33,F68)),0)</f>
        <v>0.0904079403325197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672287.43</v>
      </c>
      <c r="E69" s="21" t="n">
        <f aca="false">IFERROR(D69/IF(B69="Clientes",SUMIFS(PARÂMETROS!$B$8:$B$33,PARÂMETROS!$G$8:$G$33,F69),SUMIFS(PARÂMETROS!$C$8:$C$33,PARÂMETROS!$G$8:$G$33,F69)),0)</f>
        <v>3.51381368024377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162221.3</v>
      </c>
      <c r="E70" s="21" t="n">
        <f aca="false">IFERROR(D70/IF(B70="Clientes",SUMIFS(PARÂMETROS!$B$8:$B$33,PARÂMETROS!$G$8:$G$33,F70),SUMIFS(PARÂMETROS!$C$8:$C$33,PARÂMETROS!$G$8:$G$33,F70)),0)</f>
        <v>0.847874581214361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1102499.37</v>
      </c>
      <c r="E71" s="21" t="n">
        <f aca="false">IFERROR(D71/IF(B71="Clientes",SUMIFS(PARÂMETROS!$B$8:$B$33,PARÂMETROS!$G$8:$G$33,F71),SUMIFS(PARÂMETROS!$C$8:$C$33,PARÂMETROS!$G$8:$G$33,F71)),0)</f>
        <v>5.76238257015476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19315.06</v>
      </c>
      <c r="E72" s="21" t="n">
        <f aca="false">IFERROR(D72/IF(B72="Clientes",SUMIFS(PARÂMETROS!$B$8:$B$33,PARÂMETROS!$G$8:$G$33,F72),SUMIFS(PARÂMETROS!$C$8:$C$33,PARÂMETROS!$G$8:$G$33,F72)),0)</f>
        <v>0.100953132594981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2384136.11</v>
      </c>
      <c r="E73" s="21" t="n">
        <f aca="false">IFERROR(D73/IF(B73="Clientes",SUMIFS(PARÂMETROS!$B$8:$B$33,PARÂMETROS!$G$8:$G$33,F73),SUMIFS(PARÂMETROS!$C$8:$C$33,PARÂMETROS!$G$8:$G$33,F73)),0)</f>
        <v>12.4610541638138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640375.01</v>
      </c>
      <c r="E74" s="21" t="n">
        <f aca="false">IFERROR(D74/IF(B74="Clientes",SUMIFS(PARÂMETROS!$B$8:$B$33,PARÂMETROS!$G$8:$G$33,F74),SUMIFS(PARÂMETROS!$C$8:$C$33,PARÂMETROS!$G$8:$G$33,F74)),0)</f>
        <v>3.34701850758126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87363.54</v>
      </c>
      <c r="E75" s="21" t="n">
        <f aca="false">IFERROR(D75/IF(B75="Clientes",SUMIFS(PARÂMETROS!$B$8:$B$33,PARÂMETROS!$G$8:$G$33,F75),SUMIFS(PARÂMETROS!$C$8:$C$33,PARÂMETROS!$G$8:$G$33,F75)),0)</f>
        <v>0.45661898216143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158017.95</v>
      </c>
      <c r="E76" s="21" t="n">
        <f aca="false">IFERROR(D76/IF(B76="Clientes",SUMIFS(PARÂMETROS!$B$8:$B$33,PARÂMETROS!$G$8:$G$33,F76),SUMIFS(PARÂMETROS!$C$8:$C$33,PARÂMETROS!$G$8:$G$33,F76)),0)</f>
        <v>150.06452991453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</f>
        <v>25629364.227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310439.36</v>
      </c>
      <c r="E78" s="21" t="n">
        <f aca="false">IFERROR(D78/IF(B78="Clientes",SUMIFS(PARÂMETROS!$B$8:$B$33,PARÂMETROS!$G$8:$G$33,F78),SUMIFS(PARÂMETROS!$C$8:$C$33,PARÂMETROS!$G$8:$G$33,F78)),0)</f>
        <v>1.5407108009787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184326.69</v>
      </c>
      <c r="E79" s="21" t="n">
        <f aca="false">IFERROR(D79/IF(B79="Clientes",SUMIFS(PARÂMETROS!$B$8:$B$33,PARÂMETROS!$G$8:$G$33,F79),SUMIFS(PARÂMETROS!$C$8:$C$33,PARÂMETROS!$G$8:$G$33,F79)),0)</f>
        <v>169.107055045872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309930.79</v>
      </c>
      <c r="E80" s="21" t="n">
        <f aca="false">IFERROR(D80/IF(B80="Clientes",SUMIFS(PARÂMETROS!$B$8:$B$33,PARÂMETROS!$G$8:$G$33,F80),SUMIFS(PARÂMETROS!$C$8:$C$33,PARÂMETROS!$G$8:$G$33,F80)),0)</f>
        <v>284.340174311927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317326.64</v>
      </c>
      <c r="E81" s="21" t="n">
        <f aca="false">IFERROR(D81/IF(B81="Clientes",SUMIFS(PARÂMETROS!$B$8:$B$33,PARÂMETROS!$G$8:$G$33,F81),SUMIFS(PARÂMETROS!$C$8:$C$33,PARÂMETROS!$G$8:$G$33,F81)),0)</f>
        <v>1.57489237732703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29129.28</v>
      </c>
      <c r="E82" s="21" t="n">
        <f aca="false">IFERROR(D82/IF(B82="Clientes",SUMIFS(PARÂMETROS!$B$8:$B$33,PARÂMETROS!$G$8:$G$33,F82),SUMIFS(PARÂMETROS!$C$8:$C$33,PARÂMETROS!$G$8:$G$33,F82)),0)</f>
        <v>0.144568640782963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276000.45</v>
      </c>
      <c r="E83" s="21" t="n">
        <f aca="false">IFERROR(D83/IF(B83="Clientes",SUMIFS(PARÂMETROS!$B$8:$B$33,PARÂMETROS!$G$8:$G$33,F83),SUMIFS(PARÂMETROS!$C$8:$C$33,PARÂMETROS!$G$8:$G$33,F83)),0)</f>
        <v>1.36979046210501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6671741.799</v>
      </c>
      <c r="E84" s="21" t="n">
        <f aca="false">IFERROR(D84/IF(B84="Clientes",SUMIFS(PARÂMETROS!$B$8:$B$33,PARÂMETROS!$G$8:$G$33,F84),SUMIFS(PARÂMETROS!$C$8:$C$33,PARÂMETROS!$G$8:$G$33,F84)),0)</f>
        <v>33.1118600781176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525889.579</v>
      </c>
      <c r="E85" s="21" t="n">
        <f aca="false">IFERROR(D85/IF(B85="Clientes",SUMIFS(PARÂMETROS!$B$8:$B$33,PARÂMETROS!$G$8:$G$33,F85),SUMIFS(PARÂMETROS!$C$8:$C$33,PARÂMETROS!$G$8:$G$33,F85)),0)</f>
        <v>2.6099904164454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490831.499</v>
      </c>
      <c r="E86" s="21" t="n">
        <f aca="false">IFERROR(D86/IF(B86="Clientes",SUMIFS(PARÂMETROS!$B$8:$B$33,PARÂMETROS!$G$8:$G$33,F86),SUMIFS(PARÂMETROS!$C$8:$C$33,PARÂMETROS!$G$8:$G$33,F86)),0)</f>
        <v>2.43599713634852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94464.49</v>
      </c>
      <c r="E87" s="21" t="n">
        <f aca="false">IFERROR(D87/IF(B87="Clientes",SUMIFS(PARÂMETROS!$B$8:$B$33,PARÂMETROS!$G$8:$G$33,F87),SUMIFS(PARÂMETROS!$C$8:$C$33,PARÂMETROS!$G$8:$G$33,F87)),0)</f>
        <v>0.468827342164166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21871.89</v>
      </c>
      <c r="E88" s="21" t="n">
        <f aca="false">IFERROR(D88/IF(B88="Clientes",SUMIFS(PARÂMETROS!$B$8:$B$33,PARÂMETROS!$G$8:$G$33,F88),SUMIFS(PARÂMETROS!$C$8:$C$33,PARÂMETROS!$G$8:$G$33,F88)),0)</f>
        <v>0.108550208197885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168520.52</v>
      </c>
      <c r="E89" s="21" t="n">
        <f aca="false">IFERROR(D89/IF(B89="Clientes",SUMIFS(PARÂMETROS!$B$8:$B$33,PARÂMETROS!$G$8:$G$33,F89),SUMIFS(PARÂMETROS!$C$8:$C$33,PARÂMETROS!$G$8:$G$33,F89)),0)</f>
        <v>0.836367480433369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132389.58</v>
      </c>
      <c r="E90" s="21" t="n">
        <f aca="false">IFERROR(D90/IF(B90="Clientes",SUMIFS(PARÂMETROS!$B$8:$B$33,PARÂMETROS!$G$8:$G$33,F90),SUMIFS(PARÂMETROS!$C$8:$C$33,PARÂMETROS!$G$8:$G$33,F90)),0)</f>
        <v>0.657049595267283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440483.27</v>
      </c>
      <c r="E91" s="21" t="n">
        <f aca="false">IFERROR(D91/IF(B91="Clientes",SUMIFS(PARÂMETROS!$B$8:$B$33,PARÂMETROS!$G$8:$G$33,F91),SUMIFS(PARÂMETROS!$C$8:$C$33,PARÂMETROS!$G$8:$G$33,F91)),0)</f>
        <v>404.113091743119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1013356.99</v>
      </c>
      <c r="E92" s="21" t="n">
        <f aca="false">IFERROR(D92/IF(B92="Clientes",SUMIFS(PARÂMETROS!$B$8:$B$33,PARÂMETROS!$G$8:$G$33,F92),SUMIFS(PARÂMETROS!$C$8:$C$33,PARÂMETROS!$G$8:$G$33,F92)),0)</f>
        <v>5.02929158126169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3263585.61</v>
      </c>
      <c r="E93" s="21" t="n">
        <f aca="false">IFERROR(D93/IF(B93="Clientes",SUMIFS(PARÂMETROS!$B$8:$B$33,PARÂMETROS!$G$8:$G$33,F93),SUMIFS(PARÂMETROS!$C$8:$C$33,PARÂMETROS!$G$8:$G$33,F93)),0)</f>
        <v>16.1971780873587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1383927.11</v>
      </c>
      <c r="E94" s="21" t="n">
        <f aca="false">IFERROR(D94/IF(B94="Clientes",SUMIFS(PARÂMETROS!$B$8:$B$33,PARÂMETROS!$G$8:$G$33,F94),SUMIFS(PARÂMETROS!$C$8:$C$33,PARÂMETROS!$G$8:$G$33,F94)),0)</f>
        <v>6.86843139395804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1254332.67</v>
      </c>
      <c r="E95" s="21" t="n">
        <f aca="false">IFERROR(D95/IF(B95="Clientes",SUMIFS(PARÂMETROS!$B$8:$B$33,PARÂMETROS!$G$8:$G$33,F95),SUMIFS(PARÂMETROS!$C$8:$C$33,PARÂMETROS!$G$8:$G$33,F95)),0)</f>
        <v>6.22525408082743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97761.36</v>
      </c>
      <c r="E96" s="21" t="n">
        <f aca="false">IFERROR(D96/IF(B96="Clientes",SUMIFS(PARÂMETROS!$B$8:$B$33,PARÂMETROS!$G$8:$G$33,F96),SUMIFS(PARÂMETROS!$C$8:$C$33,PARÂMETROS!$G$8:$G$33,F96)),0)</f>
        <v>0.485189710706682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1829264.25</v>
      </c>
      <c r="E97" s="21" t="n">
        <f aca="false">IFERROR(D97/IF(B97="Clientes",SUMIFS(PARÂMETROS!$B$8:$B$33,PARÂMETROS!$G$8:$G$33,F97),SUMIFS(PARÂMETROS!$C$8:$C$33,PARÂMETROS!$G$8:$G$33,F97)),0)</f>
        <v>9.07863998888288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1051312.09</v>
      </c>
      <c r="E98" s="21" t="n">
        <f aca="false">IFERROR(D98/IF(B98="Clientes",SUMIFS(PARÂMETROS!$B$8:$B$33,PARÂMETROS!$G$8:$G$33,F98),SUMIFS(PARÂMETROS!$C$8:$C$33,PARÂMETROS!$G$8:$G$33,F98)),0)</f>
        <v>5.21766277401968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230802.58</v>
      </c>
      <c r="E99" s="21" t="n">
        <f aca="false">IFERROR(D99/IF(B99="Clientes",SUMIFS(PARÂMETROS!$B$8:$B$33,PARÂMETROS!$G$8:$G$33,F99),SUMIFS(PARÂMETROS!$C$8:$C$33,PARÂMETROS!$G$8:$G$33,F99)),0)</f>
        <v>1.14547339583406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3398510.85</v>
      </c>
      <c r="E100" s="21" t="n">
        <f aca="false">IFERROR(D100/IF(B100="Clientes",SUMIFS(PARÂMETROS!$B$8:$B$33,PARÂMETROS!$G$8:$G$33,F100),SUMIFS(PARÂMETROS!$C$8:$C$33,PARÂMETROS!$G$8:$G$33,F100)),0)</f>
        <v>16.8668121653076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1257618.59</v>
      </c>
      <c r="E101" s="21" t="n">
        <f aca="false">IFERROR(D101/IF(B101="Clientes",SUMIFS(PARÂMETROS!$B$8:$B$33,PARÂMETROS!$G$8:$G$33,F101),SUMIFS(PARÂMETROS!$C$8:$C$33,PARÂMETROS!$G$8:$G$33,F101)),0)</f>
        <v>6.24156210451087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197914.12</v>
      </c>
      <c r="E103" s="21" t="n">
        <f aca="false">IFERROR(D103/IF(B103="Clientes",SUMIFS(PARÂMETROS!$B$8:$B$33,PARÂMETROS!$G$8:$G$33,F103),SUMIFS(PARÂMETROS!$C$8:$C$33,PARÂMETROS!$G$8:$G$33,F103)),0)</f>
        <v>0.982247941595406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22359.54</v>
      </c>
      <c r="E104" s="21" t="n">
        <f aca="false">IFERROR(D104/IF(B104="Clientes",SUMIFS(PARÂMETROS!$B$8:$B$33,PARÂMETROS!$G$8:$G$33,F104),SUMIFS(PARÂMETROS!$C$8:$C$33,PARÂMETROS!$G$8:$G$33,F104)),0)</f>
        <v>0.110970415552059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676067.35</v>
      </c>
      <c r="E105" s="21" t="n">
        <f aca="false">IFERROR(D105/IF(B105="Clientes",SUMIFS(PARÂMETROS!$B$8:$B$33,PARÂMETROS!$G$8:$G$33,F105),SUMIFS(PARÂMETROS!$C$8:$C$33,PARÂMETROS!$G$8:$G$33,F105)),0)</f>
        <v>3.35532281838891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227902.6</v>
      </c>
      <c r="E106" s="21" t="n">
        <f aca="false">IFERROR(D106/IF(B106="Clientes",SUMIFS(PARÂMETROS!$B$8:$B$33,PARÂMETROS!$G$8:$G$33,F106),SUMIFS(PARÂMETROS!$C$8:$C$33,PARÂMETROS!$G$8:$G$33,F106)),0)</f>
        <v>1.13108079269049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1046417.09</v>
      </c>
      <c r="E107" s="21" t="n">
        <f aca="false">IFERROR(D107/IF(B107="Clientes",SUMIFS(PARÂMETROS!$B$8:$B$33,PARÂMETROS!$G$8:$G$33,F107),SUMIFS(PARÂMETROS!$C$8:$C$33,PARÂMETROS!$G$8:$G$33,F107)),0)</f>
        <v>5.1933688849626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41610.79</v>
      </c>
      <c r="E108" s="21" t="n">
        <f aca="false">IFERROR(D108/IF(B108="Clientes",SUMIFS(PARÂMETROS!$B$8:$B$33,PARÂMETROS!$G$8:$G$33,F108),SUMIFS(PARÂMETROS!$C$8:$C$33,PARÂMETROS!$G$8:$G$33,F108)),0)</f>
        <v>0.206514385257902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3496099.7</v>
      </c>
      <c r="E109" s="21" t="n">
        <f aca="false">IFERROR(D109/IF(B109="Clientes",SUMIFS(PARÂMETROS!$B$8:$B$33,PARÂMETROS!$G$8:$G$33,F109),SUMIFS(PARÂMETROS!$C$8:$C$33,PARÂMETROS!$G$8:$G$33,F109)),0)</f>
        <v>17.3511457087413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472012.31</v>
      </c>
      <c r="E110" s="21" t="n">
        <f aca="false">IFERROR(D110/IF(B110="Clientes",SUMIFS(PARÂMETROS!$B$8:$B$33,PARÂMETROS!$G$8:$G$33,F110),SUMIFS(PARÂMETROS!$C$8:$C$33,PARÂMETROS!$G$8:$G$33,F110)),0)</f>
        <v>2.34259748574378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86626.03</v>
      </c>
      <c r="E111" s="21" t="n">
        <f aca="false">IFERROR(D111/IF(B111="Clientes",SUMIFS(PARÂMETROS!$B$8:$B$33,PARÂMETROS!$G$8:$G$33,F111),SUMIFS(PARÂMETROS!$C$8:$C$33,PARÂMETROS!$G$8:$G$33,F111)),0)</f>
        <v>0.429925058687485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115587.07</v>
      </c>
      <c r="E112" s="21" t="n">
        <f aca="false">IFERROR(D112/IF(B112="Clientes",SUMIFS(PARÂMETROS!$B$8:$B$33,PARÂMETROS!$G$8:$G$33,F112),SUMIFS(PARÂMETROS!$C$8:$C$33,PARÂMETROS!$G$8:$G$33,F112)),0)</f>
        <v>106.043183486239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</f>
        <v>31237726.937</v>
      </c>
      <c r="E113" s="30"/>
      <c r="F113" s="28"/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5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134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135</v>
      </c>
    </row>
    <row r="4" customFormat="false" ht="26.25" hidden="false" customHeight="true" outlineLevel="0" collapsed="false">
      <c r="A4" s="6" t="s">
        <v>24</v>
      </c>
      <c r="B4" s="6" t="s">
        <v>136</v>
      </c>
      <c r="C4" s="6" t="s">
        <v>137</v>
      </c>
      <c r="D4" s="6" t="s">
        <v>138</v>
      </c>
      <c r="E4" s="6" t="s">
        <v>139</v>
      </c>
      <c r="F4" s="6" t="s">
        <v>140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141</v>
      </c>
      <c r="C5" s="34" t="s">
        <v>142</v>
      </c>
      <c r="D5" s="35" t="n">
        <v>2</v>
      </c>
      <c r="E5" s="36" t="n">
        <v>9.31</v>
      </c>
      <c r="F5" s="37" t="n">
        <f aca="false">IFERROR(D5*E5,0)</f>
        <v>18.62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141</v>
      </c>
      <c r="C6" s="16" t="s">
        <v>143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141</v>
      </c>
      <c r="C7" s="34" t="s">
        <v>144</v>
      </c>
      <c r="D7" s="35" t="n">
        <v>1</v>
      </c>
      <c r="E7" s="36" t="n">
        <v>1654.6</v>
      </c>
      <c r="F7" s="37" t="n">
        <f aca="false">IFERROR(D7*E7,0)</f>
        <v>1654.6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141</v>
      </c>
      <c r="C8" s="16" t="s">
        <v>145</v>
      </c>
      <c r="D8" s="38" t="n">
        <v>1</v>
      </c>
      <c r="E8" s="39" t="n">
        <v>4.85</v>
      </c>
      <c r="F8" s="22" t="n">
        <f aca="false">IFERROR(D8*E8,0)</f>
        <v>4.85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141</v>
      </c>
      <c r="C9" s="34" t="s">
        <v>146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141</v>
      </c>
      <c r="C10" s="16" t="s">
        <v>147</v>
      </c>
      <c r="D10" s="38" t="n">
        <v>9</v>
      </c>
      <c r="E10" s="39" t="n">
        <v>34755.88</v>
      </c>
      <c r="F10" s="22" t="n">
        <f aca="false">IFERROR(D10*E10,0)</f>
        <v>312802.92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148</v>
      </c>
      <c r="C11" s="34" t="s">
        <v>149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148</v>
      </c>
      <c r="C12" s="16" t="s">
        <v>150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148</v>
      </c>
      <c r="C13" s="34" t="s">
        <v>151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141</v>
      </c>
      <c r="C14" s="16" t="s">
        <v>152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141</v>
      </c>
      <c r="C15" s="34" t="s">
        <v>153</v>
      </c>
      <c r="D15" s="35" t="n">
        <v>9</v>
      </c>
      <c r="E15" s="36" t="n">
        <v>9.92</v>
      </c>
      <c r="F15" s="37" t="n">
        <f aca="false">IFERROR(D15*E15,0)</f>
        <v>89.28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141</v>
      </c>
      <c r="C16" s="16" t="s">
        <v>154</v>
      </c>
      <c r="D16" s="38" t="n">
        <v>9</v>
      </c>
      <c r="E16" s="39" t="n">
        <v>2.05</v>
      </c>
      <c r="F16" s="22" t="n">
        <f aca="false">IFERROR(D16*E16,0)</f>
        <v>18.45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141</v>
      </c>
      <c r="C17" s="34" t="s">
        <v>155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141</v>
      </c>
      <c r="C18" s="16" t="s">
        <v>156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141</v>
      </c>
      <c r="C19" s="34" t="s">
        <v>157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141</v>
      </c>
      <c r="C20" s="16" t="s">
        <v>158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141</v>
      </c>
      <c r="C21" s="34" t="s">
        <v>159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141</v>
      </c>
      <c r="C22" s="16" t="s">
        <v>160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141</v>
      </c>
      <c r="C23" s="34" t="s">
        <v>161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141</v>
      </c>
      <c r="C24" s="16" t="s">
        <v>162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141</v>
      </c>
      <c r="C25" s="34" t="s">
        <v>163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141</v>
      </c>
      <c r="C26" s="16" t="s">
        <v>164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141</v>
      </c>
      <c r="C27" s="34" t="s">
        <v>165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141</v>
      </c>
      <c r="C28" s="16" t="s">
        <v>166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141</v>
      </c>
      <c r="C29" s="34" t="s">
        <v>167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141</v>
      </c>
      <c r="C30" s="16" t="s">
        <v>168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141</v>
      </c>
      <c r="C31" s="34" t="s">
        <v>142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141</v>
      </c>
      <c r="C32" s="16" t="s">
        <v>143</v>
      </c>
      <c r="D32" s="38" t="n">
        <v>1</v>
      </c>
      <c r="E32" s="39" t="n">
        <v>92</v>
      </c>
      <c r="F32" s="22" t="n">
        <f aca="false">IFERROR(D32*E32,0)</f>
        <v>92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141</v>
      </c>
      <c r="C33" s="34" t="s">
        <v>144</v>
      </c>
      <c r="D33" s="35" t="n">
        <v>1</v>
      </c>
      <c r="E33" s="36" t="n">
        <v>1654.6</v>
      </c>
      <c r="F33" s="37" t="n">
        <f aca="false">IFERROR(D33*E33,0)</f>
        <v>1654.6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141</v>
      </c>
      <c r="C34" s="16" t="s">
        <v>145</v>
      </c>
      <c r="D34" s="38" t="n">
        <v>1</v>
      </c>
      <c r="E34" s="39" t="n">
        <v>4.85</v>
      </c>
      <c r="F34" s="22" t="n">
        <f aca="false">IFERROR(D34*E34,0)</f>
        <v>4.85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141</v>
      </c>
      <c r="C35" s="34" t="s">
        <v>146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141</v>
      </c>
      <c r="C36" s="16" t="s">
        <v>147</v>
      </c>
      <c r="D36" s="38" t="n">
        <v>3</v>
      </c>
      <c r="E36" s="39" t="n">
        <v>8929.7</v>
      </c>
      <c r="F36" s="22" t="n">
        <f aca="false">IFERROR(D36*E36,0)</f>
        <v>26789.1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148</v>
      </c>
      <c r="C37" s="34" t="s">
        <v>149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148</v>
      </c>
      <c r="C38" s="16" t="s">
        <v>150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148</v>
      </c>
      <c r="C39" s="34" t="s">
        <v>151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141</v>
      </c>
      <c r="C40" s="16" t="s">
        <v>152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141</v>
      </c>
      <c r="C41" s="34" t="s">
        <v>153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141</v>
      </c>
      <c r="C42" s="16" t="s">
        <v>154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141</v>
      </c>
      <c r="C43" s="34" t="s">
        <v>142</v>
      </c>
      <c r="D43" s="35" t="n">
        <v>2</v>
      </c>
      <c r="E43" s="36" t="n">
        <v>60.09</v>
      </c>
      <c r="F43" s="37" t="n">
        <f aca="false">IFERROR(D43*E43,0)</f>
        <v>120.18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141</v>
      </c>
      <c r="C44" s="16" t="s">
        <v>143</v>
      </c>
      <c r="D44" s="38" t="n">
        <v>18</v>
      </c>
      <c r="E44" s="39" t="n">
        <v>539.14</v>
      </c>
      <c r="F44" s="22" t="n">
        <f aca="false">IFERROR(D44*E44,0)</f>
        <v>9704.52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141</v>
      </c>
      <c r="C45" s="34" t="s">
        <v>144</v>
      </c>
      <c r="D45" s="35" t="n">
        <v>1</v>
      </c>
      <c r="E45" s="36" t="n">
        <v>1654.6</v>
      </c>
      <c r="F45" s="37" t="n">
        <f aca="false">IFERROR(D45*E45,0)</f>
        <v>1654.6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141</v>
      </c>
      <c r="C46" s="16" t="s">
        <v>145</v>
      </c>
      <c r="D46" s="38" t="n">
        <v>1</v>
      </c>
      <c r="E46" s="39" t="n">
        <v>4.85</v>
      </c>
      <c r="F46" s="22" t="n">
        <f aca="false">IFERROR(D46*E46,0)</f>
        <v>4.85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141</v>
      </c>
      <c r="C47" s="34" t="s">
        <v>146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141</v>
      </c>
      <c r="C48" s="16" t="s">
        <v>147</v>
      </c>
      <c r="D48" s="38" t="n">
        <v>13</v>
      </c>
      <c r="E48" s="39" t="n">
        <v>38898.86</v>
      </c>
      <c r="F48" s="22" t="n">
        <f aca="false">IFERROR(D48*E48,0)</f>
        <v>505685.18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148</v>
      </c>
      <c r="C49" s="34" t="s">
        <v>149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148</v>
      </c>
      <c r="C50" s="16" t="s">
        <v>150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148</v>
      </c>
      <c r="C51" s="34" t="s">
        <v>169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141</v>
      </c>
      <c r="C52" s="16" t="s">
        <v>152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141</v>
      </c>
      <c r="C53" s="34" t="s">
        <v>170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141</v>
      </c>
      <c r="C54" s="16" t="s">
        <v>171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141</v>
      </c>
      <c r="C55" s="34" t="s">
        <v>153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141</v>
      </c>
      <c r="C56" s="16" t="s">
        <v>154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148</v>
      </c>
      <c r="C57" s="34" t="s">
        <v>172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148</v>
      </c>
      <c r="C58" s="16" t="s">
        <v>173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141</v>
      </c>
      <c r="C59" s="34" t="s">
        <v>174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141</v>
      </c>
      <c r="C60" s="16" t="s">
        <v>147</v>
      </c>
      <c r="D60" s="38" t="n">
        <v>11</v>
      </c>
      <c r="E60" s="39" t="n">
        <v>113007.3</v>
      </c>
      <c r="F60" s="22" t="n">
        <f aca="false">IFERROR(D60*E60,0)</f>
        <v>1243080.3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141</v>
      </c>
      <c r="C61" s="34" t="s">
        <v>175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141</v>
      </c>
      <c r="C62" s="16" t="s">
        <v>176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141</v>
      </c>
      <c r="C63" s="34" t="s">
        <v>177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141</v>
      </c>
      <c r="C64" s="16" t="s">
        <v>178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148</v>
      </c>
      <c r="C65" s="34" t="s">
        <v>151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148</v>
      </c>
      <c r="C66" s="16" t="s">
        <v>179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148</v>
      </c>
      <c r="C67" s="34" t="s">
        <v>180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148</v>
      </c>
      <c r="C68" s="16" t="s">
        <v>181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148</v>
      </c>
      <c r="C69" s="34" t="s">
        <v>182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141</v>
      </c>
      <c r="C70" s="16" t="s">
        <v>153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141</v>
      </c>
      <c r="C71" s="34" t="s">
        <v>154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148</v>
      </c>
      <c r="C72" s="16" t="s">
        <v>183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141</v>
      </c>
      <c r="C73" s="34" t="s">
        <v>184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141</v>
      </c>
      <c r="C74" s="16" t="s">
        <v>185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141</v>
      </c>
      <c r="C75" s="34" t="s">
        <v>186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141</v>
      </c>
      <c r="C76" s="16" t="s">
        <v>187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141</v>
      </c>
      <c r="C77" s="34" t="s">
        <v>142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141</v>
      </c>
      <c r="C78" s="16" t="s">
        <v>143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141</v>
      </c>
      <c r="C79" s="34" t="s">
        <v>144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141</v>
      </c>
      <c r="C80" s="16" t="s">
        <v>145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141</v>
      </c>
      <c r="C81" s="34" t="s">
        <v>146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141</v>
      </c>
      <c r="C82" s="16" t="s">
        <v>147</v>
      </c>
      <c r="D82" s="38" t="n">
        <v>5</v>
      </c>
      <c r="E82" s="39" t="n">
        <v>25624.63</v>
      </c>
      <c r="F82" s="22" t="n">
        <f aca="false">IFERROR(D82*E82,0)</f>
        <v>128123.15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148</v>
      </c>
      <c r="C83" s="34" t="s">
        <v>188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141</v>
      </c>
      <c r="C84" s="16" t="s">
        <v>152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141</v>
      </c>
      <c r="C85" s="34" t="s">
        <v>189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141</v>
      </c>
      <c r="C86" s="16" t="s">
        <v>153</v>
      </c>
      <c r="D86" s="38" t="n">
        <v>4</v>
      </c>
      <c r="E86" s="39" t="n">
        <v>9.92</v>
      </c>
      <c r="F86" s="22" t="n">
        <f aca="false">IFERROR(D86*E86,0)</f>
        <v>39.68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141</v>
      </c>
      <c r="C87" s="34" t="s">
        <v>154</v>
      </c>
      <c r="D87" s="35" t="n">
        <v>4</v>
      </c>
      <c r="E87" s="36" t="n">
        <v>2.05</v>
      </c>
      <c r="F87" s="37" t="n">
        <f aca="false">IFERROR(D87*E87,0)</f>
        <v>8.2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141</v>
      </c>
      <c r="C88" s="16" t="s">
        <v>142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141</v>
      </c>
      <c r="C89" s="34" t="s">
        <v>143</v>
      </c>
      <c r="D89" s="35" t="n">
        <v>3</v>
      </c>
      <c r="E89" s="36" t="n">
        <v>51.3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141</v>
      </c>
      <c r="C90" s="16" t="s">
        <v>144</v>
      </c>
      <c r="D90" s="38" t="n">
        <v>1</v>
      </c>
      <c r="E90" s="39" t="n">
        <v>1654.6</v>
      </c>
      <c r="F90" s="22" t="n">
        <f aca="false">IFERROR(D90*E90,0)</f>
        <v>1654.6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141</v>
      </c>
      <c r="C91" s="34" t="s">
        <v>145</v>
      </c>
      <c r="D91" s="35" t="n">
        <v>1</v>
      </c>
      <c r="E91" s="36" t="n">
        <v>4.85</v>
      </c>
      <c r="F91" s="37" t="n">
        <f aca="false">IFERROR(D91*E91,0)</f>
        <v>4.85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141</v>
      </c>
      <c r="C92" s="16" t="s">
        <v>146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141</v>
      </c>
      <c r="C93" s="34" t="s">
        <v>147</v>
      </c>
      <c r="D93" s="35" t="n">
        <v>5</v>
      </c>
      <c r="E93" s="36" t="n">
        <v>14720.9</v>
      </c>
      <c r="F93" s="37" t="n">
        <f aca="false">IFERROR(D93*E93,0)</f>
        <v>73604.5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148</v>
      </c>
      <c r="C94" s="16" t="s">
        <v>190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148</v>
      </c>
      <c r="C95" s="34" t="s">
        <v>149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148</v>
      </c>
      <c r="C96" s="16" t="s">
        <v>150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148</v>
      </c>
      <c r="C97" s="34" t="s">
        <v>169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141</v>
      </c>
      <c r="C98" s="16" t="s">
        <v>152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141</v>
      </c>
      <c r="C99" s="34" t="s">
        <v>153</v>
      </c>
      <c r="D99" s="35" t="n">
        <v>4</v>
      </c>
      <c r="E99" s="36" t="n">
        <v>9.92</v>
      </c>
      <c r="F99" s="37" t="n">
        <f aca="false">IFERROR(D99*E99,0)</f>
        <v>39.68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141</v>
      </c>
      <c r="C100" s="16" t="s">
        <v>154</v>
      </c>
      <c r="D100" s="38" t="n">
        <v>4</v>
      </c>
      <c r="E100" s="39" t="n">
        <v>2.05</v>
      </c>
      <c r="F100" s="22" t="n">
        <f aca="false">IFERROR(D100*E100,0)</f>
        <v>8.2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148</v>
      </c>
      <c r="C101" s="34" t="s">
        <v>191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141</v>
      </c>
      <c r="C102" s="16" t="s">
        <v>142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141</v>
      </c>
      <c r="C103" s="34" t="s">
        <v>143</v>
      </c>
      <c r="D103" s="35" t="n">
        <v>3</v>
      </c>
      <c r="E103" s="36" t="n">
        <v>37.43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141</v>
      </c>
      <c r="C104" s="16" t="s">
        <v>144</v>
      </c>
      <c r="D104" s="38" t="n">
        <v>1</v>
      </c>
      <c r="E104" s="39" t="n">
        <v>1654.6</v>
      </c>
      <c r="F104" s="22" t="n">
        <f aca="false">IFERROR(D104*E104,0)</f>
        <v>1654.6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141</v>
      </c>
      <c r="C105" s="34" t="s">
        <v>145</v>
      </c>
      <c r="D105" s="35" t="n">
        <v>1</v>
      </c>
      <c r="E105" s="36" t="n">
        <v>4.85</v>
      </c>
      <c r="F105" s="37" t="n">
        <f aca="false">IFERROR(D105*E105,0)</f>
        <v>4.85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141</v>
      </c>
      <c r="C106" s="16" t="s">
        <v>146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141</v>
      </c>
      <c r="C107" s="34" t="s">
        <v>147</v>
      </c>
      <c r="D107" s="35" t="n">
        <v>1</v>
      </c>
      <c r="E107" s="36" t="n">
        <v>18000</v>
      </c>
      <c r="F107" s="37" t="n">
        <f aca="false">IFERROR(D107*E107,0)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141</v>
      </c>
      <c r="C108" s="16" t="s">
        <v>153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141</v>
      </c>
      <c r="C109" s="34" t="s">
        <v>154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141</v>
      </c>
      <c r="C110" s="16" t="s">
        <v>142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141</v>
      </c>
      <c r="C111" s="34" t="s">
        <v>143</v>
      </c>
      <c r="D111" s="35" t="n">
        <v>3</v>
      </c>
      <c r="E111" s="36" t="n">
        <v>75.54</v>
      </c>
      <c r="F111" s="37" t="n">
        <f aca="false">IFERROR(D111*E111,0)</f>
        <v>226.62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141</v>
      </c>
      <c r="C112" s="16" t="s">
        <v>144</v>
      </c>
      <c r="D112" s="38" t="n">
        <v>1</v>
      </c>
      <c r="E112" s="39" t="n">
        <v>1654.6</v>
      </c>
      <c r="F112" s="22" t="n">
        <f aca="false">IFERROR(D112*E112,0)</f>
        <v>1654.6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141</v>
      </c>
      <c r="C113" s="34" t="s">
        <v>145</v>
      </c>
      <c r="D113" s="35" t="n">
        <v>1</v>
      </c>
      <c r="E113" s="36" t="n">
        <v>4.85</v>
      </c>
      <c r="F113" s="37" t="n">
        <f aca="false">IFERROR(D113*E113,0)</f>
        <v>4.85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141</v>
      </c>
      <c r="C114" s="16" t="s">
        <v>146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141</v>
      </c>
      <c r="C115" s="34" t="s">
        <v>147</v>
      </c>
      <c r="D115" s="35" t="n">
        <v>7</v>
      </c>
      <c r="E115" s="36" t="n">
        <v>43775.11</v>
      </c>
      <c r="F115" s="37" t="n">
        <f aca="false">IFERROR(D115*E115,0)</f>
        <v>306425.77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148</v>
      </c>
      <c r="C116" s="16" t="s">
        <v>151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148</v>
      </c>
      <c r="C117" s="34" t="s">
        <v>151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148</v>
      </c>
      <c r="C118" s="16" t="s">
        <v>151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148</v>
      </c>
      <c r="C119" s="34" t="s">
        <v>192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148</v>
      </c>
      <c r="C120" s="16" t="s">
        <v>149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148</v>
      </c>
      <c r="C121" s="34" t="s">
        <v>150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141</v>
      </c>
      <c r="C122" s="16" t="s">
        <v>152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141</v>
      </c>
      <c r="C123" s="34" t="s">
        <v>189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141</v>
      </c>
      <c r="C124" s="16" t="s">
        <v>153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141</v>
      </c>
      <c r="C125" s="34" t="s">
        <v>154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141</v>
      </c>
      <c r="C126" s="16" t="s">
        <v>142</v>
      </c>
      <c r="D126" s="38" t="n">
        <v>1</v>
      </c>
      <c r="E126" s="39" t="n">
        <v>6.77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141</v>
      </c>
      <c r="C127" s="34" t="s">
        <v>143</v>
      </c>
      <c r="D127" s="35" t="n">
        <v>6</v>
      </c>
      <c r="E127" s="36" t="n">
        <v>78.93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141</v>
      </c>
      <c r="C128" s="16" t="s">
        <v>144</v>
      </c>
      <c r="D128" s="38" t="n">
        <v>1</v>
      </c>
      <c r="E128" s="39" t="n">
        <v>1654.6</v>
      </c>
      <c r="F128" s="22" t="n">
        <f aca="false">IFERROR(D128*E128,0)</f>
        <v>1654.6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141</v>
      </c>
      <c r="C129" s="34" t="s">
        <v>145</v>
      </c>
      <c r="D129" s="35" t="n">
        <v>1</v>
      </c>
      <c r="E129" s="36" t="n">
        <v>4.85</v>
      </c>
      <c r="F129" s="37" t="n">
        <f aca="false">IFERROR(D129*E129,0)</f>
        <v>4.85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141</v>
      </c>
      <c r="C130" s="16" t="s">
        <v>146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141</v>
      </c>
      <c r="C131" s="34" t="s">
        <v>147</v>
      </c>
      <c r="D131" s="35" t="n">
        <v>4</v>
      </c>
      <c r="E131" s="36" t="n">
        <v>41433.6</v>
      </c>
      <c r="F131" s="37" t="n">
        <f aca="false">IFERROR(D131*E131,0)</f>
        <v>165734.4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148</v>
      </c>
      <c r="C132" s="16" t="s">
        <v>193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148</v>
      </c>
      <c r="C133" s="34" t="s">
        <v>149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148</v>
      </c>
      <c r="C134" s="16" t="s">
        <v>150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141</v>
      </c>
      <c r="C135" s="34" t="s">
        <v>152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141</v>
      </c>
      <c r="C136" s="16" t="s">
        <v>153</v>
      </c>
      <c r="D136" s="38" t="n">
        <v>4</v>
      </c>
      <c r="E136" s="39" t="n">
        <v>9.92</v>
      </c>
      <c r="F136" s="22" t="n">
        <f aca="false">IFERROR(D136*E136,0)</f>
        <v>39.68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141</v>
      </c>
      <c r="C137" s="34" t="s">
        <v>154</v>
      </c>
      <c r="D137" s="35" t="n">
        <v>4</v>
      </c>
      <c r="E137" s="36" t="n">
        <v>2.05</v>
      </c>
      <c r="F137" s="37" t="n">
        <f aca="false">IFERROR(D137*E137,0)</f>
        <v>8.2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141</v>
      </c>
      <c r="C138" s="16" t="s">
        <v>142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141</v>
      </c>
      <c r="C139" s="34" t="s">
        <v>143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148</v>
      </c>
      <c r="C140" s="16" t="s">
        <v>172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141</v>
      </c>
      <c r="C141" s="34" t="s">
        <v>144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141</v>
      </c>
      <c r="C142" s="16" t="s">
        <v>145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141</v>
      </c>
      <c r="C143" s="34" t="s">
        <v>146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141</v>
      </c>
      <c r="C144" s="16" t="s">
        <v>147</v>
      </c>
      <c r="D144" s="38" t="n">
        <v>12</v>
      </c>
      <c r="E144" s="39" t="n">
        <v>82141.74</v>
      </c>
      <c r="F144" s="22" t="n">
        <f aca="false">IFERROR(D144*E144,0)</f>
        <v>985700.88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148</v>
      </c>
      <c r="C145" s="34" t="s">
        <v>149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148</v>
      </c>
      <c r="C146" s="16" t="s">
        <v>150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148</v>
      </c>
      <c r="C147" s="34" t="s">
        <v>188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148</v>
      </c>
      <c r="C148" s="16" t="s">
        <v>169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141</v>
      </c>
      <c r="C149" s="34" t="s">
        <v>152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148</v>
      </c>
      <c r="C150" s="16" t="s">
        <v>194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141</v>
      </c>
      <c r="C151" s="34" t="s">
        <v>189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141</v>
      </c>
      <c r="C152" s="16" t="s">
        <v>153</v>
      </c>
      <c r="D152" s="38" t="n">
        <v>12</v>
      </c>
      <c r="E152" s="39" t="n">
        <v>9.92</v>
      </c>
      <c r="F152" s="22" t="n">
        <f aca="false">IFERROR(D152*E152,0)</f>
        <v>119.04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141</v>
      </c>
      <c r="C153" s="34" t="s">
        <v>154</v>
      </c>
      <c r="D153" s="35" t="n">
        <v>12</v>
      </c>
      <c r="E153" s="36" t="n">
        <v>2.05</v>
      </c>
      <c r="F153" s="37" t="n">
        <f aca="false">IFERROR(D153*E153,0)</f>
        <v>24.6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141</v>
      </c>
      <c r="C154" s="16" t="s">
        <v>142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141</v>
      </c>
      <c r="C155" s="34" t="s">
        <v>143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141</v>
      </c>
      <c r="C156" s="16" t="s">
        <v>144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141</v>
      </c>
      <c r="C157" s="34" t="s">
        <v>145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141</v>
      </c>
      <c r="C158" s="16" t="s">
        <v>146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141</v>
      </c>
      <c r="C159" s="34" t="s">
        <v>147</v>
      </c>
      <c r="D159" s="35" t="n">
        <v>16</v>
      </c>
      <c r="E159" s="36" t="n">
        <v>80081.35</v>
      </c>
      <c r="F159" s="37" t="n">
        <f aca="false">IFERROR(D159*E159,0)</f>
        <v>1281301.6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148</v>
      </c>
      <c r="C160" s="16" t="s">
        <v>149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148</v>
      </c>
      <c r="C161" s="34" t="s">
        <v>150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148</v>
      </c>
      <c r="C162" s="16" t="s">
        <v>188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148</v>
      </c>
      <c r="C163" s="34" t="s">
        <v>169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148</v>
      </c>
      <c r="C164" s="16" t="s">
        <v>151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141</v>
      </c>
      <c r="C165" s="34" t="s">
        <v>152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141</v>
      </c>
      <c r="C166" s="16" t="s">
        <v>189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141</v>
      </c>
      <c r="C167" s="34" t="s">
        <v>153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141</v>
      </c>
      <c r="C168" s="16" t="s">
        <v>154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141</v>
      </c>
      <c r="C169" s="34" t="s">
        <v>142</v>
      </c>
      <c r="D169" s="35" t="n">
        <v>10</v>
      </c>
      <c r="E169" s="36" t="n">
        <v>71.42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141</v>
      </c>
      <c r="C170" s="16" t="s">
        <v>143</v>
      </c>
      <c r="D170" s="38" t="n">
        <v>11</v>
      </c>
      <c r="E170" s="39" t="n">
        <v>150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141</v>
      </c>
      <c r="C171" s="34" t="s">
        <v>144</v>
      </c>
      <c r="D171" s="35" t="n">
        <v>1</v>
      </c>
      <c r="E171" s="36" t="n">
        <v>1654.6</v>
      </c>
      <c r="F171" s="37" t="n">
        <f aca="false">IFERROR(D171*E171,0)</f>
        <v>1654.6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141</v>
      </c>
      <c r="C172" s="16" t="s">
        <v>145</v>
      </c>
      <c r="D172" s="38" t="n">
        <v>1</v>
      </c>
      <c r="E172" s="39" t="n">
        <v>4.85</v>
      </c>
      <c r="F172" s="22" t="n">
        <f aca="false">IFERROR(D172*E172,0)</f>
        <v>4.85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141</v>
      </c>
      <c r="C173" s="34" t="s">
        <v>146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141</v>
      </c>
      <c r="C174" s="16" t="s">
        <v>147</v>
      </c>
      <c r="D174" s="38" t="n">
        <v>8</v>
      </c>
      <c r="E174" s="39" t="n">
        <v>30137.1</v>
      </c>
      <c r="F174" s="22" t="n">
        <f aca="false">IFERROR(D174*E174,0)</f>
        <v>241096.8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141</v>
      </c>
      <c r="C175" s="34" t="s">
        <v>195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148</v>
      </c>
      <c r="C176" s="16" t="s">
        <v>149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148</v>
      </c>
      <c r="C177" s="34" t="s">
        <v>150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141</v>
      </c>
      <c r="C178" s="16" t="s">
        <v>152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141</v>
      </c>
      <c r="C179" s="34" t="s">
        <v>189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141</v>
      </c>
      <c r="C180" s="16" t="s">
        <v>153</v>
      </c>
      <c r="D180" s="38" t="n">
        <v>7</v>
      </c>
      <c r="E180" s="39" t="n">
        <v>9.92</v>
      </c>
      <c r="F180" s="22" t="n">
        <f aca="false">IFERROR(D180*E180,0)</f>
        <v>69.44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141</v>
      </c>
      <c r="C181" s="34" t="s">
        <v>154</v>
      </c>
      <c r="D181" s="35" t="n">
        <v>7</v>
      </c>
      <c r="E181" s="36" t="n">
        <v>2.05</v>
      </c>
      <c r="F181" s="37" t="n">
        <f aca="false">IFERROR(D181*E181,0)</f>
        <v>14.35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141</v>
      </c>
      <c r="C182" s="16" t="s">
        <v>142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141</v>
      </c>
      <c r="C183" s="34" t="s">
        <v>143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141</v>
      </c>
      <c r="C184" s="16" t="s">
        <v>144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141</v>
      </c>
      <c r="C185" s="34" t="s">
        <v>145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141</v>
      </c>
      <c r="C186" s="16" t="s">
        <v>146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141</v>
      </c>
      <c r="C187" s="34" t="s">
        <v>147</v>
      </c>
      <c r="D187" s="35" t="n">
        <v>15</v>
      </c>
      <c r="E187" s="36" t="n">
        <v>80733.28</v>
      </c>
      <c r="F187" s="37" t="n">
        <f aca="false">IFERROR(D187*E187,0)</f>
        <v>1210999.2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148</v>
      </c>
      <c r="C188" s="16" t="s">
        <v>194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148</v>
      </c>
      <c r="C189" s="34" t="s">
        <v>196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148</v>
      </c>
      <c r="C190" s="16" t="s">
        <v>149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148</v>
      </c>
      <c r="C191" s="34" t="s">
        <v>150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148</v>
      </c>
      <c r="C192" s="16" t="s">
        <v>197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148</v>
      </c>
      <c r="C193" s="34" t="s">
        <v>188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141</v>
      </c>
      <c r="C194" s="16" t="s">
        <v>152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141</v>
      </c>
      <c r="C195" s="34" t="s">
        <v>189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141</v>
      </c>
      <c r="C196" s="16" t="s">
        <v>153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141</v>
      </c>
      <c r="C197" s="34" t="s">
        <v>154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141</v>
      </c>
      <c r="C198" s="16" t="s">
        <v>142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141</v>
      </c>
      <c r="C199" s="34" t="s">
        <v>143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141</v>
      </c>
      <c r="C200" s="16" t="s">
        <v>146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141</v>
      </c>
      <c r="C201" s="34" t="s">
        <v>147</v>
      </c>
      <c r="D201" s="35" t="n">
        <v>13</v>
      </c>
      <c r="E201" s="36" t="n">
        <v>105508.61</v>
      </c>
      <c r="F201" s="37" t="n">
        <f aca="false">IFERROR(D201*E201,0)</f>
        <v>1371611.93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148</v>
      </c>
      <c r="C202" s="16" t="s">
        <v>198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148</v>
      </c>
      <c r="C203" s="34" t="s">
        <v>197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141</v>
      </c>
      <c r="C204" s="16" t="s">
        <v>152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148</v>
      </c>
      <c r="C205" s="34" t="s">
        <v>194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141</v>
      </c>
      <c r="C206" s="16" t="s">
        <v>153</v>
      </c>
      <c r="D206" s="38" t="n">
        <v>12</v>
      </c>
      <c r="E206" s="39" t="n">
        <v>9.92</v>
      </c>
      <c r="F206" s="22" t="n">
        <f aca="false">IFERROR(D206*E206,0)</f>
        <v>119.04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141</v>
      </c>
      <c r="C207" s="34" t="s">
        <v>154</v>
      </c>
      <c r="D207" s="35" t="n">
        <v>12</v>
      </c>
      <c r="E207" s="36" t="n">
        <v>2.05</v>
      </c>
      <c r="F207" s="37" t="n">
        <f aca="false">IFERROR(D207*E207,0)</f>
        <v>24.6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141</v>
      </c>
      <c r="C208" s="16" t="s">
        <v>142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141</v>
      </c>
      <c r="C209" s="34" t="s">
        <v>143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141</v>
      </c>
      <c r="C210" s="16" t="s">
        <v>144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141</v>
      </c>
      <c r="C211" s="34" t="s">
        <v>145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141</v>
      </c>
      <c r="C212" s="16" t="s">
        <v>146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141</v>
      </c>
      <c r="C213" s="34" t="s">
        <v>147</v>
      </c>
      <c r="D213" s="35" t="n">
        <v>5</v>
      </c>
      <c r="E213" s="36" t="n">
        <v>58179.03</v>
      </c>
      <c r="F213" s="37" t="n">
        <f aca="false">IFERROR(D213*E213,0)</f>
        <v>290895.15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141</v>
      </c>
      <c r="C214" s="16" t="s">
        <v>152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148</v>
      </c>
      <c r="C215" s="34" t="s">
        <v>194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141</v>
      </c>
      <c r="C216" s="16" t="s">
        <v>153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141</v>
      </c>
      <c r="C217" s="34" t="s">
        <v>154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141</v>
      </c>
      <c r="C218" s="16" t="s">
        <v>142</v>
      </c>
      <c r="D218" s="38" t="n">
        <v>2</v>
      </c>
      <c r="E218" s="39" t="n">
        <v>60.09</v>
      </c>
      <c r="F218" s="22" t="n">
        <f aca="false">IFERROR(D218*E218,0)</f>
        <v>120.18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141</v>
      </c>
      <c r="C219" s="34" t="s">
        <v>143</v>
      </c>
      <c r="D219" s="35" t="n">
        <v>18</v>
      </c>
      <c r="E219" s="36" t="n">
        <v>539.14</v>
      </c>
      <c r="F219" s="37" t="n">
        <f aca="false">IFERROR(D219*E219,0)</f>
        <v>9704.52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141</v>
      </c>
      <c r="C220" s="16" t="s">
        <v>144</v>
      </c>
      <c r="D220" s="38" t="n">
        <v>1</v>
      </c>
      <c r="E220" s="39" t="n">
        <v>1654.6</v>
      </c>
      <c r="F220" s="22" t="n">
        <f aca="false">IFERROR(D220*E220,0)</f>
        <v>1654.6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141</v>
      </c>
      <c r="C221" s="34" t="s">
        <v>145</v>
      </c>
      <c r="D221" s="35" t="n">
        <v>1</v>
      </c>
      <c r="E221" s="36" t="n">
        <v>4.85</v>
      </c>
      <c r="F221" s="37" t="n">
        <f aca="false">IFERROR(D221*E221,0)</f>
        <v>4.85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141</v>
      </c>
      <c r="C222" s="16" t="s">
        <v>146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141</v>
      </c>
      <c r="C223" s="34" t="s">
        <v>147</v>
      </c>
      <c r="D223" s="35" t="n">
        <v>44</v>
      </c>
      <c r="E223" s="36" t="n">
        <v>150904.43</v>
      </c>
      <c r="F223" s="37" t="n">
        <f aca="false">IFERROR(D223*E223,0)</f>
        <v>6639794.92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141</v>
      </c>
      <c r="C224" s="16" t="s">
        <v>199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148</v>
      </c>
      <c r="C225" s="34" t="s">
        <v>149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148</v>
      </c>
      <c r="C226" s="16" t="s">
        <v>150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148</v>
      </c>
      <c r="C227" s="34" t="s">
        <v>169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141</v>
      </c>
      <c r="C228" s="16" t="s">
        <v>152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141</v>
      </c>
      <c r="C229" s="34" t="s">
        <v>170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141</v>
      </c>
      <c r="C230" s="16" t="s">
        <v>171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141</v>
      </c>
      <c r="C231" s="34" t="s">
        <v>153</v>
      </c>
      <c r="D231" s="35" t="n">
        <v>46</v>
      </c>
      <c r="E231" s="36" t="n">
        <v>9.92</v>
      </c>
      <c r="F231" s="37" t="n">
        <f aca="false">IFERROR(D231*E231,0)</f>
        <v>456.32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141</v>
      </c>
      <c r="C232" s="16" t="s">
        <v>154</v>
      </c>
      <c r="D232" s="38" t="n">
        <v>46</v>
      </c>
      <c r="E232" s="39" t="n">
        <v>2.05</v>
      </c>
      <c r="F232" s="22" t="n">
        <f aca="false">IFERROR(D232*E232,0)</f>
        <v>94.3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141</v>
      </c>
      <c r="C233" s="34" t="s">
        <v>146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141</v>
      </c>
      <c r="C234" s="16" t="s">
        <v>147</v>
      </c>
      <c r="D234" s="38" t="n">
        <v>22</v>
      </c>
      <c r="E234" s="39" t="n">
        <v>147262.32</v>
      </c>
      <c r="F234" s="22" t="n">
        <f aca="false">IFERROR(D234*E234,0)</f>
        <v>3239771.04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148</v>
      </c>
      <c r="C235" s="34" t="s">
        <v>198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148</v>
      </c>
      <c r="C236" s="16" t="s">
        <v>197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148</v>
      </c>
      <c r="C237" s="34" t="s">
        <v>169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141</v>
      </c>
      <c r="C238" s="16" t="s">
        <v>152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148</v>
      </c>
      <c r="C239" s="34" t="s">
        <v>194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141</v>
      </c>
      <c r="C240" s="16" t="s">
        <v>153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141</v>
      </c>
      <c r="C241" s="34" t="s">
        <v>154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141</v>
      </c>
      <c r="C242" s="16" t="s">
        <v>142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141</v>
      </c>
      <c r="C243" s="34" t="s">
        <v>143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141</v>
      </c>
      <c r="C244" s="16" t="s">
        <v>200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141</v>
      </c>
      <c r="C245" s="34" t="s">
        <v>144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141</v>
      </c>
      <c r="C246" s="16" t="s">
        <v>145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141</v>
      </c>
      <c r="C247" s="34" t="s">
        <v>146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141</v>
      </c>
      <c r="C248" s="16" t="s">
        <v>147</v>
      </c>
      <c r="D248" s="38" t="n">
        <v>4</v>
      </c>
      <c r="E248" s="39" t="n">
        <v>23068.3</v>
      </c>
      <c r="F248" s="22" t="n">
        <f aca="false">IFERROR(D248*E248,0)</f>
        <v>92273.2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148</v>
      </c>
      <c r="C249" s="34" t="s">
        <v>194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148</v>
      </c>
      <c r="C250" s="16" t="s">
        <v>196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148</v>
      </c>
      <c r="C251" s="34" t="s">
        <v>188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141</v>
      </c>
      <c r="C252" s="16" t="s">
        <v>153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141</v>
      </c>
      <c r="C253" s="34" t="s">
        <v>154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141</v>
      </c>
      <c r="C254" s="16" t="s">
        <v>142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141</v>
      </c>
      <c r="C255" s="34" t="s">
        <v>143</v>
      </c>
      <c r="D255" s="35" t="n">
        <v>3</v>
      </c>
      <c r="E255" s="36" t="n">
        <v>59.24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141</v>
      </c>
      <c r="C256" s="16" t="s">
        <v>144</v>
      </c>
      <c r="D256" s="38" t="n">
        <v>1</v>
      </c>
      <c r="E256" s="39" t="n">
        <v>1654.6</v>
      </c>
      <c r="F256" s="22" t="n">
        <f aca="false">IFERROR(D256*E256,0)</f>
        <v>1654.6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141</v>
      </c>
      <c r="C257" s="34" t="s">
        <v>145</v>
      </c>
      <c r="D257" s="35" t="n">
        <v>1</v>
      </c>
      <c r="E257" s="36" t="n">
        <v>4.85</v>
      </c>
      <c r="F257" s="37" t="n">
        <f aca="false">IFERROR(D257*E257,0)</f>
        <v>4.85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141</v>
      </c>
      <c r="C258" s="16" t="s">
        <v>146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141</v>
      </c>
      <c r="C259" s="34" t="s">
        <v>147</v>
      </c>
      <c r="D259" s="35" t="n">
        <v>6</v>
      </c>
      <c r="E259" s="36" t="n">
        <v>30249.56</v>
      </c>
      <c r="F259" s="37" t="n">
        <f aca="false">IFERROR(D259*E259,0)</f>
        <v>181497.36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148</v>
      </c>
      <c r="C260" s="16" t="s">
        <v>201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148</v>
      </c>
      <c r="C261" s="34" t="s">
        <v>202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141</v>
      </c>
      <c r="C262" s="16" t="s">
        <v>203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148</v>
      </c>
      <c r="C263" s="34" t="s">
        <v>204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141</v>
      </c>
      <c r="C264" s="16" t="s">
        <v>205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141</v>
      </c>
      <c r="C265" s="34" t="s">
        <v>206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141</v>
      </c>
      <c r="C266" s="16" t="s">
        <v>152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141</v>
      </c>
      <c r="C267" s="34" t="s">
        <v>189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141</v>
      </c>
      <c r="C268" s="16" t="s">
        <v>153</v>
      </c>
      <c r="D268" s="38" t="n">
        <v>4</v>
      </c>
      <c r="E268" s="39" t="n">
        <v>9.92</v>
      </c>
      <c r="F268" s="22" t="n">
        <f aca="false">IFERROR(D268*E268,0)</f>
        <v>39.68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141</v>
      </c>
      <c r="C269" s="34" t="s">
        <v>154</v>
      </c>
      <c r="D269" s="35" t="n">
        <v>4</v>
      </c>
      <c r="E269" s="36" t="n">
        <v>2.05</v>
      </c>
      <c r="F269" s="37" t="n">
        <f aca="false">IFERROR(D269*E269,0)</f>
        <v>8.2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141</v>
      </c>
      <c r="C270" s="16" t="s">
        <v>142</v>
      </c>
      <c r="D270" s="38" t="n">
        <v>2</v>
      </c>
      <c r="E270" s="39" t="n">
        <v>60.09</v>
      </c>
      <c r="F270" s="22" t="n">
        <f aca="false">IFERROR(D270*E270,0)</f>
        <v>120.18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141</v>
      </c>
      <c r="C271" s="34" t="s">
        <v>143</v>
      </c>
      <c r="D271" s="35" t="n">
        <v>18</v>
      </c>
      <c r="E271" s="36" t="n">
        <v>539.14</v>
      </c>
      <c r="F271" s="37" t="n">
        <f aca="false">IFERROR(D271*E271,0)</f>
        <v>9704.52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141</v>
      </c>
      <c r="C272" s="16" t="s">
        <v>144</v>
      </c>
      <c r="D272" s="38" t="n">
        <v>1</v>
      </c>
      <c r="E272" s="39" t="n">
        <v>1654.6</v>
      </c>
      <c r="F272" s="22" t="n">
        <f aca="false">IFERROR(D272*E272,0)</f>
        <v>1654.6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141</v>
      </c>
      <c r="C273" s="34" t="s">
        <v>145</v>
      </c>
      <c r="D273" s="35" t="n">
        <v>1</v>
      </c>
      <c r="E273" s="36" t="n">
        <v>4.85</v>
      </c>
      <c r="F273" s="37" t="n">
        <f aca="false">IFERROR(D273*E273,0)</f>
        <v>4.85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141</v>
      </c>
      <c r="C274" s="16" t="s">
        <v>146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141</v>
      </c>
      <c r="C275" s="34" t="s">
        <v>147</v>
      </c>
      <c r="D275" s="35" t="n">
        <v>12</v>
      </c>
      <c r="E275" s="36" t="n">
        <v>38376.56</v>
      </c>
      <c r="F275" s="37" t="n">
        <f aca="false">IFERROR(D275*E275,0)</f>
        <v>460518.72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148</v>
      </c>
      <c r="C276" s="16" t="s">
        <v>149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148</v>
      </c>
      <c r="C277" s="34" t="s">
        <v>150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148</v>
      </c>
      <c r="C278" s="16" t="s">
        <v>169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141</v>
      </c>
      <c r="C279" s="34" t="s">
        <v>152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141</v>
      </c>
      <c r="C280" s="16" t="s">
        <v>170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141</v>
      </c>
      <c r="C281" s="34" t="s">
        <v>171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141</v>
      </c>
      <c r="C282" s="16" t="s">
        <v>153</v>
      </c>
      <c r="D282" s="38" t="n">
        <v>11</v>
      </c>
      <c r="E282" s="39" t="n">
        <v>9.92</v>
      </c>
      <c r="F282" s="22" t="n">
        <f aca="false">IFERROR(D282*E282,0)</f>
        <v>109.12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141</v>
      </c>
      <c r="C283" s="34" t="s">
        <v>154</v>
      </c>
      <c r="D283" s="35" t="n">
        <v>11</v>
      </c>
      <c r="E283" s="36" t="n">
        <v>2.05</v>
      </c>
      <c r="F283" s="37" t="n">
        <f aca="false">IFERROR(D283*E283,0)</f>
        <v>22.55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141</v>
      </c>
      <c r="C284" s="16" t="s">
        <v>142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141</v>
      </c>
      <c r="C285" s="34" t="s">
        <v>143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141</v>
      </c>
      <c r="C286" s="16" t="s">
        <v>144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141</v>
      </c>
      <c r="C287" s="34" t="s">
        <v>145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141</v>
      </c>
      <c r="C288" s="16" t="s">
        <v>146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141</v>
      </c>
      <c r="C289" s="34" t="s">
        <v>147</v>
      </c>
      <c r="D289" s="35" t="n">
        <v>9</v>
      </c>
      <c r="E289" s="36" t="n">
        <v>46380.08</v>
      </c>
      <c r="F289" s="37" t="n">
        <f aca="false">IFERROR(D289*E289,0)</f>
        <v>417420.72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148</v>
      </c>
      <c r="C290" s="16" t="s">
        <v>197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148</v>
      </c>
      <c r="C291" s="34" t="s">
        <v>151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148</v>
      </c>
      <c r="C292" s="16" t="s">
        <v>151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148</v>
      </c>
      <c r="C293" s="34" t="s">
        <v>151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148</v>
      </c>
      <c r="C294" s="16" t="s">
        <v>151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148</v>
      </c>
      <c r="C295" s="34" t="s">
        <v>151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148</v>
      </c>
      <c r="C296" s="16" t="s">
        <v>149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148</v>
      </c>
      <c r="C297" s="34" t="s">
        <v>150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148</v>
      </c>
      <c r="C298" s="16" t="s">
        <v>188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148</v>
      </c>
      <c r="C299" s="34" t="s">
        <v>207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141</v>
      </c>
      <c r="C300" s="16" t="s">
        <v>152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148</v>
      </c>
      <c r="C301" s="34" t="s">
        <v>194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141</v>
      </c>
      <c r="C302" s="16" t="s">
        <v>189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141</v>
      </c>
      <c r="C303" s="34" t="s">
        <v>153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141</v>
      </c>
      <c r="C304" s="16" t="s">
        <v>154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141</v>
      </c>
      <c r="C305" s="34" t="s">
        <v>142</v>
      </c>
      <c r="D305" s="35" t="n">
        <v>9</v>
      </c>
      <c r="E305" s="36" t="n">
        <v>117.59</v>
      </c>
      <c r="F305" s="37" t="n">
        <f aca="false">IFERROR(D305*E305,0)</f>
        <v>1058.31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141</v>
      </c>
      <c r="C306" s="16" t="s">
        <v>143</v>
      </c>
      <c r="D306" s="38" t="n">
        <v>18</v>
      </c>
      <c r="E306" s="39" t="n">
        <v>539.14</v>
      </c>
      <c r="F306" s="22" t="n">
        <f aca="false">IFERROR(D306*E306,0)</f>
        <v>9704.52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141</v>
      </c>
      <c r="C307" s="34" t="s">
        <v>144</v>
      </c>
      <c r="D307" s="35" t="n">
        <v>1</v>
      </c>
      <c r="E307" s="36" t="n">
        <v>1654.6</v>
      </c>
      <c r="F307" s="37" t="n">
        <f aca="false">IFERROR(D307*E307,0)</f>
        <v>1654.6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141</v>
      </c>
      <c r="C308" s="16" t="s">
        <v>145</v>
      </c>
      <c r="D308" s="38" t="n">
        <v>1</v>
      </c>
      <c r="E308" s="39" t="n">
        <v>4.85</v>
      </c>
      <c r="F308" s="22" t="n">
        <f aca="false">IFERROR(D308*E308,0)</f>
        <v>4.85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141</v>
      </c>
      <c r="C309" s="34" t="s">
        <v>146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141</v>
      </c>
      <c r="C310" s="16" t="s">
        <v>147</v>
      </c>
      <c r="D310" s="38" t="n">
        <v>8</v>
      </c>
      <c r="E310" s="39" t="n">
        <v>26304.95</v>
      </c>
      <c r="F310" s="22" t="n">
        <f aca="false">IFERROR(D310*E310,0)</f>
        <v>210439.6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141</v>
      </c>
      <c r="C311" s="34" t="s">
        <v>152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141</v>
      </c>
      <c r="C312" s="16" t="s">
        <v>170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141</v>
      </c>
      <c r="C313" s="34" t="s">
        <v>171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141</v>
      </c>
      <c r="C314" s="16" t="s">
        <v>153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141</v>
      </c>
      <c r="C315" s="34" t="s">
        <v>154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141</v>
      </c>
      <c r="C316" s="16" t="s">
        <v>142</v>
      </c>
      <c r="D316" s="38" t="n">
        <v>2</v>
      </c>
      <c r="E316" s="39" t="n">
        <v>60.09</v>
      </c>
      <c r="F316" s="22" t="n">
        <f aca="false">IFERROR(D316*E316,0)</f>
        <v>120.18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141</v>
      </c>
      <c r="C317" s="34" t="s">
        <v>143</v>
      </c>
      <c r="D317" s="35" t="n">
        <v>18</v>
      </c>
      <c r="E317" s="36" t="n">
        <v>539.14</v>
      </c>
      <c r="F317" s="37" t="n">
        <f aca="false">IFERROR(D317*E317,0)</f>
        <v>9704.52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141</v>
      </c>
      <c r="C318" s="16" t="s">
        <v>144</v>
      </c>
      <c r="D318" s="38" t="n">
        <v>1</v>
      </c>
      <c r="E318" s="39" t="n">
        <v>1654.6</v>
      </c>
      <c r="F318" s="22" t="n">
        <f aca="false">IFERROR(D318*E318,0)</f>
        <v>1654.6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141</v>
      </c>
      <c r="C319" s="34" t="s">
        <v>145</v>
      </c>
      <c r="D319" s="35" t="n">
        <v>1</v>
      </c>
      <c r="E319" s="36" t="n">
        <v>4.85</v>
      </c>
      <c r="F319" s="37" t="n">
        <f aca="false">IFERROR(D319*E319,0)</f>
        <v>4.85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141</v>
      </c>
      <c r="C320" s="16" t="s">
        <v>146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141</v>
      </c>
      <c r="C321" s="34" t="s">
        <v>147</v>
      </c>
      <c r="D321" s="35" t="n">
        <v>33</v>
      </c>
      <c r="E321" s="36" t="n">
        <v>101811.52</v>
      </c>
      <c r="F321" s="37" t="n">
        <f aca="false">IFERROR(D321*E321,0)</f>
        <v>3359780.16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141</v>
      </c>
      <c r="C322" s="16" t="s">
        <v>152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141</v>
      </c>
      <c r="C323" s="34" t="s">
        <v>170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141</v>
      </c>
      <c r="C324" s="16" t="s">
        <v>171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141</v>
      </c>
      <c r="C325" s="34" t="s">
        <v>153</v>
      </c>
      <c r="D325" s="35" t="n">
        <v>34</v>
      </c>
      <c r="E325" s="36" t="n">
        <v>9.92</v>
      </c>
      <c r="F325" s="37" t="n">
        <f aca="false">IFERROR(D325*E325,0)</f>
        <v>337.28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141</v>
      </c>
      <c r="C326" s="16" t="s">
        <v>154</v>
      </c>
      <c r="D326" s="38" t="n">
        <v>34</v>
      </c>
      <c r="E326" s="39" t="n">
        <v>2.05</v>
      </c>
      <c r="F326" s="22" t="n">
        <f aca="false">IFERROR(D326*E326,0)</f>
        <v>69.7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141</v>
      </c>
      <c r="C327" s="34" t="s">
        <v>142</v>
      </c>
      <c r="D327" s="35" t="n">
        <v>2</v>
      </c>
      <c r="E327" s="36" t="n">
        <v>60.09</v>
      </c>
      <c r="F327" s="37" t="n">
        <f aca="false">IFERROR(D327*E327,0)</f>
        <v>120.18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141</v>
      </c>
      <c r="C328" s="16" t="s">
        <v>143</v>
      </c>
      <c r="D328" s="38" t="n">
        <v>18</v>
      </c>
      <c r="E328" s="39" t="n">
        <v>539.14</v>
      </c>
      <c r="F328" s="22" t="n">
        <f aca="false">IFERROR(D328*E328,0)</f>
        <v>9704.52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141</v>
      </c>
      <c r="C329" s="34" t="s">
        <v>144</v>
      </c>
      <c r="D329" s="35" t="n">
        <v>1</v>
      </c>
      <c r="E329" s="36" t="n">
        <v>1654.6</v>
      </c>
      <c r="F329" s="37" t="n">
        <f aca="false">IFERROR(D329*E329,0)</f>
        <v>1654.6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141</v>
      </c>
      <c r="C330" s="16" t="s">
        <v>145</v>
      </c>
      <c r="D330" s="38" t="n">
        <v>1</v>
      </c>
      <c r="E330" s="39" t="n">
        <v>4.85</v>
      </c>
      <c r="F330" s="22" t="n">
        <f aca="false">IFERROR(D330*E330,0)</f>
        <v>4.85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141</v>
      </c>
      <c r="C331" s="34" t="s">
        <v>146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141</v>
      </c>
      <c r="C332" s="16" t="s">
        <v>147</v>
      </c>
      <c r="D332" s="38" t="n">
        <v>10</v>
      </c>
      <c r="E332" s="39" t="n">
        <v>103724.16</v>
      </c>
      <c r="F332" s="22" t="n">
        <f aca="false">IFERROR(D332*E332,0)</f>
        <v>1037241.6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141</v>
      </c>
      <c r="C333" s="34" t="s">
        <v>152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141</v>
      </c>
      <c r="C334" s="16" t="s">
        <v>153</v>
      </c>
      <c r="D334" s="38" t="n">
        <v>14</v>
      </c>
      <c r="E334" s="39" t="n">
        <v>9.92</v>
      </c>
      <c r="F334" s="22" t="n">
        <f aca="false">IFERROR(D334*E334,0)</f>
        <v>138.88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141</v>
      </c>
      <c r="C335" s="34" t="s">
        <v>154</v>
      </c>
      <c r="D335" s="35" t="n">
        <v>14</v>
      </c>
      <c r="E335" s="36" t="n">
        <v>2.05</v>
      </c>
      <c r="F335" s="37" t="n">
        <f aca="false">IFERROR(D335*E335,0)</f>
        <v>28.7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141</v>
      </c>
      <c r="C336" s="16" t="s">
        <v>208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141</v>
      </c>
      <c r="C337" s="34" t="s">
        <v>176</v>
      </c>
      <c r="D337" s="35" t="n">
        <v>9</v>
      </c>
      <c r="E337" s="36" t="n">
        <v>29.74</v>
      </c>
      <c r="F337" s="37" t="n">
        <f aca="false">IFERROR(D337*E337,0)</f>
        <v>267.66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141</v>
      </c>
      <c r="C338" s="16" t="s">
        <v>177</v>
      </c>
      <c r="D338" s="38" t="n">
        <v>9</v>
      </c>
      <c r="E338" s="39" t="n">
        <v>43.54</v>
      </c>
      <c r="F338" s="22" t="n">
        <f aca="false">IFERROR(D338*E338,0)</f>
        <v>391.86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141</v>
      </c>
      <c r="C339" s="34" t="s">
        <v>178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141</v>
      </c>
      <c r="C340" s="16" t="s">
        <v>176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141</v>
      </c>
      <c r="C341" s="34" t="s">
        <v>177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141</v>
      </c>
      <c r="C342" s="16" t="s">
        <v>178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141</v>
      </c>
      <c r="C343" s="34" t="s">
        <v>176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141</v>
      </c>
      <c r="C344" s="16" t="s">
        <v>177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141</v>
      </c>
      <c r="C345" s="34" t="s">
        <v>178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141</v>
      </c>
      <c r="C346" s="16" t="s">
        <v>176</v>
      </c>
      <c r="D346" s="38" t="n">
        <v>4</v>
      </c>
      <c r="E346" s="39" t="n">
        <v>29.74</v>
      </c>
      <c r="F346" s="22" t="n">
        <f aca="false">IFERROR(D346*E346,0)</f>
        <v>118.96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141</v>
      </c>
      <c r="C347" s="34" t="s">
        <v>177</v>
      </c>
      <c r="D347" s="35" t="n">
        <v>4</v>
      </c>
      <c r="E347" s="36" t="n">
        <v>43.54</v>
      </c>
      <c r="F347" s="37" t="n">
        <f aca="false">IFERROR(D347*E347,0)</f>
        <v>174.16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141</v>
      </c>
      <c r="C348" s="16" t="s">
        <v>178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141</v>
      </c>
      <c r="C349" s="34" t="s">
        <v>176</v>
      </c>
      <c r="D349" s="35" t="n">
        <v>4</v>
      </c>
      <c r="E349" s="36" t="n">
        <v>29.74</v>
      </c>
      <c r="F349" s="37" t="n">
        <f aca="false">IFERROR(D349*E349,0)</f>
        <v>118.96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141</v>
      </c>
      <c r="C350" s="16" t="s">
        <v>177</v>
      </c>
      <c r="D350" s="38" t="n">
        <v>4</v>
      </c>
      <c r="E350" s="39" t="n">
        <v>43.54</v>
      </c>
      <c r="F350" s="22" t="n">
        <f aca="false">IFERROR(D350*E350,0)</f>
        <v>174.16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141</v>
      </c>
      <c r="C351" s="34" t="s">
        <v>178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141</v>
      </c>
      <c r="C352" s="16" t="s">
        <v>176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141</v>
      </c>
      <c r="C353" s="34" t="s">
        <v>177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141</v>
      </c>
      <c r="C354" s="16" t="s">
        <v>178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141</v>
      </c>
      <c r="C355" s="34" t="s">
        <v>176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141</v>
      </c>
      <c r="C356" s="16" t="s">
        <v>177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141</v>
      </c>
      <c r="C357" s="34" t="s">
        <v>178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141</v>
      </c>
      <c r="C358" s="16" t="s">
        <v>176</v>
      </c>
      <c r="D358" s="38" t="n">
        <v>4</v>
      </c>
      <c r="E358" s="39" t="n">
        <v>29.74</v>
      </c>
      <c r="F358" s="22" t="n">
        <f aca="false">IFERROR(D358*E358,0)</f>
        <v>118.96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141</v>
      </c>
      <c r="C359" s="34" t="s">
        <v>177</v>
      </c>
      <c r="D359" s="35" t="n">
        <v>4</v>
      </c>
      <c r="E359" s="36" t="n">
        <v>43.54</v>
      </c>
      <c r="F359" s="37" t="n">
        <f aca="false">IFERROR(D359*E359,0)</f>
        <v>174.16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141</v>
      </c>
      <c r="C360" s="16" t="s">
        <v>178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141</v>
      </c>
      <c r="C361" s="34" t="s">
        <v>176</v>
      </c>
      <c r="D361" s="35" t="n">
        <v>12</v>
      </c>
      <c r="E361" s="36" t="n">
        <v>29.74</v>
      </c>
      <c r="F361" s="37" t="n">
        <f aca="false">IFERROR(D361*E361,0)</f>
        <v>356.88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141</v>
      </c>
      <c r="C362" s="16" t="s">
        <v>177</v>
      </c>
      <c r="D362" s="38" t="n">
        <v>12</v>
      </c>
      <c r="E362" s="39" t="n">
        <v>43.54</v>
      </c>
      <c r="F362" s="22" t="n">
        <f aca="false">IFERROR(D362*E362,0)</f>
        <v>522.48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141</v>
      </c>
      <c r="C363" s="34" t="s">
        <v>178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141</v>
      </c>
      <c r="C364" s="16" t="s">
        <v>176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141</v>
      </c>
      <c r="C365" s="34" t="s">
        <v>177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141</v>
      </c>
      <c r="C366" s="16" t="s">
        <v>178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141</v>
      </c>
      <c r="C367" s="34" t="s">
        <v>176</v>
      </c>
      <c r="D367" s="35" t="n">
        <v>7</v>
      </c>
      <c r="E367" s="36" t="n">
        <v>29.74</v>
      </c>
      <c r="F367" s="37" t="n">
        <f aca="false">IFERROR(D367*E367,0)</f>
        <v>208.18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141</v>
      </c>
      <c r="C368" s="16" t="s">
        <v>177</v>
      </c>
      <c r="D368" s="38" t="n">
        <v>7</v>
      </c>
      <c r="E368" s="39" t="n">
        <v>43.54</v>
      </c>
      <c r="F368" s="22" t="n">
        <f aca="false">IFERROR(D368*E368,0)</f>
        <v>304.78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141</v>
      </c>
      <c r="C369" s="34" t="s">
        <v>178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141</v>
      </c>
      <c r="C370" s="16" t="s">
        <v>176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141</v>
      </c>
      <c r="C371" s="34" t="s">
        <v>177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141</v>
      </c>
      <c r="C372" s="16" t="s">
        <v>178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141</v>
      </c>
      <c r="C373" s="34" t="s">
        <v>176</v>
      </c>
      <c r="D373" s="35" t="n">
        <v>12</v>
      </c>
      <c r="E373" s="36" t="n">
        <v>29.74</v>
      </c>
      <c r="F373" s="37" t="n">
        <f aca="false">IFERROR(D373*E373,0)</f>
        <v>356.88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141</v>
      </c>
      <c r="C374" s="16" t="s">
        <v>177</v>
      </c>
      <c r="D374" s="38" t="n">
        <v>12</v>
      </c>
      <c r="E374" s="39" t="n">
        <v>43.54</v>
      </c>
      <c r="F374" s="22" t="n">
        <f aca="false">IFERROR(D374*E374,0)</f>
        <v>522.48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141</v>
      </c>
      <c r="C375" s="34" t="s">
        <v>178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141</v>
      </c>
      <c r="C376" s="16" t="s">
        <v>176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141</v>
      </c>
      <c r="C377" s="34" t="s">
        <v>177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141</v>
      </c>
      <c r="C378" s="16" t="s">
        <v>178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141</v>
      </c>
      <c r="C379" s="34" t="s">
        <v>176</v>
      </c>
      <c r="D379" s="35" t="n">
        <v>46</v>
      </c>
      <c r="E379" s="36" t="n">
        <v>29.74</v>
      </c>
      <c r="F379" s="37" t="n">
        <f aca="false">IFERROR(D379*E379,0)</f>
        <v>1368.04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141</v>
      </c>
      <c r="C380" s="16" t="s">
        <v>177</v>
      </c>
      <c r="D380" s="38" t="n">
        <v>46</v>
      </c>
      <c r="E380" s="39" t="n">
        <v>43.54</v>
      </c>
      <c r="F380" s="22" t="n">
        <f aca="false">IFERROR(D380*E380,0)</f>
        <v>2002.84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141</v>
      </c>
      <c r="C381" s="34" t="s">
        <v>178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141</v>
      </c>
      <c r="C382" s="16" t="s">
        <v>176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141</v>
      </c>
      <c r="C383" s="34" t="s">
        <v>177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141</v>
      </c>
      <c r="C384" s="16" t="s">
        <v>178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141</v>
      </c>
      <c r="C385" s="34" t="s">
        <v>176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141</v>
      </c>
      <c r="C386" s="16" t="s">
        <v>177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141</v>
      </c>
      <c r="C387" s="34" t="s">
        <v>178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141</v>
      </c>
      <c r="C388" s="16" t="s">
        <v>176</v>
      </c>
      <c r="D388" s="38" t="n">
        <v>4</v>
      </c>
      <c r="E388" s="39" t="n">
        <v>29.74</v>
      </c>
      <c r="F388" s="22" t="n">
        <f aca="false">IFERROR(D388*E388,0)</f>
        <v>118.96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141</v>
      </c>
      <c r="C389" s="34" t="s">
        <v>177</v>
      </c>
      <c r="D389" s="35" t="n">
        <v>4</v>
      </c>
      <c r="E389" s="36" t="n">
        <v>43.54</v>
      </c>
      <c r="F389" s="37" t="n">
        <f aca="false">IFERROR(D389*E389,0)</f>
        <v>174.16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141</v>
      </c>
      <c r="C390" s="16" t="s">
        <v>178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141</v>
      </c>
      <c r="C391" s="34" t="s">
        <v>176</v>
      </c>
      <c r="D391" s="35" t="n">
        <v>11</v>
      </c>
      <c r="E391" s="36" t="n">
        <v>29.74</v>
      </c>
      <c r="F391" s="37" t="n">
        <f aca="false">IFERROR(D391*E391,0)</f>
        <v>327.14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141</v>
      </c>
      <c r="C392" s="16" t="s">
        <v>177</v>
      </c>
      <c r="D392" s="38" t="n">
        <v>11</v>
      </c>
      <c r="E392" s="39" t="n">
        <v>43.54</v>
      </c>
      <c r="F392" s="22" t="n">
        <f aca="false">IFERROR(D392*E392,0)</f>
        <v>478.94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141</v>
      </c>
      <c r="C393" s="34" t="s">
        <v>178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141</v>
      </c>
      <c r="C394" s="16" t="s">
        <v>176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141</v>
      </c>
      <c r="C395" s="34" t="s">
        <v>177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141</v>
      </c>
      <c r="C396" s="16" t="s">
        <v>178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141</v>
      </c>
      <c r="C397" s="34" t="s">
        <v>176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141</v>
      </c>
      <c r="C398" s="16" t="s">
        <v>177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141</v>
      </c>
      <c r="C399" s="34" t="s">
        <v>178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141</v>
      </c>
      <c r="C400" s="16" t="s">
        <v>176</v>
      </c>
      <c r="D400" s="38" t="n">
        <v>34</v>
      </c>
      <c r="E400" s="39" t="n">
        <v>29.74</v>
      </c>
      <c r="F400" s="22" t="n">
        <f aca="false">IFERROR(D400*E400,0)</f>
        <v>1011.16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141</v>
      </c>
      <c r="C401" s="34" t="s">
        <v>177</v>
      </c>
      <c r="D401" s="35" t="n">
        <v>34</v>
      </c>
      <c r="E401" s="36" t="n">
        <v>43.54</v>
      </c>
      <c r="F401" s="37" t="n">
        <f aca="false">IFERROR(D401*E401,0)</f>
        <v>1480.36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141</v>
      </c>
      <c r="C402" s="16" t="s">
        <v>178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141</v>
      </c>
      <c r="C403" s="34" t="s">
        <v>176</v>
      </c>
      <c r="D403" s="35" t="n">
        <v>14</v>
      </c>
      <c r="E403" s="36" t="n">
        <v>29.74</v>
      </c>
      <c r="F403" s="37" t="n">
        <f aca="false">IFERROR(D403*E403,0)</f>
        <v>416.36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141</v>
      </c>
      <c r="C404" s="16" t="s">
        <v>177</v>
      </c>
      <c r="D404" s="38" t="n">
        <v>14</v>
      </c>
      <c r="E404" s="39" t="n">
        <v>43.54</v>
      </c>
      <c r="F404" s="22" t="n">
        <f aca="false">IFERROR(D404*E404,0)</f>
        <v>609.56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141</v>
      </c>
      <c r="C405" s="34" t="s">
        <v>178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141</v>
      </c>
      <c r="C406" s="16" t="s">
        <v>209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141</v>
      </c>
      <c r="C407" s="34" t="s">
        <v>171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148</v>
      </c>
      <c r="C408" s="16" t="s">
        <v>194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148</v>
      </c>
      <c r="C409" s="34" t="s">
        <v>151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148</v>
      </c>
      <c r="C410" s="16" t="s">
        <v>169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148</v>
      </c>
      <c r="C411" s="34" t="s">
        <v>169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148</v>
      </c>
      <c r="C412" s="16" t="s">
        <v>169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148</v>
      </c>
      <c r="C413" s="34" t="s">
        <v>169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148</v>
      </c>
      <c r="C414" s="16" t="s">
        <v>169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148</v>
      </c>
      <c r="C415" s="34" t="s">
        <v>169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148</v>
      </c>
      <c r="C416" s="16" t="s">
        <v>169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148</v>
      </c>
      <c r="C417" s="34" t="s">
        <v>194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148</v>
      </c>
      <c r="C418" s="16" t="s">
        <v>210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141</v>
      </c>
      <c r="C419" s="34" t="s">
        <v>147</v>
      </c>
      <c r="D419" s="35" t="n">
        <v>7</v>
      </c>
      <c r="E419" s="36" t="n">
        <v>27856.75</v>
      </c>
      <c r="F419" s="37" t="n">
        <f aca="false">IFERROR(D419*E419,0)</f>
        <v>194997.25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141</v>
      </c>
      <c r="C420" s="16" t="s">
        <v>143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148</v>
      </c>
      <c r="C421" s="34" t="s">
        <v>151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141</v>
      </c>
      <c r="C422" s="16" t="s">
        <v>147</v>
      </c>
      <c r="D422" s="38" t="n">
        <v>2</v>
      </c>
      <c r="E422" s="39" t="n">
        <v>6068.32</v>
      </c>
      <c r="F422" s="22" t="n">
        <f aca="false">IFERROR(D422*E422,0)</f>
        <v>12136.64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141</v>
      </c>
      <c r="C423" s="34" t="s">
        <v>143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148</v>
      </c>
      <c r="C424" s="16" t="s">
        <v>194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141</v>
      </c>
      <c r="C425" s="34" t="s">
        <v>147</v>
      </c>
      <c r="D425" s="35" t="n">
        <v>12</v>
      </c>
      <c r="E425" s="36" t="n">
        <v>55912.74</v>
      </c>
      <c r="F425" s="37" t="n">
        <f aca="false">IFERROR(D425*E425,0)</f>
        <v>670952.88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141</v>
      </c>
      <c r="C426" s="16" t="s">
        <v>143</v>
      </c>
      <c r="D426" s="38" t="n">
        <v>6</v>
      </c>
      <c r="E426" s="39" t="n">
        <v>198.78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148</v>
      </c>
      <c r="C427" s="34" t="s">
        <v>194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148</v>
      </c>
      <c r="C428" s="16" t="s">
        <v>151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141</v>
      </c>
      <c r="C429" s="34" t="s">
        <v>147</v>
      </c>
      <c r="D429" s="35" t="n">
        <v>7</v>
      </c>
      <c r="E429" s="36" t="n">
        <v>32250.43</v>
      </c>
      <c r="F429" s="37" t="n">
        <f aca="false">IFERROR(D429*E429,0)</f>
        <v>225753.01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141</v>
      </c>
      <c r="C430" s="16" t="s">
        <v>143</v>
      </c>
      <c r="D430" s="38" t="n">
        <v>4</v>
      </c>
      <c r="E430" s="39" t="n">
        <v>67.31</v>
      </c>
      <c r="F430" s="22" t="n">
        <f aca="false">IFERROR(D430*E430,0)</f>
        <v>269.24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141</v>
      </c>
      <c r="C431" s="34" t="s">
        <v>147</v>
      </c>
      <c r="D431" s="35" t="n">
        <v>14</v>
      </c>
      <c r="E431" s="36" t="n">
        <v>74369.92</v>
      </c>
      <c r="F431" s="37" t="n">
        <f aca="false">IFERROR(D431*E431,0)</f>
        <v>1041178.88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141</v>
      </c>
      <c r="C432" s="16" t="s">
        <v>147</v>
      </c>
      <c r="D432" s="38" t="n">
        <v>3</v>
      </c>
      <c r="E432" s="39" t="n">
        <v>13569.86</v>
      </c>
      <c r="F432" s="22" t="n">
        <f aca="false">IFERROR(D432*E432,0)</f>
        <v>40709.58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141</v>
      </c>
      <c r="C433" s="34" t="s">
        <v>147</v>
      </c>
      <c r="D433" s="35" t="n">
        <v>22</v>
      </c>
      <c r="E433" s="36" t="n">
        <v>158087.5</v>
      </c>
      <c r="F433" s="37" t="n">
        <f aca="false">IFERROR(D433*E433,0)</f>
        <v>3477925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148</v>
      </c>
      <c r="C434" s="16" t="s">
        <v>194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148</v>
      </c>
      <c r="C435" s="34" t="s">
        <v>197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141</v>
      </c>
      <c r="C436" s="16" t="s">
        <v>147</v>
      </c>
      <c r="D436" s="38" t="n">
        <v>8</v>
      </c>
      <c r="E436" s="39" t="n">
        <v>56795.02</v>
      </c>
      <c r="F436" s="22" t="n">
        <f aca="false">IFERROR(D436*E436,0)</f>
        <v>454360.16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148</v>
      </c>
      <c r="C437" s="34" t="s">
        <v>194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148</v>
      </c>
      <c r="C438" s="16" t="s">
        <v>197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141</v>
      </c>
      <c r="C439" s="34" t="s">
        <v>147</v>
      </c>
      <c r="D439" s="35" t="n">
        <v>3</v>
      </c>
      <c r="E439" s="36" t="n">
        <v>28674.49</v>
      </c>
      <c r="F439" s="37" t="n">
        <f aca="false">IFERROR(D439*E439,0)</f>
        <v>86023.47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141</v>
      </c>
      <c r="C440" s="16" t="s">
        <v>142</v>
      </c>
      <c r="D440" s="38" t="n">
        <v>1</v>
      </c>
      <c r="E440" s="39" t="n">
        <v>6.77</v>
      </c>
      <c r="F440" s="22" t="n">
        <f aca="false">IFERROR(D440*E440,0)</f>
        <v>6.77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141</v>
      </c>
      <c r="C441" s="34" t="s">
        <v>143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141</v>
      </c>
      <c r="C442" s="16" t="s">
        <v>143</v>
      </c>
      <c r="D442" s="38" t="n">
        <v>3</v>
      </c>
      <c r="E442" s="39" t="n">
        <v>81.33</v>
      </c>
      <c r="F442" s="22" t="n">
        <f aca="false">IFERROR(D442*E442,0)</f>
        <v>243.99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141</v>
      </c>
      <c r="C443" s="34" t="s">
        <v>143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141</v>
      </c>
      <c r="C444" s="16" t="s">
        <v>153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141</v>
      </c>
      <c r="C445" s="34" t="s">
        <v>154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141</v>
      </c>
      <c r="C446" s="16" t="s">
        <v>152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141</v>
      </c>
      <c r="C447" s="34" t="s">
        <v>176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141</v>
      </c>
      <c r="C448" s="16" t="s">
        <v>177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141</v>
      </c>
      <c r="C449" s="34" t="s">
        <v>178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141</v>
      </c>
      <c r="C450" s="16" t="s">
        <v>153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141</v>
      </c>
      <c r="C451" s="34" t="s">
        <v>154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141</v>
      </c>
      <c r="C452" s="16" t="s">
        <v>152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141</v>
      </c>
      <c r="C453" s="34" t="s">
        <v>176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141</v>
      </c>
      <c r="C454" s="16" t="s">
        <v>177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141</v>
      </c>
      <c r="C455" s="34" t="s">
        <v>178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141</v>
      </c>
      <c r="C456" s="16" t="s">
        <v>153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141</v>
      </c>
      <c r="C457" s="34" t="s">
        <v>154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141</v>
      </c>
      <c r="C458" s="16" t="s">
        <v>152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141</v>
      </c>
      <c r="C459" s="34" t="s">
        <v>176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141</v>
      </c>
      <c r="C460" s="16" t="s">
        <v>177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141</v>
      </c>
      <c r="C461" s="34" t="s">
        <v>178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141</v>
      </c>
      <c r="C462" s="16" t="s">
        <v>153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141</v>
      </c>
      <c r="C463" s="34" t="s">
        <v>154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141</v>
      </c>
      <c r="C464" s="16" t="s">
        <v>152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141</v>
      </c>
      <c r="C465" s="34" t="s">
        <v>176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141</v>
      </c>
      <c r="C466" s="16" t="s">
        <v>177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141</v>
      </c>
      <c r="C467" s="34" t="s">
        <v>178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141</v>
      </c>
      <c r="C468" s="16" t="s">
        <v>153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141</v>
      </c>
      <c r="C469" s="34" t="s">
        <v>154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141</v>
      </c>
      <c r="C470" s="16" t="s">
        <v>152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141</v>
      </c>
      <c r="C471" s="34" t="s">
        <v>176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141</v>
      </c>
      <c r="C472" s="16" t="s">
        <v>177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141</v>
      </c>
      <c r="C473" s="34" t="s">
        <v>178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141</v>
      </c>
      <c r="C474" s="16" t="s">
        <v>153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141</v>
      </c>
      <c r="C475" s="34" t="s">
        <v>154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141</v>
      </c>
      <c r="C476" s="16" t="s">
        <v>152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141</v>
      </c>
      <c r="C477" s="34" t="s">
        <v>176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141</v>
      </c>
      <c r="C478" s="16" t="s">
        <v>177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141</v>
      </c>
      <c r="C479" s="34" t="s">
        <v>178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141</v>
      </c>
      <c r="C480" s="16" t="s">
        <v>153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141</v>
      </c>
      <c r="C481" s="34" t="s">
        <v>154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141</v>
      </c>
      <c r="C482" s="16" t="s">
        <v>152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141</v>
      </c>
      <c r="C483" s="34" t="s">
        <v>176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141</v>
      </c>
      <c r="C484" s="16" t="s">
        <v>177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141</v>
      </c>
      <c r="C485" s="34" t="s">
        <v>178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141</v>
      </c>
      <c r="C486" s="16" t="s">
        <v>153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141</v>
      </c>
      <c r="C487" s="34" t="s">
        <v>154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141</v>
      </c>
      <c r="C488" s="16" t="s">
        <v>152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141</v>
      </c>
      <c r="C489" s="34" t="s">
        <v>176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141</v>
      </c>
      <c r="C490" s="16" t="s">
        <v>177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141</v>
      </c>
      <c r="C491" s="34" t="s">
        <v>178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141</v>
      </c>
      <c r="C492" s="16" t="s">
        <v>153</v>
      </c>
      <c r="D492" s="38" t="n">
        <v>2</v>
      </c>
      <c r="E492" s="39" t="n">
        <v>9.92</v>
      </c>
      <c r="F492" s="22" t="n">
        <f aca="false">IFERROR(D492*E492,0)</f>
        <v>19.84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141</v>
      </c>
      <c r="C493" s="34" t="s">
        <v>154</v>
      </c>
      <c r="D493" s="35" t="n">
        <v>2</v>
      </c>
      <c r="E493" s="36" t="n">
        <v>2.05</v>
      </c>
      <c r="F493" s="37" t="n">
        <f aca="false">IFERROR(D493*E493,0)</f>
        <v>4.1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141</v>
      </c>
      <c r="C494" s="16" t="s">
        <v>152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141</v>
      </c>
      <c r="C495" s="34" t="s">
        <v>176</v>
      </c>
      <c r="D495" s="35" t="n">
        <v>2</v>
      </c>
      <c r="E495" s="36" t="n">
        <v>29.74</v>
      </c>
      <c r="F495" s="37" t="n">
        <f aca="false">IFERROR(D495*E495,0)</f>
        <v>59.48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141</v>
      </c>
      <c r="C496" s="16" t="s">
        <v>177</v>
      </c>
      <c r="D496" s="38" t="n">
        <v>2</v>
      </c>
      <c r="E496" s="39" t="n">
        <v>43.54</v>
      </c>
      <c r="F496" s="22" t="n">
        <f aca="false">IFERROR(D496*E496,0)</f>
        <v>87.08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141</v>
      </c>
      <c r="C497" s="34" t="s">
        <v>178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141</v>
      </c>
      <c r="C498" s="16" t="s">
        <v>189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141</v>
      </c>
      <c r="C499" s="34" t="s">
        <v>189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141</v>
      </c>
      <c r="C500" s="16" t="s">
        <v>189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141</v>
      </c>
      <c r="C501" s="34" t="s">
        <v>189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141</v>
      </c>
      <c r="C502" s="16" t="s">
        <v>189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141</v>
      </c>
      <c r="C503" s="34" t="s">
        <v>189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141</v>
      </c>
      <c r="C504" s="16" t="s">
        <v>152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141</v>
      </c>
      <c r="C505" s="34" t="s">
        <v>211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141</v>
      </c>
      <c r="C506" s="16" t="s">
        <v>147</v>
      </c>
      <c r="D506" s="38" t="n">
        <v>5</v>
      </c>
      <c r="E506" s="39" t="n">
        <v>22573.92</v>
      </c>
      <c r="F506" s="22" t="n">
        <f aca="false">IFERROR(D506*E506,0)</f>
        <v>112869.6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141</v>
      </c>
      <c r="C507" s="34" t="s">
        <v>152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148</v>
      </c>
      <c r="C508" s="16" t="s">
        <v>188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148</v>
      </c>
      <c r="C509" s="34" t="s">
        <v>188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141</v>
      </c>
      <c r="C510" s="16" t="s">
        <v>144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141</v>
      </c>
      <c r="C511" s="34" t="s">
        <v>145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141</v>
      </c>
      <c r="C512" s="16" t="s">
        <v>144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141</v>
      </c>
      <c r="C513" s="34" t="s">
        <v>145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148</v>
      </c>
      <c r="C514" s="16" t="s">
        <v>169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148</v>
      </c>
      <c r="C515" s="34" t="s">
        <v>169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148</v>
      </c>
      <c r="C516" s="16" t="s">
        <v>169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148</v>
      </c>
      <c r="C517" s="34" t="s">
        <v>169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148</v>
      </c>
      <c r="C518" s="16" t="s">
        <v>169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148</v>
      </c>
      <c r="C519" s="34" t="s">
        <v>169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148</v>
      </c>
      <c r="C520" s="16" t="s">
        <v>169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148</v>
      </c>
      <c r="C521" s="34" t="s">
        <v>169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148</v>
      </c>
      <c r="C522" s="16" t="s">
        <v>169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148</v>
      </c>
      <c r="C523" s="34" t="s">
        <v>169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148</v>
      </c>
      <c r="C524" s="16" t="s">
        <v>169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148</v>
      </c>
      <c r="C525" s="34" t="s">
        <v>169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148</v>
      </c>
      <c r="C526" s="16" t="s">
        <v>169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148</v>
      </c>
      <c r="C527" s="34" t="s">
        <v>169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148</v>
      </c>
      <c r="C528" s="16" t="s">
        <v>169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148</v>
      </c>
      <c r="C529" s="34" t="s">
        <v>169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141</v>
      </c>
      <c r="C530" s="16" t="s">
        <v>189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141</v>
      </c>
      <c r="C531" s="34" t="s">
        <v>189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141</v>
      </c>
      <c r="C532" s="16" t="s">
        <v>189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141</v>
      </c>
      <c r="C533" s="34" t="s">
        <v>189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141</v>
      </c>
      <c r="C534" s="16" t="s">
        <v>189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141</v>
      </c>
      <c r="C535" s="34" t="s">
        <v>189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141</v>
      </c>
      <c r="C536" s="16" t="s">
        <v>189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141</v>
      </c>
      <c r="C537" s="34" t="s">
        <v>189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141</v>
      </c>
      <c r="C538" s="16" t="s">
        <v>212</v>
      </c>
      <c r="D538" s="38" t="n">
        <v>2</v>
      </c>
      <c r="E538" s="39" t="n">
        <v>30</v>
      </c>
      <c r="F538" s="22" t="n">
        <f aca="false">IFERROR(D538*E538,0)</f>
        <v>60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141</v>
      </c>
      <c r="C539" s="34" t="s">
        <v>212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141</v>
      </c>
      <c r="C540" s="16" t="s">
        <v>212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141</v>
      </c>
      <c r="C541" s="34" t="s">
        <v>212</v>
      </c>
      <c r="D541" s="35" t="n">
        <v>3</v>
      </c>
      <c r="E541" s="36" t="n">
        <v>30</v>
      </c>
      <c r="F541" s="37" t="n">
        <f aca="false">IFERROR(D541*E541,0)</f>
        <v>90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141</v>
      </c>
      <c r="C542" s="16" t="s">
        <v>212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141</v>
      </c>
      <c r="C543" s="34" t="s">
        <v>212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141</v>
      </c>
      <c r="C544" s="16" t="s">
        <v>212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141</v>
      </c>
      <c r="C545" s="34" t="s">
        <v>212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141</v>
      </c>
      <c r="C546" s="16" t="s">
        <v>212</v>
      </c>
      <c r="D546" s="38" t="n">
        <v>4</v>
      </c>
      <c r="E546" s="39" t="n">
        <v>30</v>
      </c>
      <c r="F546" s="22" t="n">
        <f aca="false">IFERROR(D546*E546,0)</f>
        <v>120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141</v>
      </c>
      <c r="C547" s="34" t="s">
        <v>212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141</v>
      </c>
      <c r="C548" s="16" t="s">
        <v>212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141</v>
      </c>
      <c r="C549" s="34" t="s">
        <v>212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141</v>
      </c>
      <c r="C550" s="16" t="s">
        <v>212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141</v>
      </c>
      <c r="C551" s="34" t="s">
        <v>212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141</v>
      </c>
      <c r="C552" s="16" t="s">
        <v>212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141</v>
      </c>
      <c r="C553" s="34" t="s">
        <v>212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141</v>
      </c>
      <c r="C554" s="16" t="s">
        <v>212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141</v>
      </c>
      <c r="C555" s="34" t="s">
        <v>212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141</v>
      </c>
      <c r="C556" s="16" t="s">
        <v>212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141</v>
      </c>
      <c r="C557" s="34" t="s">
        <v>142</v>
      </c>
      <c r="D557" s="35" t="n">
        <v>4</v>
      </c>
      <c r="E557" s="36" t="n">
        <v>35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141</v>
      </c>
      <c r="C558" s="16" t="s">
        <v>143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141</v>
      </c>
      <c r="C559" s="34" t="s">
        <v>144</v>
      </c>
      <c r="D559" s="35" t="n">
        <v>1</v>
      </c>
      <c r="E559" s="36" t="n">
        <v>1698.95</v>
      </c>
      <c r="F559" s="37" t="n">
        <f aca="false">IFERROR(D559*E559,0)</f>
        <v>1698.95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141</v>
      </c>
      <c r="C560" s="16" t="s">
        <v>145</v>
      </c>
      <c r="D560" s="38" t="n">
        <v>1</v>
      </c>
      <c r="E560" s="39" t="n">
        <v>4.85</v>
      </c>
      <c r="F560" s="22" t="n">
        <f aca="false">IFERROR(D560*E560,0)</f>
        <v>4.85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141</v>
      </c>
      <c r="C561" s="34" t="s">
        <v>146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141</v>
      </c>
      <c r="C562" s="16" t="s">
        <v>147</v>
      </c>
      <c r="D562" s="38" t="n">
        <v>8</v>
      </c>
      <c r="E562" s="39" t="n">
        <v>33597.39</v>
      </c>
      <c r="F562" s="22" t="n">
        <f aca="false">IFERROR(D562*E562,0)</f>
        <v>268779.12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148</v>
      </c>
      <c r="C563" s="34" t="s">
        <v>149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148</v>
      </c>
      <c r="C564" s="16" t="s">
        <v>150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148</v>
      </c>
      <c r="C565" s="34" t="s">
        <v>151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141</v>
      </c>
      <c r="C566" s="16" t="s">
        <v>152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141</v>
      </c>
      <c r="C567" s="34" t="s">
        <v>153</v>
      </c>
      <c r="D567" s="35" t="n">
        <f aca="false">D422</f>
        <v>2</v>
      </c>
      <c r="E567" s="36" t="n">
        <v>9.85</v>
      </c>
      <c r="F567" s="37" t="n">
        <f aca="false">IFERROR(D567*E567,0)</f>
        <v>19.7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141</v>
      </c>
      <c r="C568" s="16" t="s">
        <v>154</v>
      </c>
      <c r="D568" s="38" t="n">
        <f aca="false">D422</f>
        <v>2</v>
      </c>
      <c r="E568" s="39" t="n">
        <v>2.04</v>
      </c>
      <c r="F568" s="22" t="n">
        <f aca="false">IFERROR(D568*E568,0)</f>
        <v>4.08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141</v>
      </c>
      <c r="C569" s="34" t="s">
        <v>213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141</v>
      </c>
      <c r="C570" s="16" t="s">
        <v>155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141</v>
      </c>
      <c r="C571" s="34" t="s">
        <v>156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141</v>
      </c>
      <c r="C572" s="16" t="s">
        <v>157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141</v>
      </c>
      <c r="C573" s="34" t="s">
        <v>158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141</v>
      </c>
      <c r="C574" s="16" t="s">
        <v>159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141</v>
      </c>
      <c r="C575" s="34" t="s">
        <v>160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141</v>
      </c>
      <c r="C576" s="16" t="s">
        <v>161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141</v>
      </c>
      <c r="C577" s="34" t="s">
        <v>162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141</v>
      </c>
      <c r="C578" s="16" t="s">
        <v>163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141</v>
      </c>
      <c r="C579" s="34" t="s">
        <v>164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141</v>
      </c>
      <c r="C580" s="16" t="s">
        <v>214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141</v>
      </c>
      <c r="C581" s="34" t="s">
        <v>215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141</v>
      </c>
      <c r="C582" s="16" t="s">
        <v>167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141</v>
      </c>
      <c r="C583" s="34" t="s">
        <v>142</v>
      </c>
      <c r="D583" s="35" t="n">
        <v>1</v>
      </c>
      <c r="E583" s="36" t="n">
        <v>17.5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141</v>
      </c>
      <c r="C584" s="16" t="s">
        <v>143</v>
      </c>
      <c r="D584" s="38" t="n">
        <v>1</v>
      </c>
      <c r="E584" s="39" t="n">
        <v>74.8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141</v>
      </c>
      <c r="C585" s="34" t="s">
        <v>144</v>
      </c>
      <c r="D585" s="35" t="n">
        <v>1</v>
      </c>
      <c r="E585" s="36" t="n">
        <v>1698.95</v>
      </c>
      <c r="F585" s="37" t="n">
        <f aca="false">IFERROR(D585*E585,0)</f>
        <v>1698.95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141</v>
      </c>
      <c r="C586" s="16" t="s">
        <v>145</v>
      </c>
      <c r="D586" s="38" t="n">
        <v>1</v>
      </c>
      <c r="E586" s="39" t="n">
        <v>4.85</v>
      </c>
      <c r="F586" s="22" t="n">
        <f aca="false">IFERROR(D586*E586,0)</f>
        <v>4.85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141</v>
      </c>
      <c r="C587" s="34" t="s">
        <v>146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141</v>
      </c>
      <c r="C588" s="16" t="s">
        <v>147</v>
      </c>
      <c r="D588" s="38" t="n">
        <v>4</v>
      </c>
      <c r="E588" s="39" t="n">
        <v>14018.17</v>
      </c>
      <c r="F588" s="22" t="n">
        <f aca="false">IFERROR(D588*E588,0)</f>
        <v>56072.68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148</v>
      </c>
      <c r="C589" s="34" t="s">
        <v>149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148</v>
      </c>
      <c r="C590" s="16" t="s">
        <v>150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148</v>
      </c>
      <c r="C591" s="34" t="s">
        <v>151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141</v>
      </c>
      <c r="C592" s="16" t="s">
        <v>152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141</v>
      </c>
      <c r="C593" s="34" t="s">
        <v>153</v>
      </c>
      <c r="D593" s="35" t="n">
        <f aca="false">D448</f>
        <v>7</v>
      </c>
      <c r="E593" s="36" t="n">
        <v>9.85</v>
      </c>
      <c r="F593" s="37" t="n">
        <f aca="false">IFERROR(D593*E593,0)</f>
        <v>68.95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141</v>
      </c>
      <c r="C594" s="16" t="s">
        <v>154</v>
      </c>
      <c r="D594" s="38" t="n">
        <f aca="false">D448</f>
        <v>7</v>
      </c>
      <c r="E594" s="39" t="n">
        <v>2.04</v>
      </c>
      <c r="F594" s="22" t="n">
        <f aca="false">IFERROR(D594*E594,0)</f>
        <v>14.28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141</v>
      </c>
      <c r="C595" s="34" t="s">
        <v>142</v>
      </c>
      <c r="D595" s="35" t="n">
        <v>3</v>
      </c>
      <c r="E595" s="36" t="n">
        <v>10.74</v>
      </c>
      <c r="F595" s="37" t="n">
        <f aca="false">IFERROR(D595*E595,0)</f>
        <v>32.22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141</v>
      </c>
      <c r="C596" s="16" t="s">
        <v>143</v>
      </c>
      <c r="D596" s="38" t="n">
        <v>44</v>
      </c>
      <c r="E596" s="39" t="n">
        <v>1241.1</v>
      </c>
      <c r="F596" s="22" t="n">
        <f aca="false">IFERROR(D596*E596,0)</f>
        <v>54608.4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141</v>
      </c>
      <c r="C597" s="34" t="s">
        <v>144</v>
      </c>
      <c r="D597" s="35" t="n">
        <v>1</v>
      </c>
      <c r="E597" s="36" t="n">
        <v>1698.95</v>
      </c>
      <c r="F597" s="37" t="n">
        <f aca="false">IFERROR(D597*E597,0)</f>
        <v>1698.95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141</v>
      </c>
      <c r="C598" s="16" t="s">
        <v>145</v>
      </c>
      <c r="D598" s="38" t="n">
        <v>1</v>
      </c>
      <c r="E598" s="39" t="n">
        <v>4.85</v>
      </c>
      <c r="F598" s="22" t="n">
        <f aca="false">IFERROR(D598*E598,0)</f>
        <v>4.85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141</v>
      </c>
      <c r="C599" s="34" t="s">
        <v>146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141</v>
      </c>
      <c r="C600" s="16" t="s">
        <v>147</v>
      </c>
      <c r="D600" s="38" t="n">
        <v>11</v>
      </c>
      <c r="E600" s="39" t="n">
        <v>35079.61</v>
      </c>
      <c r="F600" s="22" t="n">
        <f aca="false">IFERROR(D600*E600,0)</f>
        <v>385875.71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148</v>
      </c>
      <c r="C601" s="34" t="s">
        <v>149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148</v>
      </c>
      <c r="C602" s="16" t="s">
        <v>150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148</v>
      </c>
      <c r="C603" s="34" t="s">
        <v>169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141</v>
      </c>
      <c r="C604" s="16" t="s">
        <v>152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141</v>
      </c>
      <c r="C605" s="34" t="s">
        <v>170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141</v>
      </c>
      <c r="C606" s="16" t="s">
        <v>171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141</v>
      </c>
      <c r="C607" s="34" t="s">
        <v>153</v>
      </c>
      <c r="D607" s="35" t="n">
        <f aca="false">D460</f>
        <v>12</v>
      </c>
      <c r="E607" s="36" t="n">
        <v>9.85</v>
      </c>
      <c r="F607" s="37" t="n">
        <f aca="false">IFERROR(D607*E607,0)</f>
        <v>118.2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141</v>
      </c>
      <c r="C608" s="16" t="s">
        <v>154</v>
      </c>
      <c r="D608" s="38" t="n">
        <f aca="false">D460</f>
        <v>12</v>
      </c>
      <c r="E608" s="39" t="n">
        <v>2.04</v>
      </c>
      <c r="F608" s="22" t="n">
        <f aca="false">IFERROR(D608*E608,0)</f>
        <v>24.48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148</v>
      </c>
      <c r="C609" s="34" t="s">
        <v>172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148</v>
      </c>
      <c r="C610" s="16" t="s">
        <v>173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141</v>
      </c>
      <c r="C611" s="34" t="s">
        <v>174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141</v>
      </c>
      <c r="C612" s="16" t="s">
        <v>216</v>
      </c>
      <c r="D612" s="38" t="n">
        <v>10</v>
      </c>
      <c r="E612" s="39" t="n">
        <v>128551.32</v>
      </c>
      <c r="F612" s="22" t="n">
        <f aca="false">IFERROR(D612*E612,0)</f>
        <v>1285513.2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141</v>
      </c>
      <c r="C613" s="34" t="s">
        <v>175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141</v>
      </c>
      <c r="C614" s="16" t="s">
        <v>176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141</v>
      </c>
      <c r="C615" s="34" t="s">
        <v>177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141</v>
      </c>
      <c r="C616" s="16" t="s">
        <v>178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148</v>
      </c>
      <c r="C617" s="34" t="s">
        <v>217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148</v>
      </c>
      <c r="C618" s="16" t="s">
        <v>179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148</v>
      </c>
      <c r="C619" s="34" t="s">
        <v>180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148</v>
      </c>
      <c r="C620" s="16" t="s">
        <v>181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148</v>
      </c>
      <c r="C621" s="34" t="s">
        <v>182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141</v>
      </c>
      <c r="C622" s="16" t="s">
        <v>153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141</v>
      </c>
      <c r="C623" s="34" t="s">
        <v>154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148</v>
      </c>
      <c r="C624" s="16" t="s">
        <v>183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141</v>
      </c>
      <c r="C625" s="34" t="s">
        <v>184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141</v>
      </c>
      <c r="C626" s="16" t="s">
        <v>185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141</v>
      </c>
      <c r="C627" s="34" t="s">
        <v>186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141</v>
      </c>
      <c r="C628" s="16" t="s">
        <v>187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141</v>
      </c>
      <c r="C629" s="34" t="s">
        <v>142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141</v>
      </c>
      <c r="C630" s="16" t="s">
        <v>143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141</v>
      </c>
      <c r="C631" s="34" t="s">
        <v>144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141</v>
      </c>
      <c r="C632" s="16" t="s">
        <v>145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141</v>
      </c>
      <c r="C633" s="34" t="s">
        <v>146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141</v>
      </c>
      <c r="C634" s="16" t="s">
        <v>147</v>
      </c>
      <c r="D634" s="38" t="n">
        <v>4</v>
      </c>
      <c r="E634" s="39" t="n">
        <v>23138.39</v>
      </c>
      <c r="F634" s="22" t="n">
        <f aca="false">IFERROR(D634*E634,0)</f>
        <v>92553.56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148</v>
      </c>
      <c r="C635" s="34" t="s">
        <v>188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141</v>
      </c>
      <c r="C636" s="16" t="s">
        <v>152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141</v>
      </c>
      <c r="C637" s="34" t="s">
        <v>189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141</v>
      </c>
      <c r="C638" s="16" t="s">
        <v>153</v>
      </c>
      <c r="D638" s="38" t="n">
        <f aca="false">D494</f>
        <v>2</v>
      </c>
      <c r="E638" s="39" t="n">
        <v>9.85</v>
      </c>
      <c r="F638" s="22" t="n">
        <f aca="false">IFERROR(D638*E638,0)</f>
        <v>19.7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141</v>
      </c>
      <c r="C639" s="34" t="s">
        <v>154</v>
      </c>
      <c r="D639" s="35" t="n">
        <f aca="false">D494</f>
        <v>2</v>
      </c>
      <c r="E639" s="36" t="n">
        <v>2.04</v>
      </c>
      <c r="F639" s="37" t="n">
        <f aca="false">IFERROR(D639*E639,0)</f>
        <v>4.08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141</v>
      </c>
      <c r="C640" s="16" t="s">
        <v>145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141</v>
      </c>
      <c r="C641" s="34" t="s">
        <v>142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141</v>
      </c>
      <c r="C642" s="16" t="s">
        <v>143</v>
      </c>
      <c r="D642" s="38" t="n">
        <v>5</v>
      </c>
      <c r="E642" s="39" t="n">
        <v>63.95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141</v>
      </c>
      <c r="C643" s="34" t="s">
        <v>144</v>
      </c>
      <c r="D643" s="35" t="n">
        <v>1</v>
      </c>
      <c r="E643" s="36" t="n">
        <v>1698.95</v>
      </c>
      <c r="F643" s="37" t="n">
        <f aca="false">IFERROR(D643*E643,0)</f>
        <v>1698.95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141</v>
      </c>
      <c r="C644" s="16" t="s">
        <v>145</v>
      </c>
      <c r="D644" s="38" t="n">
        <v>1</v>
      </c>
      <c r="E644" s="39" t="n">
        <v>4.85</v>
      </c>
      <c r="F644" s="22" t="n">
        <f aca="false">IFERROR(D644*E644,0)</f>
        <v>4.85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141</v>
      </c>
      <c r="C645" s="34" t="s">
        <v>146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141</v>
      </c>
      <c r="C646" s="16" t="s">
        <v>147</v>
      </c>
      <c r="D646" s="38" t="n">
        <v>4</v>
      </c>
      <c r="E646" s="39" t="n">
        <v>13442.74</v>
      </c>
      <c r="F646" s="22" t="n">
        <f aca="false">IFERROR(D646*E646,0)</f>
        <v>53770.96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148</v>
      </c>
      <c r="C647" s="34" t="s">
        <v>190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148</v>
      </c>
      <c r="C648" s="16" t="s">
        <v>149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148</v>
      </c>
      <c r="C649" s="34" t="s">
        <v>150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148</v>
      </c>
      <c r="C650" s="16" t="s">
        <v>169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141</v>
      </c>
      <c r="C651" s="34" t="s">
        <v>152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141</v>
      </c>
      <c r="C652" s="16" t="s">
        <v>153</v>
      </c>
      <c r="D652" s="38" t="n">
        <f aca="false">D506</f>
        <v>5</v>
      </c>
      <c r="E652" s="39" t="n">
        <v>9.85</v>
      </c>
      <c r="F652" s="22" t="n">
        <f aca="false">IFERROR(D652*E652,0)</f>
        <v>49.25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141</v>
      </c>
      <c r="C653" s="34" t="s">
        <v>154</v>
      </c>
      <c r="D653" s="35" t="n">
        <f aca="false">D506</f>
        <v>5</v>
      </c>
      <c r="E653" s="36" t="n">
        <v>2.04</v>
      </c>
      <c r="F653" s="37" t="n">
        <f aca="false">IFERROR(D653*E653,0)</f>
        <v>10.2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148</v>
      </c>
      <c r="C654" s="16" t="s">
        <v>191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141</v>
      </c>
      <c r="C655" s="34" t="s">
        <v>142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141</v>
      </c>
      <c r="C656" s="16" t="s">
        <v>143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141</v>
      </c>
      <c r="C657" s="34" t="s">
        <v>144</v>
      </c>
      <c r="D657" s="35" t="n">
        <v>1</v>
      </c>
      <c r="E657" s="36" t="n">
        <v>1698.95</v>
      </c>
      <c r="F657" s="37" t="n">
        <f aca="false">IFERROR(D657*E657,0)</f>
        <v>1698.95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141</v>
      </c>
      <c r="C658" s="16" t="s">
        <v>145</v>
      </c>
      <c r="D658" s="38" t="n">
        <v>1</v>
      </c>
      <c r="E658" s="39" t="n">
        <v>4.85</v>
      </c>
      <c r="F658" s="22" t="n">
        <f aca="false">IFERROR(D658*E658,0)</f>
        <v>4.85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141</v>
      </c>
      <c r="C659" s="34" t="s">
        <v>146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141</v>
      </c>
      <c r="C660" s="16" t="s">
        <v>147</v>
      </c>
      <c r="D660" s="38" t="n">
        <v>1</v>
      </c>
      <c r="E660" s="39" t="n">
        <v>18000</v>
      </c>
      <c r="F660" s="22" t="n">
        <f aca="false">IFERROR(D660*E660,0)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141</v>
      </c>
      <c r="C661" s="34" t="s">
        <v>153</v>
      </c>
      <c r="D661" s="35" t="n">
        <f aca="false">D520</f>
        <v>0</v>
      </c>
      <c r="E661" s="36" t="n">
        <v>9.85</v>
      </c>
      <c r="F661" s="37" t="n">
        <f aca="false">IFERROR(D661*E661,0)</f>
        <v>0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141</v>
      </c>
      <c r="C662" s="16" t="s">
        <v>154</v>
      </c>
      <c r="D662" s="38" t="n">
        <f aca="false">D520</f>
        <v>0</v>
      </c>
      <c r="E662" s="39" t="n">
        <v>2.04</v>
      </c>
      <c r="F662" s="22" t="n">
        <f aca="false">IFERROR(D662*E662,0)</f>
        <v>0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141</v>
      </c>
      <c r="C663" s="34" t="s">
        <v>142</v>
      </c>
      <c r="D663" s="35" t="n">
        <v>1</v>
      </c>
      <c r="E663" s="36" t="n">
        <v>7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141</v>
      </c>
      <c r="C664" s="16" t="s">
        <v>143</v>
      </c>
      <c r="D664" s="38" t="n">
        <v>3</v>
      </c>
      <c r="E664" s="39" t="n">
        <v>53.8</v>
      </c>
      <c r="F664" s="22" t="n">
        <f aca="false">IFERROR(D664*E664,0)</f>
        <v>161.4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141</v>
      </c>
      <c r="C665" s="34" t="s">
        <v>144</v>
      </c>
      <c r="D665" s="35" t="n">
        <v>1</v>
      </c>
      <c r="E665" s="36" t="n">
        <v>1698.95</v>
      </c>
      <c r="F665" s="37" t="n">
        <f aca="false">IFERROR(D665*E665,0)</f>
        <v>1698.95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141</v>
      </c>
      <c r="C666" s="16" t="s">
        <v>145</v>
      </c>
      <c r="D666" s="38" t="n">
        <v>1</v>
      </c>
      <c r="E666" s="39" t="n">
        <v>4.85</v>
      </c>
      <c r="F666" s="22" t="n">
        <f aca="false">IFERROR(D666*E666,0)</f>
        <v>4.85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141</v>
      </c>
      <c r="C667" s="34" t="s">
        <v>146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141</v>
      </c>
      <c r="C668" s="16" t="s">
        <v>147</v>
      </c>
      <c r="D668" s="38" t="n">
        <v>7</v>
      </c>
      <c r="E668" s="39" t="n">
        <v>41967.61</v>
      </c>
      <c r="F668" s="22" t="n">
        <f aca="false">IFERROR(D668*E668,0)</f>
        <v>293773.27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148</v>
      </c>
      <c r="C669" s="34" t="s">
        <v>218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148</v>
      </c>
      <c r="C670" s="16" t="s">
        <v>192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148</v>
      </c>
      <c r="C671" s="34" t="s">
        <v>149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148</v>
      </c>
      <c r="C672" s="16" t="s">
        <v>150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141</v>
      </c>
      <c r="C673" s="34" t="s">
        <v>152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141</v>
      </c>
      <c r="C674" s="16" t="s">
        <v>189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141</v>
      </c>
      <c r="C675" s="34" t="s">
        <v>153</v>
      </c>
      <c r="D675" s="35" t="n">
        <f aca="false">D528</f>
        <v>0</v>
      </c>
      <c r="E675" s="36" t="n">
        <v>9.85</v>
      </c>
      <c r="F675" s="37" t="n">
        <f aca="false">IFERROR(D675*E675,0)</f>
        <v>0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141</v>
      </c>
      <c r="C676" s="16" t="s">
        <v>154</v>
      </c>
      <c r="D676" s="38" t="n">
        <f aca="false">D528</f>
        <v>0</v>
      </c>
      <c r="E676" s="39" t="n">
        <v>2.04</v>
      </c>
      <c r="F676" s="22" t="n">
        <f aca="false">IFERROR(D676*E676,0)</f>
        <v>0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141</v>
      </c>
      <c r="C677" s="34" t="s">
        <v>142</v>
      </c>
      <c r="D677" s="35" t="n">
        <v>1</v>
      </c>
      <c r="E677" s="36" t="n">
        <v>10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141</v>
      </c>
      <c r="C678" s="16" t="s">
        <v>143</v>
      </c>
      <c r="D678" s="38" t="n">
        <v>6</v>
      </c>
      <c r="E678" s="39" t="n">
        <v>60.8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141</v>
      </c>
      <c r="C679" s="34" t="s">
        <v>144</v>
      </c>
      <c r="D679" s="35" t="n">
        <v>1</v>
      </c>
      <c r="E679" s="36" t="n">
        <v>1698.95</v>
      </c>
      <c r="F679" s="37" t="n">
        <f aca="false">IFERROR(D679*E679,0)</f>
        <v>1698.95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141</v>
      </c>
      <c r="C680" s="16" t="s">
        <v>145</v>
      </c>
      <c r="D680" s="38" t="n">
        <v>1</v>
      </c>
      <c r="E680" s="39" t="n">
        <v>4.85</v>
      </c>
      <c r="F680" s="22" t="n">
        <f aca="false">IFERROR(D680*E680,0)</f>
        <v>4.85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141</v>
      </c>
      <c r="C681" s="34" t="s">
        <v>146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141</v>
      </c>
      <c r="C682" s="16" t="s">
        <v>147</v>
      </c>
      <c r="D682" s="38" t="n">
        <v>3</v>
      </c>
      <c r="E682" s="39" t="n">
        <v>40167.02</v>
      </c>
      <c r="F682" s="22" t="n">
        <f aca="false">IFERROR(D682*E682,0)</f>
        <v>120501.06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148</v>
      </c>
      <c r="C683" s="34" t="s">
        <v>193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148</v>
      </c>
      <c r="C684" s="16" t="s">
        <v>149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148</v>
      </c>
      <c r="C685" s="34" t="s">
        <v>150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141</v>
      </c>
      <c r="C686" s="16" t="s">
        <v>152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141</v>
      </c>
      <c r="C687" s="34" t="s">
        <v>153</v>
      </c>
      <c r="D687" s="35" t="n">
        <f aca="false">D542</f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141</v>
      </c>
      <c r="C688" s="16" t="s">
        <v>154</v>
      </c>
      <c r="D688" s="38" t="n">
        <f aca="false">D542</f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141</v>
      </c>
      <c r="C689" s="34" t="s">
        <v>142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141</v>
      </c>
      <c r="C690" s="16" t="s">
        <v>143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148</v>
      </c>
      <c r="C691" s="34" t="s">
        <v>172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141</v>
      </c>
      <c r="C692" s="16" t="s">
        <v>144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141</v>
      </c>
      <c r="C693" s="34" t="s">
        <v>145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141</v>
      </c>
      <c r="C694" s="16" t="s">
        <v>146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141</v>
      </c>
      <c r="C695" s="34" t="s">
        <v>147</v>
      </c>
      <c r="D695" s="35" t="n">
        <v>9</v>
      </c>
      <c r="E695" s="36" t="n">
        <v>79670.85</v>
      </c>
      <c r="F695" s="37" t="n">
        <f aca="false">IFERROR(D695*E695,0)</f>
        <v>717037.65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148</v>
      </c>
      <c r="C696" s="16" t="s">
        <v>149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148</v>
      </c>
      <c r="C697" s="34" t="s">
        <v>150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148</v>
      </c>
      <c r="C698" s="16" t="s">
        <v>188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148</v>
      </c>
      <c r="C699" s="34" t="s">
        <v>169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141</v>
      </c>
      <c r="C700" s="16" t="s">
        <v>152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148</v>
      </c>
      <c r="C701" s="34" t="s">
        <v>194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141</v>
      </c>
      <c r="C702" s="16" t="s">
        <v>189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141</v>
      </c>
      <c r="C703" s="34" t="s">
        <v>153</v>
      </c>
      <c r="D703" s="35" t="n">
        <f aca="false">D555</f>
        <v>4</v>
      </c>
      <c r="E703" s="36" t="n">
        <v>9.85</v>
      </c>
      <c r="F703" s="37" t="n">
        <f aca="false">IFERROR(D703*E703,0)</f>
        <v>39.4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141</v>
      </c>
      <c r="C704" s="16" t="s">
        <v>154</v>
      </c>
      <c r="D704" s="38" t="n">
        <f aca="false">D555</f>
        <v>4</v>
      </c>
      <c r="E704" s="39" t="n">
        <v>2.04</v>
      </c>
      <c r="F704" s="22" t="n">
        <f aca="false">IFERROR(D704*E704,0)</f>
        <v>8.16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141</v>
      </c>
      <c r="C705" s="34" t="s">
        <v>145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141</v>
      </c>
      <c r="C706" s="16" t="s">
        <v>142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141</v>
      </c>
      <c r="C707" s="34" t="s">
        <v>143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141</v>
      </c>
      <c r="C708" s="16" t="s">
        <v>144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141</v>
      </c>
      <c r="C709" s="34" t="s">
        <v>145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141</v>
      </c>
      <c r="C710" s="16" t="s">
        <v>146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141</v>
      </c>
      <c r="C711" s="34" t="s">
        <v>147</v>
      </c>
      <c r="D711" s="35" t="n">
        <v>12</v>
      </c>
      <c r="E711" s="36" t="n">
        <v>60103.48</v>
      </c>
      <c r="F711" s="37" t="n">
        <f aca="false">IFERROR(D711*E711,0)</f>
        <v>721241.76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148</v>
      </c>
      <c r="C712" s="16" t="s">
        <v>198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148</v>
      </c>
      <c r="C713" s="34" t="s">
        <v>149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148</v>
      </c>
      <c r="C714" s="16" t="s">
        <v>150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148</v>
      </c>
      <c r="C715" s="34" t="s">
        <v>188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148</v>
      </c>
      <c r="C716" s="16" t="s">
        <v>169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148</v>
      </c>
      <c r="C717" s="34" t="s">
        <v>151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141</v>
      </c>
      <c r="C718" s="16" t="s">
        <v>152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141</v>
      </c>
      <c r="C719" s="34" t="s">
        <v>189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141</v>
      </c>
      <c r="C720" s="16" t="s">
        <v>153</v>
      </c>
      <c r="D720" s="38" t="n">
        <f aca="false">D571</f>
        <v>1</v>
      </c>
      <c r="E720" s="39" t="n">
        <v>9.85</v>
      </c>
      <c r="F720" s="22" t="n">
        <f aca="false">IFERROR(D720*E720,0)</f>
        <v>9.85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141</v>
      </c>
      <c r="C721" s="34" t="s">
        <v>154</v>
      </c>
      <c r="D721" s="35" t="n">
        <f aca="false">D571</f>
        <v>1</v>
      </c>
      <c r="E721" s="36" t="n">
        <v>2.04</v>
      </c>
      <c r="F721" s="37" t="n">
        <f aca="false">IFERROR(D721*E721,0)</f>
        <v>2.04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141</v>
      </c>
      <c r="C722" s="16" t="s">
        <v>145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141</v>
      </c>
      <c r="C723" s="34" t="s">
        <v>142</v>
      </c>
      <c r="D723" s="35" t="n">
        <v>1</v>
      </c>
      <c r="E723" s="36" t="n">
        <v>22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141</v>
      </c>
      <c r="C724" s="16" t="s">
        <v>143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141</v>
      </c>
      <c r="C725" s="34" t="s">
        <v>144</v>
      </c>
      <c r="D725" s="35" t="n">
        <v>1</v>
      </c>
      <c r="E725" s="36" t="n">
        <v>1698.95</v>
      </c>
      <c r="F725" s="37" t="n">
        <f aca="false">IFERROR(D725*E725,0)</f>
        <v>1698.95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141</v>
      </c>
      <c r="C726" s="16" t="s">
        <v>145</v>
      </c>
      <c r="D726" s="38" t="n">
        <v>1</v>
      </c>
      <c r="E726" s="39" t="n">
        <v>4.85</v>
      </c>
      <c r="F726" s="22" t="n">
        <f aca="false">IFERROR(D726*E726,0)</f>
        <v>4.85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141</v>
      </c>
      <c r="C727" s="34" t="s">
        <v>146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141</v>
      </c>
      <c r="C728" s="16" t="s">
        <v>147</v>
      </c>
      <c r="D728" s="38" t="n">
        <v>7</v>
      </c>
      <c r="E728" s="39" t="n">
        <v>27587.18</v>
      </c>
      <c r="F728" s="22" t="n">
        <f aca="false">IFERROR(D728*E728,0)</f>
        <v>193110.26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141</v>
      </c>
      <c r="C729" s="34" t="s">
        <v>195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148</v>
      </c>
      <c r="C730" s="16" t="s">
        <v>149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148</v>
      </c>
      <c r="C731" s="34" t="s">
        <v>150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141</v>
      </c>
      <c r="C732" s="16" t="s">
        <v>152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141</v>
      </c>
      <c r="C733" s="34" t="s">
        <v>189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141</v>
      </c>
      <c r="C734" s="16" t="s">
        <v>153</v>
      </c>
      <c r="D734" s="38" t="n">
        <f aca="false">D588</f>
        <v>4</v>
      </c>
      <c r="E734" s="39" t="n">
        <v>9.85</v>
      </c>
      <c r="F734" s="22" t="n">
        <f aca="false">IFERROR(D734*E734,0)</f>
        <v>39.4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141</v>
      </c>
      <c r="C735" s="34" t="s">
        <v>154</v>
      </c>
      <c r="D735" s="35" t="n">
        <f aca="false">D588</f>
        <v>4</v>
      </c>
      <c r="E735" s="36" t="n">
        <v>2.04</v>
      </c>
      <c r="F735" s="37" t="n">
        <f aca="false">IFERROR(D735*E735,0)</f>
        <v>8.16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141</v>
      </c>
      <c r="C736" s="16" t="s">
        <v>142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141</v>
      </c>
      <c r="C737" s="34" t="s">
        <v>143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141</v>
      </c>
      <c r="C738" s="16" t="s">
        <v>144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141</v>
      </c>
      <c r="C739" s="34" t="s">
        <v>146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141</v>
      </c>
      <c r="C740" s="16" t="s">
        <v>147</v>
      </c>
      <c r="D740" s="38" t="n">
        <v>15</v>
      </c>
      <c r="E740" s="39" t="n">
        <v>89902.78</v>
      </c>
      <c r="F740" s="22" t="n">
        <f aca="false">IFERROR(D740*E740,0)</f>
        <v>1348541.7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148</v>
      </c>
      <c r="C741" s="34" t="s">
        <v>194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148</v>
      </c>
      <c r="C742" s="16" t="s">
        <v>196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148</v>
      </c>
      <c r="C743" s="34" t="s">
        <v>149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148</v>
      </c>
      <c r="C744" s="16" t="s">
        <v>150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148</v>
      </c>
      <c r="C745" s="34" t="s">
        <v>197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148</v>
      </c>
      <c r="C746" s="16" t="s">
        <v>188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141</v>
      </c>
      <c r="C747" s="34" t="s">
        <v>152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141</v>
      </c>
      <c r="C748" s="16" t="s">
        <v>189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141</v>
      </c>
      <c r="C749" s="34" t="s">
        <v>153</v>
      </c>
      <c r="D749" s="35" t="n">
        <f aca="false">D600</f>
        <v>11</v>
      </c>
      <c r="E749" s="36" t="n">
        <v>9.85</v>
      </c>
      <c r="F749" s="37" t="n">
        <f aca="false">IFERROR(D749*E749,0)</f>
        <v>108.35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141</v>
      </c>
      <c r="C750" s="16" t="s">
        <v>154</v>
      </c>
      <c r="D750" s="38" t="n">
        <f aca="false">D600</f>
        <v>11</v>
      </c>
      <c r="E750" s="39" t="n">
        <v>2.04</v>
      </c>
      <c r="F750" s="22" t="n">
        <f aca="false">IFERROR(D750*E750,0)</f>
        <v>22.44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141</v>
      </c>
      <c r="C751" s="34" t="s">
        <v>142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141</v>
      </c>
      <c r="C752" s="16" t="s">
        <v>143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141</v>
      </c>
      <c r="C753" s="34" t="s">
        <v>146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141</v>
      </c>
      <c r="C754" s="16" t="s">
        <v>147</v>
      </c>
      <c r="D754" s="38" t="n">
        <v>12</v>
      </c>
      <c r="E754" s="39" t="n">
        <v>112868.09</v>
      </c>
      <c r="F754" s="22" t="n">
        <f aca="false">IFERROR(D754*E754,0)</f>
        <v>1354417.08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148</v>
      </c>
      <c r="C755" s="34" t="s">
        <v>198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148</v>
      </c>
      <c r="C756" s="16" t="s">
        <v>197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141</v>
      </c>
      <c r="C757" s="34" t="s">
        <v>152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148</v>
      </c>
      <c r="C758" s="16" t="s">
        <v>194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141</v>
      </c>
      <c r="C759" s="34" t="s">
        <v>153</v>
      </c>
      <c r="D759" s="35" t="n">
        <f aca="false">D614</f>
        <v>10</v>
      </c>
      <c r="E759" s="36" t="n">
        <v>9.85</v>
      </c>
      <c r="F759" s="37" t="n">
        <f aca="false">IFERROR(D759*E759,0)</f>
        <v>98.5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141</v>
      </c>
      <c r="C760" s="16" t="s">
        <v>154</v>
      </c>
      <c r="D760" s="38" t="n">
        <f aca="false">D614</f>
        <v>10</v>
      </c>
      <c r="E760" s="39" t="n">
        <v>2.04</v>
      </c>
      <c r="F760" s="22" t="n">
        <f aca="false">IFERROR(D760*E760,0)</f>
        <v>20.4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141</v>
      </c>
      <c r="C761" s="34" t="s">
        <v>142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141</v>
      </c>
      <c r="C762" s="16" t="s">
        <v>143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141</v>
      </c>
      <c r="C763" s="34" t="s">
        <v>144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141</v>
      </c>
      <c r="C764" s="16" t="s">
        <v>145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141</v>
      </c>
      <c r="C765" s="34" t="s">
        <v>146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141</v>
      </c>
      <c r="C766" s="16" t="s">
        <v>147</v>
      </c>
      <c r="D766" s="38" t="n">
        <v>5</v>
      </c>
      <c r="E766" s="39" t="n">
        <v>61181.18</v>
      </c>
      <c r="F766" s="22" t="n">
        <f aca="false">IFERROR(D766*E766,0)</f>
        <v>305905.9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141</v>
      </c>
      <c r="C767" s="34" t="s">
        <v>152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148</v>
      </c>
      <c r="C768" s="16" t="s">
        <v>194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141</v>
      </c>
      <c r="C769" s="34" t="s">
        <v>153</v>
      </c>
      <c r="D769" s="35" t="n">
        <f aca="false">D626</f>
        <v>1</v>
      </c>
      <c r="E769" s="36" t="n">
        <v>9.85</v>
      </c>
      <c r="F769" s="37" t="n">
        <f aca="false">IFERROR(D769*E769,0)</f>
        <v>9.85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141</v>
      </c>
      <c r="C770" s="16" t="s">
        <v>154</v>
      </c>
      <c r="D770" s="38" t="n">
        <f aca="false">D626</f>
        <v>1</v>
      </c>
      <c r="E770" s="39" t="n">
        <v>2.04</v>
      </c>
      <c r="F770" s="22" t="n">
        <f aca="false">IFERROR(D770*E770,0)</f>
        <v>2.04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141</v>
      </c>
      <c r="C771" s="34" t="s">
        <v>142</v>
      </c>
      <c r="D771" s="35" t="n">
        <v>3</v>
      </c>
      <c r="E771" s="36" t="n">
        <v>10.74</v>
      </c>
      <c r="F771" s="37" t="n">
        <f aca="false">IFERROR(D771*E771,0)</f>
        <v>32.22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141</v>
      </c>
      <c r="C772" s="16" t="s">
        <v>143</v>
      </c>
      <c r="D772" s="38" t="n">
        <v>44</v>
      </c>
      <c r="E772" s="39" t="n">
        <v>1241.1</v>
      </c>
      <c r="F772" s="22" t="n">
        <f aca="false">IFERROR(D772*E772,0)</f>
        <v>54608.4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141</v>
      </c>
      <c r="C773" s="34" t="s">
        <v>144</v>
      </c>
      <c r="D773" s="35" t="n">
        <v>1</v>
      </c>
      <c r="E773" s="36" t="n">
        <v>1698.95</v>
      </c>
      <c r="F773" s="37" t="n">
        <f aca="false">IFERROR(D773*E773,0)</f>
        <v>1698.95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141</v>
      </c>
      <c r="C774" s="16" t="s">
        <v>145</v>
      </c>
      <c r="D774" s="38" t="n">
        <v>1</v>
      </c>
      <c r="E774" s="39" t="n">
        <v>4.85</v>
      </c>
      <c r="F774" s="22" t="n">
        <f aca="false">IFERROR(D774*E774,0)</f>
        <v>4.85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141</v>
      </c>
      <c r="C775" s="34" t="s">
        <v>146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141</v>
      </c>
      <c r="C776" s="16" t="s">
        <v>147</v>
      </c>
      <c r="D776" s="38" t="n">
        <v>45</v>
      </c>
      <c r="E776" s="39" t="n">
        <v>159358.72</v>
      </c>
      <c r="F776" s="22" t="n">
        <f aca="false">IFERROR(D776*E776,0)</f>
        <v>7171142.4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141</v>
      </c>
      <c r="C777" s="34" t="s">
        <v>199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148</v>
      </c>
      <c r="C778" s="16" t="s">
        <v>149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148</v>
      </c>
      <c r="C779" s="34" t="s">
        <v>150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148</v>
      </c>
      <c r="C780" s="16" t="s">
        <v>169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141</v>
      </c>
      <c r="C781" s="34" t="s">
        <v>152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141</v>
      </c>
      <c r="C782" s="16" t="s">
        <v>170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141</v>
      </c>
      <c r="C783" s="34" t="s">
        <v>171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141</v>
      </c>
      <c r="C784" s="16" t="s">
        <v>153</v>
      </c>
      <c r="D784" s="38" t="n">
        <f aca="false">D636</f>
        <v>4</v>
      </c>
      <c r="E784" s="39" t="n">
        <v>9.85</v>
      </c>
      <c r="F784" s="22" t="n">
        <f aca="false">IFERROR(D784*E784,0)</f>
        <v>39.4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141</v>
      </c>
      <c r="C785" s="34" t="s">
        <v>154</v>
      </c>
      <c r="D785" s="35" t="n">
        <f aca="false">D636</f>
        <v>4</v>
      </c>
      <c r="E785" s="36" t="n">
        <v>2.04</v>
      </c>
      <c r="F785" s="37" t="n">
        <f aca="false">IFERROR(D785*E785,0)</f>
        <v>8.16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141</v>
      </c>
      <c r="C786" s="16" t="s">
        <v>142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141</v>
      </c>
      <c r="C787" s="34" t="s">
        <v>143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141</v>
      </c>
      <c r="C788" s="16" t="s">
        <v>146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141</v>
      </c>
      <c r="C789" s="34" t="s">
        <v>147</v>
      </c>
      <c r="D789" s="35" t="n">
        <v>23</v>
      </c>
      <c r="E789" s="36" t="n">
        <v>149057.04</v>
      </c>
      <c r="F789" s="37" t="n">
        <f aca="false">IFERROR(D789*E789,0)</f>
        <v>3428311.92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148</v>
      </c>
      <c r="C790" s="16" t="s">
        <v>198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148</v>
      </c>
      <c r="C791" s="34" t="s">
        <v>197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148</v>
      </c>
      <c r="C792" s="16" t="s">
        <v>169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141</v>
      </c>
      <c r="C793" s="34" t="s">
        <v>152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148</v>
      </c>
      <c r="C794" s="16" t="s">
        <v>194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141</v>
      </c>
      <c r="C795" s="34" t="s">
        <v>153</v>
      </c>
      <c r="D795" s="35" t="n">
        <f aca="false">D649</f>
        <v>1</v>
      </c>
      <c r="E795" s="36" t="n">
        <v>9.85</v>
      </c>
      <c r="F795" s="37" t="n">
        <f aca="false">IFERROR(D795*E795,0)</f>
        <v>9.85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141</v>
      </c>
      <c r="C796" s="16" t="s">
        <v>154</v>
      </c>
      <c r="D796" s="38" t="n">
        <f aca="false">D649</f>
        <v>1</v>
      </c>
      <c r="E796" s="39" t="n">
        <v>2.04</v>
      </c>
      <c r="F796" s="22" t="n">
        <f aca="false">IFERROR(D796*E796,0)</f>
        <v>2.04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141</v>
      </c>
      <c r="C797" s="34" t="s">
        <v>142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141</v>
      </c>
      <c r="C798" s="16" t="s">
        <v>143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141</v>
      </c>
      <c r="C799" s="34" t="s">
        <v>200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141</v>
      </c>
      <c r="C800" s="16" t="s">
        <v>144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141</v>
      </c>
      <c r="C801" s="34" t="s">
        <v>146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141</v>
      </c>
      <c r="C802" s="16" t="s">
        <v>147</v>
      </c>
      <c r="D802" s="38" t="n">
        <v>4</v>
      </c>
      <c r="E802" s="39" t="n">
        <v>26444.83</v>
      </c>
      <c r="F802" s="22" t="n">
        <f aca="false">IFERROR(D802*E802,0)</f>
        <v>105779.32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148</v>
      </c>
      <c r="C803" s="34" t="s">
        <v>194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148</v>
      </c>
      <c r="C804" s="16" t="s">
        <v>196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148</v>
      </c>
      <c r="C805" s="34" t="s">
        <v>188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141</v>
      </c>
      <c r="C806" s="16" t="s">
        <v>153</v>
      </c>
      <c r="D806" s="38" t="n">
        <f aca="false">D662</f>
        <v>0</v>
      </c>
      <c r="E806" s="39" t="n">
        <v>9.85</v>
      </c>
      <c r="F806" s="22" t="n">
        <f aca="false">IFERROR(D806*E806,0)</f>
        <v>0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141</v>
      </c>
      <c r="C807" s="34" t="s">
        <v>154</v>
      </c>
      <c r="D807" s="35" t="n">
        <f aca="false">D662</f>
        <v>0</v>
      </c>
      <c r="E807" s="36" t="n">
        <v>2.04</v>
      </c>
      <c r="F807" s="37" t="n">
        <f aca="false">IFERROR(D807*E807,0)</f>
        <v>0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141</v>
      </c>
      <c r="C808" s="16" t="s">
        <v>142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141</v>
      </c>
      <c r="C809" s="34" t="s">
        <v>143</v>
      </c>
      <c r="D809" s="35" t="n">
        <v>3</v>
      </c>
      <c r="E809" s="36" t="n">
        <v>52.2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141</v>
      </c>
      <c r="C810" s="16" t="s">
        <v>144</v>
      </c>
      <c r="D810" s="38" t="n">
        <v>1</v>
      </c>
      <c r="E810" s="39" t="n">
        <v>1698.95</v>
      </c>
      <c r="F810" s="22" t="n">
        <f aca="false">IFERROR(D810*E810,0)</f>
        <v>1698.95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141</v>
      </c>
      <c r="C811" s="34" t="s">
        <v>145</v>
      </c>
      <c r="D811" s="35" t="n">
        <v>1</v>
      </c>
      <c r="E811" s="36" t="n">
        <v>4.85</v>
      </c>
      <c r="F811" s="37" t="n">
        <f aca="false">IFERROR(D811*E811,0)</f>
        <v>4.85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141</v>
      </c>
      <c r="C812" s="16" t="s">
        <v>146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141</v>
      </c>
      <c r="C813" s="34" t="s">
        <v>147</v>
      </c>
      <c r="D813" s="35" t="n">
        <v>4</v>
      </c>
      <c r="E813" s="36" t="n">
        <v>26729.08</v>
      </c>
      <c r="F813" s="37" t="n">
        <f aca="false">IFERROR(D813*E813,0)</f>
        <v>106916.32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148</v>
      </c>
      <c r="C814" s="16" t="s">
        <v>201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148</v>
      </c>
      <c r="C815" s="34" t="s">
        <v>202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141</v>
      </c>
      <c r="C816" s="16" t="s">
        <v>203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148</v>
      </c>
      <c r="C817" s="34" t="s">
        <v>204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141</v>
      </c>
      <c r="C818" s="16" t="s">
        <v>205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141</v>
      </c>
      <c r="C819" s="34" t="s">
        <v>206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141</v>
      </c>
      <c r="C820" s="16" t="s">
        <v>152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141</v>
      </c>
      <c r="C821" s="34" t="s">
        <v>189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141</v>
      </c>
      <c r="C822" s="16" t="s">
        <v>153</v>
      </c>
      <c r="D822" s="38" t="n">
        <f aca="false">D673</f>
        <v>7</v>
      </c>
      <c r="E822" s="39" t="n">
        <v>9.85</v>
      </c>
      <c r="F822" s="22" t="n">
        <f aca="false">IFERROR(D822*E822,0)</f>
        <v>68.95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141</v>
      </c>
      <c r="C823" s="34" t="s">
        <v>154</v>
      </c>
      <c r="D823" s="35" t="n">
        <f aca="false">D673</f>
        <v>7</v>
      </c>
      <c r="E823" s="36" t="n">
        <v>2.04</v>
      </c>
      <c r="F823" s="37" t="n">
        <f aca="false">IFERROR(D823*E823,0)</f>
        <v>14.28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141</v>
      </c>
      <c r="C824" s="16" t="s">
        <v>142</v>
      </c>
      <c r="D824" s="38" t="n">
        <v>3</v>
      </c>
      <c r="E824" s="39" t="n">
        <v>10.74</v>
      </c>
      <c r="F824" s="22" t="n">
        <f aca="false">IFERROR(D824*E824,0)</f>
        <v>32.22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141</v>
      </c>
      <c r="C825" s="34" t="s">
        <v>143</v>
      </c>
      <c r="D825" s="35" t="n">
        <v>44</v>
      </c>
      <c r="E825" s="36" t="n">
        <v>1241.1</v>
      </c>
      <c r="F825" s="37" t="n">
        <f aca="false">IFERROR(D825*E825,0)</f>
        <v>54608.4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141</v>
      </c>
      <c r="C826" s="16" t="s">
        <v>144</v>
      </c>
      <c r="D826" s="38" t="n">
        <v>1</v>
      </c>
      <c r="E826" s="39" t="n">
        <v>1698.95</v>
      </c>
      <c r="F826" s="22" t="n">
        <f aca="false">IFERROR(D826*E826,0)</f>
        <v>1698.95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141</v>
      </c>
      <c r="C827" s="34" t="s">
        <v>145</v>
      </c>
      <c r="D827" s="35" t="n">
        <v>1</v>
      </c>
      <c r="E827" s="36" t="n">
        <v>4.85</v>
      </c>
      <c r="F827" s="37" t="n">
        <f aca="false">IFERROR(D827*E827,0)</f>
        <v>4.85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141</v>
      </c>
      <c r="C828" s="16" t="s">
        <v>146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141</v>
      </c>
      <c r="C829" s="34" t="s">
        <v>147</v>
      </c>
      <c r="D829" s="35" t="n">
        <v>14</v>
      </c>
      <c r="E829" s="36" t="n">
        <v>44761.3</v>
      </c>
      <c r="F829" s="37" t="n">
        <f aca="false">IFERROR(D829*E829,0)</f>
        <v>626658.2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148</v>
      </c>
      <c r="C830" s="16" t="s">
        <v>149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148</v>
      </c>
      <c r="C831" s="34" t="s">
        <v>150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148</v>
      </c>
      <c r="C832" s="16" t="s">
        <v>169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141</v>
      </c>
      <c r="C833" s="34" t="s">
        <v>152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141</v>
      </c>
      <c r="C834" s="16" t="s">
        <v>170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141</v>
      </c>
      <c r="C835" s="34" t="s">
        <v>171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141</v>
      </c>
      <c r="C836" s="16" t="s">
        <v>153</v>
      </c>
      <c r="D836" s="38" t="n">
        <f aca="false">D689</f>
        <v>2</v>
      </c>
      <c r="E836" s="39" t="n">
        <v>9.85</v>
      </c>
      <c r="F836" s="22" t="n">
        <f aca="false">IFERROR(D836*E836,0)</f>
        <v>19.7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141</v>
      </c>
      <c r="C837" s="34" t="s">
        <v>154</v>
      </c>
      <c r="D837" s="35" t="n">
        <f aca="false">D689</f>
        <v>2</v>
      </c>
      <c r="E837" s="36" t="n">
        <v>2.04</v>
      </c>
      <c r="F837" s="37" t="n">
        <f aca="false">IFERROR(D837*E837,0)</f>
        <v>4.08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141</v>
      </c>
      <c r="C838" s="16" t="s">
        <v>142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141</v>
      </c>
      <c r="C839" s="34" t="s">
        <v>143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141</v>
      </c>
      <c r="C840" s="16" t="s">
        <v>144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141</v>
      </c>
      <c r="C841" s="34" t="s">
        <v>146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141</v>
      </c>
      <c r="C842" s="16" t="s">
        <v>147</v>
      </c>
      <c r="D842" s="38" t="n">
        <v>6</v>
      </c>
      <c r="E842" s="39" t="n">
        <v>37889.97</v>
      </c>
      <c r="F842" s="22" t="n">
        <f aca="false">IFERROR(D842*E842,0)</f>
        <v>227339.82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148</v>
      </c>
      <c r="C843" s="34" t="s">
        <v>197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148</v>
      </c>
      <c r="C844" s="16" t="s">
        <v>151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148</v>
      </c>
      <c r="C845" s="34" t="s">
        <v>149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148</v>
      </c>
      <c r="C846" s="16" t="s">
        <v>150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148</v>
      </c>
      <c r="C847" s="34" t="s">
        <v>188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148</v>
      </c>
      <c r="C848" s="16" t="s">
        <v>207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141</v>
      </c>
      <c r="C849" s="34" t="s">
        <v>152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148</v>
      </c>
      <c r="C850" s="16" t="s">
        <v>194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141</v>
      </c>
      <c r="C851" s="34" t="s">
        <v>189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141</v>
      </c>
      <c r="C852" s="16" t="s">
        <v>153</v>
      </c>
      <c r="D852" s="38" t="n">
        <f aca="false">D702</f>
        <v>1</v>
      </c>
      <c r="E852" s="39" t="n">
        <v>9.85</v>
      </c>
      <c r="F852" s="22" t="n">
        <f aca="false">IFERROR(D852*E852,0)</f>
        <v>9.85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141</v>
      </c>
      <c r="C853" s="34" t="s">
        <v>154</v>
      </c>
      <c r="D853" s="35" t="n">
        <f aca="false">D702</f>
        <v>1</v>
      </c>
      <c r="E853" s="36" t="n">
        <v>2.04</v>
      </c>
      <c r="F853" s="37" t="n">
        <f aca="false">IFERROR(D853*E853,0)</f>
        <v>2.04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141</v>
      </c>
      <c r="C854" s="16" t="s">
        <v>142</v>
      </c>
      <c r="D854" s="38" t="n">
        <v>3</v>
      </c>
      <c r="E854" s="39" t="n">
        <v>10.74</v>
      </c>
      <c r="F854" s="22" t="n">
        <f aca="false">IFERROR(D854*E854,0)</f>
        <v>32.22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141</v>
      </c>
      <c r="C855" s="34" t="s">
        <v>143</v>
      </c>
      <c r="D855" s="35" t="n">
        <v>44</v>
      </c>
      <c r="E855" s="36" t="n">
        <v>1241.1</v>
      </c>
      <c r="F855" s="37" t="n">
        <f aca="false">IFERROR(D855*E855,0)</f>
        <v>54608.4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141</v>
      </c>
      <c r="C856" s="16" t="s">
        <v>144</v>
      </c>
      <c r="D856" s="38" t="n">
        <v>1</v>
      </c>
      <c r="E856" s="39" t="n">
        <v>1698.95</v>
      </c>
      <c r="F856" s="22" t="n">
        <f aca="false">IFERROR(D856*E856,0)</f>
        <v>1698.95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141</v>
      </c>
      <c r="C857" s="34" t="s">
        <v>145</v>
      </c>
      <c r="D857" s="35" t="n">
        <v>1</v>
      </c>
      <c r="E857" s="36" t="n">
        <v>4.85</v>
      </c>
      <c r="F857" s="37" t="n">
        <f aca="false">IFERROR(D857*E857,0)</f>
        <v>4.85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141</v>
      </c>
      <c r="C858" s="16" t="s">
        <v>146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141</v>
      </c>
      <c r="C859" s="34" t="s">
        <v>147</v>
      </c>
      <c r="D859" s="35" t="n">
        <v>8</v>
      </c>
      <c r="E859" s="36" t="n">
        <v>31846.16</v>
      </c>
      <c r="F859" s="37" t="n">
        <f aca="false">IFERROR(D859*E859,0)</f>
        <v>254769.28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141</v>
      </c>
      <c r="C860" s="16" t="s">
        <v>152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141</v>
      </c>
      <c r="C861" s="34" t="s">
        <v>170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141</v>
      </c>
      <c r="C862" s="16" t="s">
        <v>171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141</v>
      </c>
      <c r="C863" s="34" t="s">
        <v>153</v>
      </c>
      <c r="D863" s="35" t="n">
        <f aca="false">D719</f>
        <v>1</v>
      </c>
      <c r="E863" s="36" t="n">
        <v>9.85</v>
      </c>
      <c r="F863" s="37" t="n">
        <f aca="false">IFERROR(D863*E863,0)</f>
        <v>9.85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141</v>
      </c>
      <c r="C864" s="16" t="s">
        <v>154</v>
      </c>
      <c r="D864" s="38" t="n">
        <f aca="false">D719</f>
        <v>1</v>
      </c>
      <c r="E864" s="39" t="n">
        <v>2.04</v>
      </c>
      <c r="F864" s="22" t="n">
        <f aca="false">IFERROR(D864*E864,0)</f>
        <v>2.04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141</v>
      </c>
      <c r="C865" s="34" t="s">
        <v>142</v>
      </c>
      <c r="D865" s="35" t="n">
        <v>3</v>
      </c>
      <c r="E865" s="36" t="n">
        <v>10.74</v>
      </c>
      <c r="F865" s="37" t="n">
        <f aca="false">IFERROR(D865*E865,0)</f>
        <v>32.22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141</v>
      </c>
      <c r="C866" s="16" t="s">
        <v>143</v>
      </c>
      <c r="D866" s="38" t="n">
        <v>44</v>
      </c>
      <c r="E866" s="39" t="n">
        <v>1241.1</v>
      </c>
      <c r="F866" s="22" t="n">
        <f aca="false">IFERROR(D866*E866,0)</f>
        <v>54608.4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141</v>
      </c>
      <c r="C867" s="34" t="s">
        <v>144</v>
      </c>
      <c r="D867" s="35" t="n">
        <v>1</v>
      </c>
      <c r="E867" s="36" t="n">
        <v>1698.95</v>
      </c>
      <c r="F867" s="37" t="n">
        <f aca="false">IFERROR(D867*E867,0)</f>
        <v>1698.95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141</v>
      </c>
      <c r="C868" s="16" t="s">
        <v>145</v>
      </c>
      <c r="D868" s="38" t="n">
        <v>1</v>
      </c>
      <c r="E868" s="39" t="n">
        <v>4.85</v>
      </c>
      <c r="F868" s="22" t="n">
        <f aca="false">IFERROR(D868*E868,0)</f>
        <v>4.85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141</v>
      </c>
      <c r="C869" s="34" t="s">
        <v>146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141</v>
      </c>
      <c r="C870" s="16" t="s">
        <v>147</v>
      </c>
      <c r="D870" s="38" t="n">
        <v>32</v>
      </c>
      <c r="E870" s="39" t="n">
        <v>101577.79</v>
      </c>
      <c r="F870" s="22" t="n">
        <f aca="false">IFERROR(D870*E870,0)</f>
        <v>3250489.28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141</v>
      </c>
      <c r="C871" s="34" t="s">
        <v>152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141</v>
      </c>
      <c r="C872" s="16" t="s">
        <v>170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141</v>
      </c>
      <c r="C873" s="34" t="s">
        <v>171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141</v>
      </c>
      <c r="C874" s="16" t="s">
        <v>153</v>
      </c>
      <c r="D874" s="38" t="n">
        <f aca="false">D730</f>
        <v>0</v>
      </c>
      <c r="E874" s="39" t="n">
        <v>9.85</v>
      </c>
      <c r="F874" s="22" t="n">
        <f aca="false">IFERROR(D874*E874,0)</f>
        <v>0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141</v>
      </c>
      <c r="C875" s="34" t="s">
        <v>154</v>
      </c>
      <c r="D875" s="35" t="n">
        <f aca="false">D730</f>
        <v>0</v>
      </c>
      <c r="E875" s="36" t="n">
        <v>2.04</v>
      </c>
      <c r="F875" s="37" t="n">
        <f aca="false">IFERROR(D875*E875,0)</f>
        <v>0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141</v>
      </c>
      <c r="C876" s="16" t="s">
        <v>142</v>
      </c>
      <c r="D876" s="38" t="n">
        <v>3</v>
      </c>
      <c r="E876" s="39" t="n">
        <v>10.74</v>
      </c>
      <c r="F876" s="22" t="n">
        <f aca="false">IFERROR(D876*E876,0)</f>
        <v>32.22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141</v>
      </c>
      <c r="C877" s="34" t="s">
        <v>143</v>
      </c>
      <c r="D877" s="35" t="n">
        <v>44</v>
      </c>
      <c r="E877" s="36" t="n">
        <v>1241.1</v>
      </c>
      <c r="F877" s="37" t="n">
        <f aca="false">IFERROR(D877*E877,0)</f>
        <v>54608.4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141</v>
      </c>
      <c r="C878" s="16" t="s">
        <v>144</v>
      </c>
      <c r="D878" s="38" t="n">
        <v>1</v>
      </c>
      <c r="E878" s="39" t="n">
        <v>1698.95</v>
      </c>
      <c r="F878" s="22" t="n">
        <f aca="false">IFERROR(D878*E878,0)</f>
        <v>1698.95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141</v>
      </c>
      <c r="C879" s="34" t="s">
        <v>145</v>
      </c>
      <c r="D879" s="35" t="n">
        <v>1</v>
      </c>
      <c r="E879" s="36" t="n">
        <v>4.85</v>
      </c>
      <c r="F879" s="37" t="n">
        <f aca="false">IFERROR(D879*E879,0)</f>
        <v>4.85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141</v>
      </c>
      <c r="C880" s="16" t="s">
        <v>146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141</v>
      </c>
      <c r="C881" s="34" t="s">
        <v>147</v>
      </c>
      <c r="D881" s="35" t="n">
        <v>10</v>
      </c>
      <c r="E881" s="36" t="n">
        <v>120044.71</v>
      </c>
      <c r="F881" s="37" t="n">
        <f aca="false">IFERROR(D881*E881,0)</f>
        <v>1200447.1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141</v>
      </c>
      <c r="C882" s="16" t="s">
        <v>152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141</v>
      </c>
      <c r="C883" s="34" t="s">
        <v>153</v>
      </c>
      <c r="D883" s="35" t="n">
        <f aca="false">D741</f>
        <v>1</v>
      </c>
      <c r="E883" s="36" t="n">
        <v>9.85</v>
      </c>
      <c r="F883" s="37" t="n">
        <f aca="false">IFERROR(D883*E883,0)</f>
        <v>9.85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141</v>
      </c>
      <c r="C884" s="16" t="s">
        <v>154</v>
      </c>
      <c r="D884" s="38" t="n">
        <f aca="false">D741</f>
        <v>1</v>
      </c>
      <c r="E884" s="39" t="n">
        <v>2.04</v>
      </c>
      <c r="F884" s="22" t="n">
        <f aca="false">IFERROR(D884*E884,0)</f>
        <v>2.04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148</v>
      </c>
      <c r="C885" s="34" t="s">
        <v>194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148</v>
      </c>
      <c r="C886" s="16" t="s">
        <v>194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148</v>
      </c>
      <c r="C887" s="34" t="s">
        <v>194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148</v>
      </c>
      <c r="C888" s="16" t="s">
        <v>151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148</v>
      </c>
      <c r="C889" s="34" t="s">
        <v>169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148</v>
      </c>
      <c r="C890" s="16" t="s">
        <v>169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148</v>
      </c>
      <c r="C891" s="34" t="s">
        <v>169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148</v>
      </c>
      <c r="C892" s="16" t="s">
        <v>169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148</v>
      </c>
      <c r="C893" s="34" t="s">
        <v>169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141</v>
      </c>
      <c r="C894" s="16" t="s">
        <v>208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148</v>
      </c>
      <c r="C895" s="34" t="s">
        <v>169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141</v>
      </c>
      <c r="C896" s="16" t="s">
        <v>147</v>
      </c>
      <c r="D896" s="38" t="n">
        <v>8</v>
      </c>
      <c r="E896" s="39" t="n">
        <v>33078.39</v>
      </c>
      <c r="F896" s="22" t="n">
        <f aca="false">IFERROR(D896*E896,0)</f>
        <v>264627.12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141</v>
      </c>
      <c r="C897" s="34" t="s">
        <v>143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141</v>
      </c>
      <c r="C898" s="16" t="s">
        <v>147</v>
      </c>
      <c r="D898" s="38" t="n">
        <v>2</v>
      </c>
      <c r="E898" s="39" t="n">
        <v>6068.32</v>
      </c>
      <c r="F898" s="22" t="n">
        <f aca="false">IFERROR(D898*E898,0)</f>
        <v>12136.64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141</v>
      </c>
      <c r="C899" s="34" t="s">
        <v>143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148</v>
      </c>
      <c r="C900" s="16" t="s">
        <v>194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141</v>
      </c>
      <c r="C901" s="34" t="s">
        <v>147</v>
      </c>
      <c r="D901" s="35" t="n">
        <v>12</v>
      </c>
      <c r="E901" s="36" t="n">
        <v>52829.79</v>
      </c>
      <c r="F901" s="37" t="n">
        <f aca="false">IFERROR(D901*E901,0)</f>
        <v>633957.48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141</v>
      </c>
      <c r="C902" s="16" t="s">
        <v>143</v>
      </c>
      <c r="D902" s="38" t="n">
        <v>7</v>
      </c>
      <c r="E902" s="39" t="n">
        <v>114.5</v>
      </c>
      <c r="F902" s="22" t="n">
        <f aca="false">IFERROR(D902*E902,0)</f>
        <v>801.5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148</v>
      </c>
      <c r="C903" s="34" t="s">
        <v>194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141</v>
      </c>
      <c r="C904" s="16" t="s">
        <v>147</v>
      </c>
      <c r="D904" s="38" t="n">
        <v>5</v>
      </c>
      <c r="E904" s="39" t="n">
        <v>24319.74</v>
      </c>
      <c r="F904" s="22" t="n">
        <f aca="false">IFERROR(D904*E904,0)</f>
        <v>121598.7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141</v>
      </c>
      <c r="C905" s="34" t="s">
        <v>143</v>
      </c>
      <c r="D905" s="35" t="n">
        <v>7</v>
      </c>
      <c r="E905" s="36" t="n">
        <v>79.53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148</v>
      </c>
      <c r="C906" s="16" t="s">
        <v>169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141</v>
      </c>
      <c r="C907" s="34" t="s">
        <v>147</v>
      </c>
      <c r="D907" s="35" t="n">
        <v>15</v>
      </c>
      <c r="E907" s="36" t="n">
        <v>89682.63</v>
      </c>
      <c r="F907" s="37" t="n">
        <f aca="false">IFERROR(D907*E907,0)</f>
        <v>1345239.45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141</v>
      </c>
      <c r="C908" s="16" t="s">
        <v>147</v>
      </c>
      <c r="D908" s="38" t="n">
        <v>2</v>
      </c>
      <c r="E908" s="39" t="n">
        <v>12859.26</v>
      </c>
      <c r="F908" s="22" t="n">
        <f aca="false">IFERROR(D908*E908,0)</f>
        <v>25718.52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141</v>
      </c>
      <c r="C909" s="34" t="s">
        <v>147</v>
      </c>
      <c r="D909" s="35" t="n">
        <v>21</v>
      </c>
      <c r="E909" s="36" t="n">
        <v>131034.59</v>
      </c>
      <c r="F909" s="37" t="n">
        <f aca="false">IFERROR(D909*E909,0)</f>
        <v>2751726.39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148</v>
      </c>
      <c r="C910" s="16" t="s">
        <v>194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148</v>
      </c>
      <c r="C911" s="34" t="s">
        <v>197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141</v>
      </c>
      <c r="C912" s="16" t="s">
        <v>147</v>
      </c>
      <c r="D912" s="38" t="n">
        <v>10</v>
      </c>
      <c r="E912" s="39" t="n">
        <v>97377.2</v>
      </c>
      <c r="F912" s="22" t="n">
        <f aca="false">IFERROR(D912*E912,0)</f>
        <v>973772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148</v>
      </c>
      <c r="C913" s="34" t="s">
        <v>194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148</v>
      </c>
      <c r="C914" s="16" t="s">
        <v>197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141</v>
      </c>
      <c r="C915" s="34" t="s">
        <v>147</v>
      </c>
      <c r="D915" s="35" t="n">
        <v>3</v>
      </c>
      <c r="E915" s="36" t="n">
        <v>28674.49</v>
      </c>
      <c r="F915" s="37" t="n">
        <f aca="false">IFERROR(D915*E915,0)</f>
        <v>86023.47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141</v>
      </c>
      <c r="C916" s="16" t="s">
        <v>143</v>
      </c>
      <c r="D916" s="38" t="n">
        <v>4</v>
      </c>
      <c r="E916" s="39" t="n">
        <v>46.45</v>
      </c>
      <c r="F916" s="22" t="n">
        <f aca="false">IFERROR(D916*E916,0)</f>
        <v>185.8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141</v>
      </c>
      <c r="C917" s="34" t="s">
        <v>143</v>
      </c>
      <c r="D917" s="35" t="n">
        <v>4</v>
      </c>
      <c r="E917" s="36" t="n">
        <v>97.45</v>
      </c>
      <c r="F917" s="37" t="n">
        <f aca="false">IFERROR(D917*E917,0)</f>
        <v>389.8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141</v>
      </c>
      <c r="C918" s="16" t="s">
        <v>143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141</v>
      </c>
      <c r="C919" s="34" t="s">
        <v>153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141</v>
      </c>
      <c r="C920" s="16" t="s">
        <v>154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141</v>
      </c>
      <c r="C921" s="34" t="s">
        <v>152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141</v>
      </c>
      <c r="C922" s="16" t="s">
        <v>176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141</v>
      </c>
      <c r="C923" s="34" t="s">
        <v>177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141</v>
      </c>
      <c r="C924" s="16" t="s">
        <v>178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141</v>
      </c>
      <c r="C925" s="34" t="s">
        <v>153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141</v>
      </c>
      <c r="C926" s="16" t="s">
        <v>154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141</v>
      </c>
      <c r="C927" s="34" t="s">
        <v>152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141</v>
      </c>
      <c r="C928" s="16" t="s">
        <v>176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141</v>
      </c>
      <c r="C929" s="34" t="s">
        <v>177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141</v>
      </c>
      <c r="C930" s="16" t="s">
        <v>178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141</v>
      </c>
      <c r="C931" s="34" t="s">
        <v>153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141</v>
      </c>
      <c r="C932" s="16" t="s">
        <v>154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141</v>
      </c>
      <c r="C933" s="34" t="s">
        <v>152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141</v>
      </c>
      <c r="C934" s="16" t="s">
        <v>176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141</v>
      </c>
      <c r="C935" s="34" t="s">
        <v>177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141</v>
      </c>
      <c r="C936" s="16" t="s">
        <v>178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141</v>
      </c>
      <c r="C937" s="34" t="s">
        <v>153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141</v>
      </c>
      <c r="C938" s="16" t="s">
        <v>154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141</v>
      </c>
      <c r="C939" s="34" t="s">
        <v>152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141</v>
      </c>
      <c r="C940" s="16" t="s">
        <v>176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141</v>
      </c>
      <c r="C941" s="34" t="s">
        <v>177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141</v>
      </c>
      <c r="C942" s="16" t="s">
        <v>178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141</v>
      </c>
      <c r="C943" s="34" t="s">
        <v>153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141</v>
      </c>
      <c r="C944" s="16" t="s">
        <v>154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141</v>
      </c>
      <c r="C945" s="34" t="s">
        <v>152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141</v>
      </c>
      <c r="C946" s="16" t="s">
        <v>176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141</v>
      </c>
      <c r="C947" s="34" t="s">
        <v>177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141</v>
      </c>
      <c r="C948" s="16" t="s">
        <v>178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141</v>
      </c>
      <c r="C949" s="34" t="s">
        <v>153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141</v>
      </c>
      <c r="C950" s="16" t="s">
        <v>154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141</v>
      </c>
      <c r="C951" s="34" t="s">
        <v>152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141</v>
      </c>
      <c r="C952" s="16" t="s">
        <v>176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141</v>
      </c>
      <c r="C953" s="34" t="s">
        <v>177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141</v>
      </c>
      <c r="C954" s="16" t="s">
        <v>178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141</v>
      </c>
      <c r="C955" s="34" t="s">
        <v>153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141</v>
      </c>
      <c r="C956" s="16" t="s">
        <v>154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141</v>
      </c>
      <c r="C957" s="34" t="s">
        <v>152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141</v>
      </c>
      <c r="C958" s="16" t="s">
        <v>176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141</v>
      </c>
      <c r="C959" s="34" t="s">
        <v>177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141</v>
      </c>
      <c r="C960" s="16" t="s">
        <v>178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141</v>
      </c>
      <c r="C961" s="34" t="s">
        <v>153</v>
      </c>
      <c r="D961" s="35" t="n">
        <v>10</v>
      </c>
      <c r="E961" s="36" t="n">
        <v>9.85</v>
      </c>
      <c r="F961" s="37" t="n">
        <f aca="false">IFERROR(D961*E961,0)</f>
        <v>98.5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141</v>
      </c>
      <c r="C962" s="16" t="s">
        <v>154</v>
      </c>
      <c r="D962" s="38" t="n">
        <v>10</v>
      </c>
      <c r="E962" s="39" t="n">
        <v>2.04</v>
      </c>
      <c r="F962" s="22" t="n">
        <f aca="false">IFERROR(D962*E962,0)</f>
        <v>20.4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141</v>
      </c>
      <c r="C963" s="34" t="s">
        <v>152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141</v>
      </c>
      <c r="C964" s="16" t="s">
        <v>176</v>
      </c>
      <c r="D964" s="38" t="n">
        <v>10</v>
      </c>
      <c r="E964" s="39" t="n">
        <v>28.31</v>
      </c>
      <c r="F964" s="22" t="n">
        <f aca="false">IFERROR(D964*E964,0)</f>
        <v>283.1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141</v>
      </c>
      <c r="C965" s="34" t="s">
        <v>177</v>
      </c>
      <c r="D965" s="35" t="n">
        <v>10</v>
      </c>
      <c r="E965" s="36" t="n">
        <v>47.79</v>
      </c>
      <c r="F965" s="37" t="n">
        <f aca="false">IFERROR(D965*E965,0)</f>
        <v>477.9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141</v>
      </c>
      <c r="C966" s="16" t="s">
        <v>178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141</v>
      </c>
      <c r="C967" s="34" t="s">
        <v>153</v>
      </c>
      <c r="D967" s="35" t="n">
        <v>2</v>
      </c>
      <c r="E967" s="36" t="n">
        <v>9.85</v>
      </c>
      <c r="F967" s="37" t="n">
        <f aca="false">IFERROR(D967*E967,0)</f>
        <v>19.7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141</v>
      </c>
      <c r="C968" s="16" t="s">
        <v>154</v>
      </c>
      <c r="D968" s="38" t="n">
        <v>2</v>
      </c>
      <c r="E968" s="39" t="n">
        <v>2.04</v>
      </c>
      <c r="F968" s="22" t="n">
        <f aca="false">IFERROR(D968*E968,0)</f>
        <v>4.08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141</v>
      </c>
      <c r="C969" s="34" t="s">
        <v>152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141</v>
      </c>
      <c r="C970" s="16" t="s">
        <v>176</v>
      </c>
      <c r="D970" s="38" t="n">
        <v>2</v>
      </c>
      <c r="E970" s="39" t="n">
        <v>28.31</v>
      </c>
      <c r="F970" s="22" t="n">
        <f aca="false">IFERROR(D970*E970,0)</f>
        <v>56.62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141</v>
      </c>
      <c r="C971" s="34" t="s">
        <v>177</v>
      </c>
      <c r="D971" s="35" t="n">
        <v>2</v>
      </c>
      <c r="E971" s="36" t="n">
        <v>47.79</v>
      </c>
      <c r="F971" s="37" t="n">
        <f aca="false">IFERROR(D971*E971,0)</f>
        <v>95.58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141</v>
      </c>
      <c r="C972" s="16" t="s">
        <v>178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141</v>
      </c>
      <c r="C973" s="34" t="s">
        <v>171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141</v>
      </c>
      <c r="C974" s="16" t="s">
        <v>211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141</v>
      </c>
      <c r="C975" s="34" t="s">
        <v>147</v>
      </c>
      <c r="D975" s="35" t="n">
        <v>7</v>
      </c>
      <c r="E975" s="36" t="n">
        <v>32544.89</v>
      </c>
      <c r="F975" s="37" t="n">
        <f aca="false">IFERROR(D975*E975,0)</f>
        <v>227814.23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148</v>
      </c>
      <c r="C976" s="16" t="s">
        <v>188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148</v>
      </c>
      <c r="C977" s="34" t="s">
        <v>188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141</v>
      </c>
      <c r="C978" s="16" t="s">
        <v>144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141</v>
      </c>
      <c r="C979" s="34" t="s">
        <v>145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141</v>
      </c>
      <c r="C980" s="16" t="s">
        <v>144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141</v>
      </c>
      <c r="C981" s="34" t="s">
        <v>145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148</v>
      </c>
      <c r="C982" s="16" t="s">
        <v>169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148</v>
      </c>
      <c r="C983" s="34" t="s">
        <v>169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148</v>
      </c>
      <c r="C984" s="16" t="s">
        <v>169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148</v>
      </c>
      <c r="C985" s="34" t="s">
        <v>169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148</v>
      </c>
      <c r="C986" s="16" t="s">
        <v>169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148</v>
      </c>
      <c r="C987" s="34" t="s">
        <v>169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148</v>
      </c>
      <c r="C988" s="16" t="s">
        <v>169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148</v>
      </c>
      <c r="C989" s="34" t="s">
        <v>169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148</v>
      </c>
      <c r="C990" s="16" t="s">
        <v>169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148</v>
      </c>
      <c r="C991" s="34" t="s">
        <v>169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148</v>
      </c>
      <c r="C992" s="16" t="s">
        <v>169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148</v>
      </c>
      <c r="C993" s="34" t="s">
        <v>169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148</v>
      </c>
      <c r="C994" s="16" t="s">
        <v>169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148</v>
      </c>
      <c r="C995" s="34" t="s">
        <v>169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148</v>
      </c>
      <c r="C996" s="16" t="s">
        <v>169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148</v>
      </c>
      <c r="C997" s="34" t="s">
        <v>169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141</v>
      </c>
      <c r="C998" s="16" t="s">
        <v>189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141</v>
      </c>
      <c r="C999" s="34" t="s">
        <v>189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141</v>
      </c>
      <c r="C1000" s="16" t="s">
        <v>189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141</v>
      </c>
      <c r="C1001" s="34" t="s">
        <v>189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141</v>
      </c>
      <c r="C1002" s="16" t="s">
        <v>189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141</v>
      </c>
      <c r="C1003" s="34" t="s">
        <v>189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141</v>
      </c>
      <c r="C1004" s="16" t="s">
        <v>189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141</v>
      </c>
      <c r="C1005" s="34" t="s">
        <v>189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141</v>
      </c>
      <c r="C1006" s="16" t="s">
        <v>189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141</v>
      </c>
      <c r="C1007" s="34" t="s">
        <v>212</v>
      </c>
      <c r="D1007" s="35" t="n">
        <v>2</v>
      </c>
      <c r="E1007" s="36" t="n">
        <v>30</v>
      </c>
      <c r="F1007" s="37" t="n">
        <f aca="false">IFERROR(D1007*E1007,0)</f>
        <v>60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141</v>
      </c>
      <c r="C1008" s="16" t="s">
        <v>212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141</v>
      </c>
      <c r="C1009" s="34" t="s">
        <v>212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141</v>
      </c>
      <c r="C1010" s="16" t="s">
        <v>212</v>
      </c>
      <c r="D1010" s="38" t="n">
        <v>3</v>
      </c>
      <c r="E1010" s="39" t="n">
        <v>30</v>
      </c>
      <c r="F1010" s="22" t="n">
        <f aca="false">IFERROR(D1010*E1010,0)</f>
        <v>90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141</v>
      </c>
      <c r="C1011" s="34" t="s">
        <v>212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141</v>
      </c>
      <c r="C1012" s="16" t="s">
        <v>212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141</v>
      </c>
      <c r="C1013" s="34" t="s">
        <v>212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141</v>
      </c>
      <c r="C1014" s="16" t="s">
        <v>212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141</v>
      </c>
      <c r="C1015" s="34" t="s">
        <v>212</v>
      </c>
      <c r="D1015" s="35" t="n">
        <v>4</v>
      </c>
      <c r="E1015" s="36" t="n">
        <v>30</v>
      </c>
      <c r="F1015" s="37" t="n">
        <f aca="false">IFERROR(D1015*E1015,0)</f>
        <v>120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141</v>
      </c>
      <c r="C1016" s="16" t="s">
        <v>212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141</v>
      </c>
      <c r="C1017" s="34" t="s">
        <v>212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141</v>
      </c>
      <c r="C1018" s="16" t="s">
        <v>212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141</v>
      </c>
      <c r="C1019" s="34" t="s">
        <v>212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141</v>
      </c>
      <c r="C1020" s="16" t="s">
        <v>212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141</v>
      </c>
      <c r="C1021" s="34" t="s">
        <v>212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141</v>
      </c>
      <c r="C1022" s="16" t="s">
        <v>212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141</v>
      </c>
      <c r="C1023" s="34" t="s">
        <v>212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141</v>
      </c>
      <c r="C1024" s="16" t="s">
        <v>212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141</v>
      </c>
      <c r="C1025" s="34" t="s">
        <v>212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141</v>
      </c>
      <c r="C1026" s="16" t="s">
        <v>142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141</v>
      </c>
      <c r="C1027" s="34" t="s">
        <v>143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141</v>
      </c>
      <c r="C1028" s="16" t="s">
        <v>144</v>
      </c>
      <c r="D1028" s="38" t="n">
        <v>1</v>
      </c>
      <c r="E1028" s="39" t="n">
        <v>1608.55</v>
      </c>
      <c r="F1028" s="22" t="n">
        <f aca="false">IFERROR(D1028*E1028,0)</f>
        <v>1608.55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141</v>
      </c>
      <c r="C1029" s="34" t="s">
        <v>145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141</v>
      </c>
      <c r="C1030" s="16" t="s">
        <v>146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141</v>
      </c>
      <c r="C1031" s="34" t="s">
        <v>147</v>
      </c>
      <c r="D1031" s="35" t="n">
        <v>8</v>
      </c>
      <c r="E1031" s="36" t="n">
        <v>28262.07</v>
      </c>
      <c r="F1031" s="37" t="n">
        <f aca="false">IFERROR(D1031*E1031,0)</f>
        <v>226096.56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148</v>
      </c>
      <c r="C1032" s="16" t="s">
        <v>149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148</v>
      </c>
      <c r="C1033" s="34" t="s">
        <v>150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148</v>
      </c>
      <c r="C1034" s="16" t="s">
        <v>151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141</v>
      </c>
      <c r="C1035" s="34" t="s">
        <v>152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141</v>
      </c>
      <c r="C1036" s="16" t="s">
        <v>153</v>
      </c>
      <c r="D1036" s="38" t="n">
        <f aca="false">D761</f>
        <v>1</v>
      </c>
      <c r="E1036" s="39" t="n">
        <v>10.05</v>
      </c>
      <c r="F1036" s="22" t="n">
        <f aca="false">IFERROR(D1036*E1036,0)</f>
        <v>10.05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141</v>
      </c>
      <c r="C1037" s="34" t="s">
        <v>154</v>
      </c>
      <c r="D1037" s="35" t="n">
        <f aca="false">D761</f>
        <v>1</v>
      </c>
      <c r="E1037" s="36" t="n">
        <v>2.07</v>
      </c>
      <c r="F1037" s="37" t="n">
        <f aca="false">IFERROR(D1037*E1037,0)</f>
        <v>2.07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141</v>
      </c>
      <c r="C1038" s="16" t="s">
        <v>178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141</v>
      </c>
      <c r="C1039" s="34" t="s">
        <v>176</v>
      </c>
      <c r="D1039" s="35" t="n">
        <f aca="false">D761</f>
        <v>1</v>
      </c>
      <c r="E1039" s="36" t="n">
        <v>28.31</v>
      </c>
      <c r="F1039" s="37" t="n">
        <f aca="false">IFERROR(D1039*E1039,0)</f>
        <v>28.31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141</v>
      </c>
      <c r="C1040" s="16" t="s">
        <v>177</v>
      </c>
      <c r="D1040" s="38" t="n">
        <f aca="false">D761</f>
        <v>1</v>
      </c>
      <c r="E1040" s="39" t="n">
        <v>47.79</v>
      </c>
      <c r="F1040" s="22" t="n">
        <f aca="false">IFERROR(D1040*E1040,0)</f>
        <v>47.79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141</v>
      </c>
      <c r="C1041" s="34" t="s">
        <v>213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141</v>
      </c>
      <c r="C1042" s="16" t="s">
        <v>158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141</v>
      </c>
      <c r="C1043" s="34" t="s">
        <v>161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141</v>
      </c>
      <c r="C1044" s="16" t="s">
        <v>155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141</v>
      </c>
      <c r="C1045" s="34" t="s">
        <v>156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141</v>
      </c>
      <c r="C1046" s="16" t="s">
        <v>159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141</v>
      </c>
      <c r="C1047" s="34" t="s">
        <v>219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141</v>
      </c>
      <c r="C1048" s="16" t="s">
        <v>162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141</v>
      </c>
      <c r="C1049" s="34" t="s">
        <v>163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141</v>
      </c>
      <c r="C1050" s="16" t="s">
        <v>164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141</v>
      </c>
      <c r="C1051" s="34" t="s">
        <v>214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141</v>
      </c>
      <c r="C1052" s="16" t="s">
        <v>215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141</v>
      </c>
      <c r="C1053" s="34" t="s">
        <v>220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141</v>
      </c>
      <c r="C1054" s="16" t="s">
        <v>157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141</v>
      </c>
      <c r="C1055" s="34" t="s">
        <v>167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141</v>
      </c>
      <c r="C1056" s="16" t="s">
        <v>142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141</v>
      </c>
      <c r="C1057" s="34" t="s">
        <v>143</v>
      </c>
      <c r="D1057" s="35" t="n">
        <v>1</v>
      </c>
      <c r="E1057" s="36" t="n">
        <v>65.2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141</v>
      </c>
      <c r="C1058" s="16" t="s">
        <v>144</v>
      </c>
      <c r="D1058" s="38" t="n">
        <v>1</v>
      </c>
      <c r="E1058" s="39" t="n">
        <v>1608.55</v>
      </c>
      <c r="F1058" s="22" t="n">
        <f aca="false">IFERROR(D1058*E1058,0)</f>
        <v>1608.55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141</v>
      </c>
      <c r="C1059" s="34" t="s">
        <v>145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141</v>
      </c>
      <c r="C1060" s="16" t="s">
        <v>146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141</v>
      </c>
      <c r="C1061" s="34" t="s">
        <v>147</v>
      </c>
      <c r="D1061" s="35" t="n">
        <v>4</v>
      </c>
      <c r="E1061" s="36" t="n">
        <v>12057.21</v>
      </c>
      <c r="F1061" s="37" t="n">
        <f aca="false">IFERROR(D1061*E1061,0)</f>
        <v>48228.84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148</v>
      </c>
      <c r="C1062" s="16" t="s">
        <v>149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148</v>
      </c>
      <c r="C1063" s="34" t="s">
        <v>150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148</v>
      </c>
      <c r="C1064" s="16" t="s">
        <v>151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141</v>
      </c>
      <c r="C1065" s="34" t="s">
        <v>152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141</v>
      </c>
      <c r="C1066" s="16" t="s">
        <v>153</v>
      </c>
      <c r="D1066" s="38" t="n">
        <f aca="false">D791</f>
        <v>1</v>
      </c>
      <c r="E1066" s="39" t="n">
        <v>10.05</v>
      </c>
      <c r="F1066" s="22" t="n">
        <f aca="false">IFERROR(D1066*E1066,0)</f>
        <v>10.05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141</v>
      </c>
      <c r="C1067" s="34" t="s">
        <v>154</v>
      </c>
      <c r="D1067" s="35" t="n">
        <f aca="false">D791</f>
        <v>1</v>
      </c>
      <c r="E1067" s="36" t="n">
        <v>2.07</v>
      </c>
      <c r="F1067" s="37" t="n">
        <f aca="false">IFERROR(D1067*E1067,0)</f>
        <v>2.07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141</v>
      </c>
      <c r="C1068" s="16" t="s">
        <v>178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141</v>
      </c>
      <c r="C1069" s="34" t="s">
        <v>176</v>
      </c>
      <c r="D1069" s="35" t="n">
        <f aca="false">D791</f>
        <v>1</v>
      </c>
      <c r="E1069" s="36" t="n">
        <v>28.31</v>
      </c>
      <c r="F1069" s="37" t="n">
        <f aca="false">IFERROR(D1069*E1069,0)</f>
        <v>28.31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141</v>
      </c>
      <c r="C1070" s="16" t="s">
        <v>177</v>
      </c>
      <c r="D1070" s="38" t="n">
        <f aca="false">D791</f>
        <v>1</v>
      </c>
      <c r="E1070" s="39" t="n">
        <v>47.79</v>
      </c>
      <c r="F1070" s="22" t="n">
        <f aca="false">IFERROR(D1070*E1070,0)</f>
        <v>47.79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141</v>
      </c>
      <c r="C1071" s="34" t="s">
        <v>142</v>
      </c>
      <c r="D1071" s="35" t="n">
        <v>4</v>
      </c>
      <c r="E1071" s="36" t="n">
        <v>10.58</v>
      </c>
      <c r="F1071" s="37" t="n">
        <f aca="false">IFERROR(D1071*E1071,0)</f>
        <v>42.32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141</v>
      </c>
      <c r="C1072" s="16" t="s">
        <v>143</v>
      </c>
      <c r="D1072" s="38" t="n">
        <v>18</v>
      </c>
      <c r="E1072" s="39" t="n">
        <v>536.49</v>
      </c>
      <c r="F1072" s="22" t="n">
        <f aca="false">IFERROR(D1072*E1072,0)</f>
        <v>9656.82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141</v>
      </c>
      <c r="C1073" s="34" t="s">
        <v>144</v>
      </c>
      <c r="D1073" s="35" t="n">
        <v>1</v>
      </c>
      <c r="E1073" s="36" t="n">
        <v>1608.55</v>
      </c>
      <c r="F1073" s="37" t="n">
        <f aca="false">IFERROR(D1073*E1073,0)</f>
        <v>1608.55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141</v>
      </c>
      <c r="C1074" s="16" t="s">
        <v>145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141</v>
      </c>
      <c r="C1075" s="34" t="s">
        <v>146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141</v>
      </c>
      <c r="C1076" s="16" t="s">
        <v>147</v>
      </c>
      <c r="D1076" s="38" t="n">
        <v>12</v>
      </c>
      <c r="E1076" s="39" t="n">
        <v>35259.81</v>
      </c>
      <c r="F1076" s="22" t="n">
        <f aca="false">IFERROR(D1076*E1076,0)</f>
        <v>423117.72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148</v>
      </c>
      <c r="C1077" s="34" t="s">
        <v>149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148</v>
      </c>
      <c r="C1078" s="16" t="s">
        <v>150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148</v>
      </c>
      <c r="C1079" s="34" t="s">
        <v>151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141</v>
      </c>
      <c r="C1080" s="16" t="s">
        <v>152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141</v>
      </c>
      <c r="C1081" s="34" t="s">
        <v>170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141</v>
      </c>
      <c r="C1082" s="16" t="s">
        <v>221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141</v>
      </c>
      <c r="C1083" s="34" t="s">
        <v>222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141</v>
      </c>
      <c r="C1084" s="16" t="s">
        <v>223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148</v>
      </c>
      <c r="C1085" s="34" t="s">
        <v>224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148</v>
      </c>
      <c r="C1086" s="16" t="s">
        <v>225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141</v>
      </c>
      <c r="C1087" s="34" t="s">
        <v>226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148</v>
      </c>
      <c r="C1088" s="16" t="s">
        <v>172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141</v>
      </c>
      <c r="C1089" s="34" t="s">
        <v>153</v>
      </c>
      <c r="D1089" s="35" t="n">
        <f aca="false">D806</f>
        <v>0</v>
      </c>
      <c r="E1089" s="36" t="n">
        <v>10.05</v>
      </c>
      <c r="F1089" s="37" t="n">
        <f aca="false">IFERROR(D1089*E1089,0)</f>
        <v>0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141</v>
      </c>
      <c r="C1090" s="16" t="s">
        <v>154</v>
      </c>
      <c r="D1090" s="38" t="n">
        <f aca="false">D806</f>
        <v>0</v>
      </c>
      <c r="E1090" s="39" t="n">
        <v>2.07</v>
      </c>
      <c r="F1090" s="22" t="n">
        <f aca="false">IFERROR(D1090*E1090,0)</f>
        <v>0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141</v>
      </c>
      <c r="C1091" s="34" t="s">
        <v>178</v>
      </c>
      <c r="D1091" s="35" t="n">
        <f aca="false">D806</f>
        <v>0</v>
      </c>
      <c r="E1091" s="36" t="n">
        <v>64.57</v>
      </c>
      <c r="F1091" s="37" t="n">
        <f aca="false">IFERROR(D1091*E1091,0)</f>
        <v>0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141</v>
      </c>
      <c r="C1092" s="16" t="s">
        <v>176</v>
      </c>
      <c r="D1092" s="38" t="n">
        <f aca="false">D806</f>
        <v>0</v>
      </c>
      <c r="E1092" s="39" t="n">
        <v>28.31</v>
      </c>
      <c r="F1092" s="22" t="n">
        <f aca="false">IFERROR(D1092*E1092,0)</f>
        <v>0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141</v>
      </c>
      <c r="C1093" s="34" t="s">
        <v>177</v>
      </c>
      <c r="D1093" s="35" t="n">
        <f aca="false">D806</f>
        <v>0</v>
      </c>
      <c r="E1093" s="36" t="n">
        <v>47.79</v>
      </c>
      <c r="F1093" s="37" t="n">
        <f aca="false">IFERROR(D1093*E1093,0)</f>
        <v>0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148</v>
      </c>
      <c r="C1094" s="16" t="s">
        <v>172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148</v>
      </c>
      <c r="C1095" s="34" t="s">
        <v>173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141</v>
      </c>
      <c r="C1096" s="16" t="s">
        <v>174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141</v>
      </c>
      <c r="C1097" s="34" t="s">
        <v>216</v>
      </c>
      <c r="D1097" s="35" t="n">
        <v>10</v>
      </c>
      <c r="E1097" s="36" t="n">
        <v>102601.16</v>
      </c>
      <c r="F1097" s="37" t="n">
        <f aca="false">IFERROR(D1097*E1097,0)</f>
        <v>1026011.6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141</v>
      </c>
      <c r="C1098" s="16" t="s">
        <v>175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141</v>
      </c>
      <c r="C1099" s="34" t="s">
        <v>176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141</v>
      </c>
      <c r="C1100" s="16" t="s">
        <v>177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141</v>
      </c>
      <c r="C1101" s="34" t="s">
        <v>178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148</v>
      </c>
      <c r="C1102" s="16" t="s">
        <v>217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148</v>
      </c>
      <c r="C1103" s="34" t="s">
        <v>179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148</v>
      </c>
      <c r="C1104" s="16" t="s">
        <v>180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148</v>
      </c>
      <c r="C1105" s="34" t="s">
        <v>181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148</v>
      </c>
      <c r="C1106" s="16" t="s">
        <v>182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141</v>
      </c>
      <c r="C1107" s="34" t="s">
        <v>153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141</v>
      </c>
      <c r="C1108" s="16" t="s">
        <v>154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148</v>
      </c>
      <c r="C1109" s="34" t="s">
        <v>183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141</v>
      </c>
      <c r="C1110" s="16" t="s">
        <v>184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141</v>
      </c>
      <c r="C1111" s="34" t="s">
        <v>185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141</v>
      </c>
      <c r="C1112" s="16" t="s">
        <v>186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141</v>
      </c>
      <c r="C1113" s="34" t="s">
        <v>187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141</v>
      </c>
      <c r="C1114" s="16" t="s">
        <v>142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141</v>
      </c>
      <c r="C1115" s="34" t="s">
        <v>143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141</v>
      </c>
      <c r="C1116" s="16" t="s">
        <v>144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141</v>
      </c>
      <c r="C1117" s="34" t="s">
        <v>146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141</v>
      </c>
      <c r="C1118" s="16" t="s">
        <v>147</v>
      </c>
      <c r="D1118" s="38" t="n">
        <v>4</v>
      </c>
      <c r="E1118" s="39" t="n">
        <v>20620.48</v>
      </c>
      <c r="F1118" s="22" t="n">
        <f aca="false">IFERROR(D1118*E1118,0)</f>
        <v>82481.92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148</v>
      </c>
      <c r="C1119" s="34" t="s">
        <v>188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148</v>
      </c>
      <c r="C1120" s="16" t="s">
        <v>151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141</v>
      </c>
      <c r="C1121" s="34" t="s">
        <v>152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141</v>
      </c>
      <c r="C1122" s="16" t="s">
        <v>153</v>
      </c>
      <c r="D1122" s="38" t="n">
        <f aca="false">D848</f>
        <v>1</v>
      </c>
      <c r="E1122" s="39" t="n">
        <v>10.05</v>
      </c>
      <c r="F1122" s="22" t="n">
        <f aca="false">IFERROR(D1122*E1122,0)</f>
        <v>10.05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141</v>
      </c>
      <c r="C1123" s="34" t="s">
        <v>154</v>
      </c>
      <c r="D1123" s="35" t="n">
        <f aca="false">D848</f>
        <v>1</v>
      </c>
      <c r="E1123" s="36" t="n">
        <v>2.07</v>
      </c>
      <c r="F1123" s="37" t="n">
        <f aca="false">IFERROR(D1123*E1123,0)</f>
        <v>2.07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141</v>
      </c>
      <c r="C1124" s="16" t="s">
        <v>178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141</v>
      </c>
      <c r="C1125" s="34" t="s">
        <v>176</v>
      </c>
      <c r="D1125" s="35" t="n">
        <f aca="false">D848</f>
        <v>1</v>
      </c>
      <c r="E1125" s="36" t="n">
        <v>28.31</v>
      </c>
      <c r="F1125" s="37" t="n">
        <f aca="false">IFERROR(D1125*E1125,0)</f>
        <v>28.31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141</v>
      </c>
      <c r="C1126" s="16" t="s">
        <v>177</v>
      </c>
      <c r="D1126" s="38" t="n">
        <f aca="false">D848</f>
        <v>1</v>
      </c>
      <c r="E1126" s="39" t="n">
        <v>47.79</v>
      </c>
      <c r="F1126" s="22" t="n">
        <f aca="false">IFERROR(D1126*E1126,0)</f>
        <v>47.79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141</v>
      </c>
      <c r="C1127" s="34" t="s">
        <v>142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141</v>
      </c>
      <c r="C1128" s="16" t="s">
        <v>143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141</v>
      </c>
      <c r="C1129" s="34" t="s">
        <v>144</v>
      </c>
      <c r="D1129" s="35" t="n">
        <v>1</v>
      </c>
      <c r="E1129" s="36" t="n">
        <v>1608.55</v>
      </c>
      <c r="F1129" s="37" t="n">
        <f aca="false">IFERROR(D1129*E1129,0)</f>
        <v>1608.55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141</v>
      </c>
      <c r="C1130" s="16" t="s">
        <v>145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141</v>
      </c>
      <c r="C1131" s="34" t="s">
        <v>146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141</v>
      </c>
      <c r="C1132" s="16" t="s">
        <v>147</v>
      </c>
      <c r="D1132" s="38" t="n">
        <v>5</v>
      </c>
      <c r="E1132" s="39" t="n">
        <v>14135.77</v>
      </c>
      <c r="F1132" s="22" t="n">
        <f aca="false">IFERROR(D1132*E1132,0)</f>
        <v>70678.85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148</v>
      </c>
      <c r="C1133" s="34" t="s">
        <v>227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148</v>
      </c>
      <c r="C1134" s="16" t="s">
        <v>149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148</v>
      </c>
      <c r="C1135" s="34" t="s">
        <v>150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141</v>
      </c>
      <c r="C1136" s="16" t="s">
        <v>152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141</v>
      </c>
      <c r="C1137" s="34" t="s">
        <v>153</v>
      </c>
      <c r="D1137" s="35" t="n">
        <f aca="false">D862</f>
        <v>1</v>
      </c>
      <c r="E1137" s="36" t="n">
        <v>10.05</v>
      </c>
      <c r="F1137" s="37" t="n">
        <f aca="false">IFERROR(D1137*E1137,0)</f>
        <v>10.05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141</v>
      </c>
      <c r="C1138" s="16" t="s">
        <v>154</v>
      </c>
      <c r="D1138" s="38" t="n">
        <f aca="false">D862</f>
        <v>1</v>
      </c>
      <c r="E1138" s="39" t="n">
        <v>2.07</v>
      </c>
      <c r="F1138" s="22" t="n">
        <f aca="false">IFERROR(D1138*E1138,0)</f>
        <v>2.07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141</v>
      </c>
      <c r="C1139" s="34" t="s">
        <v>178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141</v>
      </c>
      <c r="C1140" s="16" t="s">
        <v>176</v>
      </c>
      <c r="D1140" s="38" t="n">
        <f aca="false">D862</f>
        <v>1</v>
      </c>
      <c r="E1140" s="39" t="n">
        <v>28.31</v>
      </c>
      <c r="F1140" s="22" t="n">
        <f aca="false">IFERROR(D1140*E1140,0)</f>
        <v>28.31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141</v>
      </c>
      <c r="C1141" s="34" t="s">
        <v>177</v>
      </c>
      <c r="D1141" s="35" t="n">
        <f aca="false">D862</f>
        <v>1</v>
      </c>
      <c r="E1141" s="36" t="n">
        <v>47.79</v>
      </c>
      <c r="F1141" s="37" t="n">
        <f aca="false">IFERROR(D1141*E1141,0)</f>
        <v>47.79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148</v>
      </c>
      <c r="C1142" s="16" t="s">
        <v>191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141</v>
      </c>
      <c r="C1143" s="34" t="s">
        <v>142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141</v>
      </c>
      <c r="C1144" s="16" t="s">
        <v>143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141</v>
      </c>
      <c r="C1145" s="34" t="s">
        <v>144</v>
      </c>
      <c r="D1145" s="35" t="n">
        <v>1</v>
      </c>
      <c r="E1145" s="36" t="n">
        <v>1608.55</v>
      </c>
      <c r="F1145" s="37" t="n">
        <f aca="false">IFERROR(D1145*E1145,0)</f>
        <v>1608.55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141</v>
      </c>
      <c r="C1146" s="16" t="s">
        <v>145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141</v>
      </c>
      <c r="C1147" s="34" t="s">
        <v>146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141</v>
      </c>
      <c r="C1148" s="16" t="s">
        <v>147</v>
      </c>
      <c r="D1148" s="38" t="n">
        <v>1</v>
      </c>
      <c r="E1148" s="39" t="n">
        <v>18000</v>
      </c>
      <c r="F1148" s="22" t="n">
        <f aca="false">IFERROR(D1148*E1148,0)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141</v>
      </c>
      <c r="C1149" s="34" t="s">
        <v>153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141</v>
      </c>
      <c r="C1150" s="16" t="s">
        <v>154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141</v>
      </c>
      <c r="C1151" s="34" t="s">
        <v>178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141</v>
      </c>
      <c r="C1152" s="16" t="s">
        <v>176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141</v>
      </c>
      <c r="C1153" s="34" t="s">
        <v>177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141</v>
      </c>
      <c r="C1154" s="16" t="s">
        <v>142</v>
      </c>
      <c r="D1154" s="38" t="n">
        <v>2</v>
      </c>
      <c r="E1154" s="39" t="n">
        <v>28.5</v>
      </c>
      <c r="F1154" s="22" t="n">
        <f aca="false">IFERROR(D1154*E1154,0)</f>
        <v>57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141</v>
      </c>
      <c r="C1155" s="34" t="s">
        <v>143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141</v>
      </c>
      <c r="C1156" s="16" t="s">
        <v>144</v>
      </c>
      <c r="D1156" s="38" t="n">
        <v>1</v>
      </c>
      <c r="E1156" s="39" t="n">
        <v>1608.55</v>
      </c>
      <c r="F1156" s="22" t="n">
        <f aca="false">IFERROR(D1156*E1156,0)</f>
        <v>1608.55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141</v>
      </c>
      <c r="C1157" s="34" t="s">
        <v>145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141</v>
      </c>
      <c r="C1158" s="16" t="s">
        <v>146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141</v>
      </c>
      <c r="C1159" s="34" t="s">
        <v>147</v>
      </c>
      <c r="D1159" s="35" t="n">
        <v>7</v>
      </c>
      <c r="E1159" s="36" t="n">
        <v>36796.53</v>
      </c>
      <c r="F1159" s="37" t="n">
        <f aca="false">IFERROR(D1159*E1159,0)</f>
        <v>257575.71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148</v>
      </c>
      <c r="C1160" s="16" t="s">
        <v>218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148</v>
      </c>
      <c r="C1161" s="34" t="s">
        <v>192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148</v>
      </c>
      <c r="C1162" s="16" t="s">
        <v>149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148</v>
      </c>
      <c r="C1163" s="34" t="s">
        <v>150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141</v>
      </c>
      <c r="C1164" s="16" t="s">
        <v>152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141</v>
      </c>
      <c r="C1165" s="34" t="s">
        <v>153</v>
      </c>
      <c r="D1165" s="35" t="n">
        <f aca="false">D889</f>
        <v>1</v>
      </c>
      <c r="E1165" s="36" t="n">
        <v>10.05</v>
      </c>
      <c r="F1165" s="37" t="n">
        <f aca="false">IFERROR(D1165*E1165,0)</f>
        <v>10.05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141</v>
      </c>
      <c r="C1166" s="16" t="s">
        <v>154</v>
      </c>
      <c r="D1166" s="38" t="n">
        <f aca="false">D889</f>
        <v>1</v>
      </c>
      <c r="E1166" s="39" t="n">
        <v>2.07</v>
      </c>
      <c r="F1166" s="22" t="n">
        <f aca="false">IFERROR(D1166*E1166,0)</f>
        <v>2.07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141</v>
      </c>
      <c r="C1167" s="34" t="s">
        <v>178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141</v>
      </c>
      <c r="C1168" s="16" t="s">
        <v>176</v>
      </c>
      <c r="D1168" s="38" t="n">
        <f aca="false">D889</f>
        <v>1</v>
      </c>
      <c r="E1168" s="39" t="n">
        <v>28.31</v>
      </c>
      <c r="F1168" s="22" t="n">
        <f aca="false">IFERROR(D1168*E1168,0)</f>
        <v>28.31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141</v>
      </c>
      <c r="C1169" s="34" t="s">
        <v>177</v>
      </c>
      <c r="D1169" s="35" t="n">
        <f aca="false">D889</f>
        <v>1</v>
      </c>
      <c r="E1169" s="36" t="n">
        <v>47.79</v>
      </c>
      <c r="F1169" s="37" t="n">
        <f aca="false">IFERROR(D1169*E1169,0)</f>
        <v>47.79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141</v>
      </c>
      <c r="C1170" s="16" t="s">
        <v>142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141</v>
      </c>
      <c r="C1171" s="34" t="s">
        <v>143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141</v>
      </c>
      <c r="C1172" s="16" t="s">
        <v>144</v>
      </c>
      <c r="D1172" s="38" t="n">
        <v>1</v>
      </c>
      <c r="E1172" s="39" t="n">
        <v>1608.55</v>
      </c>
      <c r="F1172" s="22" t="n">
        <f aca="false">IFERROR(D1172*E1172,0)</f>
        <v>1608.55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141</v>
      </c>
      <c r="C1173" s="34" t="s">
        <v>145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141</v>
      </c>
      <c r="C1174" s="16" t="s">
        <v>146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141</v>
      </c>
      <c r="C1175" s="34" t="s">
        <v>147</v>
      </c>
      <c r="D1175" s="35" t="n">
        <v>3</v>
      </c>
      <c r="E1175" s="36" t="n">
        <v>36601.96</v>
      </c>
      <c r="F1175" s="37" t="n">
        <f aca="false">IFERROR(D1175*E1175,0)</f>
        <v>109805.88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148</v>
      </c>
      <c r="C1176" s="16" t="s">
        <v>193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148</v>
      </c>
      <c r="C1177" s="34" t="s">
        <v>149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148</v>
      </c>
      <c r="C1178" s="16" t="s">
        <v>150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141</v>
      </c>
      <c r="C1179" s="34" t="s">
        <v>152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141</v>
      </c>
      <c r="C1180" s="16" t="s">
        <v>153</v>
      </c>
      <c r="D1180" s="38" t="n">
        <f aca="false">D905</f>
        <v>7</v>
      </c>
      <c r="E1180" s="39" t="n">
        <v>10.05</v>
      </c>
      <c r="F1180" s="22" t="n">
        <f aca="false">IFERROR(D1180*E1180,0)</f>
        <v>70.35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141</v>
      </c>
      <c r="C1181" s="34" t="s">
        <v>154</v>
      </c>
      <c r="D1181" s="35" t="n">
        <f aca="false">D905</f>
        <v>7</v>
      </c>
      <c r="E1181" s="36" t="n">
        <v>2.07</v>
      </c>
      <c r="F1181" s="37" t="n">
        <f aca="false">IFERROR(D1181*E1181,0)</f>
        <v>14.49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141</v>
      </c>
      <c r="C1182" s="16" t="s">
        <v>178</v>
      </c>
      <c r="D1182" s="38" t="n">
        <f aca="false">D905</f>
        <v>7</v>
      </c>
      <c r="E1182" s="39" t="n">
        <v>64.57</v>
      </c>
      <c r="F1182" s="22" t="n">
        <f aca="false">IFERROR(D1182*E1182,0)</f>
        <v>451.99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141</v>
      </c>
      <c r="C1183" s="34" t="s">
        <v>176</v>
      </c>
      <c r="D1183" s="35" t="n">
        <f aca="false">D905</f>
        <v>7</v>
      </c>
      <c r="E1183" s="36" t="n">
        <v>28.31</v>
      </c>
      <c r="F1183" s="37" t="n">
        <f aca="false">IFERROR(D1183*E1183,0)</f>
        <v>198.17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141</v>
      </c>
      <c r="C1184" s="16" t="s">
        <v>177</v>
      </c>
      <c r="D1184" s="38" t="n">
        <f aca="false">D905</f>
        <v>7</v>
      </c>
      <c r="E1184" s="39" t="n">
        <v>47.79</v>
      </c>
      <c r="F1184" s="22" t="n">
        <f aca="false">IFERROR(D1184*E1184,0)</f>
        <v>334.53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141</v>
      </c>
      <c r="C1185" s="34" t="s">
        <v>142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141</v>
      </c>
      <c r="C1186" s="16" t="s">
        <v>143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141</v>
      </c>
      <c r="C1187" s="34" t="s">
        <v>226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141</v>
      </c>
      <c r="C1188" s="16" t="s">
        <v>144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141</v>
      </c>
      <c r="C1189" s="34" t="s">
        <v>146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141</v>
      </c>
      <c r="C1190" s="16" t="s">
        <v>147</v>
      </c>
      <c r="D1190" s="38" t="n">
        <v>9</v>
      </c>
      <c r="E1190" s="39" t="n">
        <v>71367.15</v>
      </c>
      <c r="F1190" s="22" t="n">
        <f aca="false">IFERROR(D1190*E1190,0)</f>
        <v>642304.35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148</v>
      </c>
      <c r="C1191" s="34" t="s">
        <v>228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148</v>
      </c>
      <c r="C1192" s="16" t="s">
        <v>149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148</v>
      </c>
      <c r="C1193" s="34" t="s">
        <v>150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148</v>
      </c>
      <c r="C1194" s="16" t="s">
        <v>188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141</v>
      </c>
      <c r="C1195" s="34" t="s">
        <v>152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148</v>
      </c>
      <c r="C1196" s="16" t="s">
        <v>194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141</v>
      </c>
      <c r="C1197" s="34" t="s">
        <v>153</v>
      </c>
      <c r="D1197" s="35" t="n">
        <f aca="false">D920</f>
        <v>8</v>
      </c>
      <c r="E1197" s="36" t="n">
        <v>10.05</v>
      </c>
      <c r="F1197" s="37" t="n">
        <f aca="false">IFERROR(D1197*E1197,0)</f>
        <v>80.4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141</v>
      </c>
      <c r="C1198" s="16" t="s">
        <v>154</v>
      </c>
      <c r="D1198" s="38" t="n">
        <f aca="false">D920</f>
        <v>8</v>
      </c>
      <c r="E1198" s="39" t="n">
        <v>2.07</v>
      </c>
      <c r="F1198" s="22" t="n">
        <f aca="false">IFERROR(D1198*E1198,0)</f>
        <v>16.56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141</v>
      </c>
      <c r="C1199" s="34" t="s">
        <v>178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141</v>
      </c>
      <c r="C1200" s="16" t="s">
        <v>176</v>
      </c>
      <c r="D1200" s="38" t="n">
        <f aca="false">D920</f>
        <v>8</v>
      </c>
      <c r="E1200" s="39" t="n">
        <v>28.31</v>
      </c>
      <c r="F1200" s="22" t="n">
        <f aca="false">IFERROR(D1200*E1200,0)</f>
        <v>226.48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141</v>
      </c>
      <c r="C1201" s="34" t="s">
        <v>177</v>
      </c>
      <c r="D1201" s="35" t="n">
        <f aca="false">D920</f>
        <v>8</v>
      </c>
      <c r="E1201" s="36" t="n">
        <v>47.79</v>
      </c>
      <c r="F1201" s="37" t="n">
        <f aca="false">IFERROR(D1201*E1201,0)</f>
        <v>382.32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141</v>
      </c>
      <c r="C1202" s="16" t="s">
        <v>142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141</v>
      </c>
      <c r="C1203" s="34" t="s">
        <v>143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141</v>
      </c>
      <c r="C1204" s="16" t="s">
        <v>144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141</v>
      </c>
      <c r="C1205" s="34" t="s">
        <v>146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141</v>
      </c>
      <c r="C1206" s="16" t="s">
        <v>147</v>
      </c>
      <c r="D1206" s="38" t="n">
        <v>12</v>
      </c>
      <c r="E1206" s="39" t="n">
        <v>54038.56</v>
      </c>
      <c r="F1206" s="22" t="n">
        <f aca="false">IFERROR(D1206*E1206,0)</f>
        <v>648462.72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148</v>
      </c>
      <c r="C1207" s="34" t="s">
        <v>198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148</v>
      </c>
      <c r="C1208" s="16" t="s">
        <v>149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148</v>
      </c>
      <c r="C1209" s="34" t="s">
        <v>150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148</v>
      </c>
      <c r="C1210" s="16" t="s">
        <v>188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148</v>
      </c>
      <c r="C1211" s="34" t="s">
        <v>151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141</v>
      </c>
      <c r="C1212" s="16" t="s">
        <v>152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141</v>
      </c>
      <c r="C1213" s="34" t="s">
        <v>153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141</v>
      </c>
      <c r="C1214" s="16" t="s">
        <v>154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141</v>
      </c>
      <c r="C1215" s="34" t="s">
        <v>178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141</v>
      </c>
      <c r="C1216" s="16" t="s">
        <v>176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141</v>
      </c>
      <c r="C1217" s="34" t="s">
        <v>177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141</v>
      </c>
      <c r="C1218" s="16" t="s">
        <v>142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141</v>
      </c>
      <c r="C1219" s="34" t="s">
        <v>143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141</v>
      </c>
      <c r="C1220" s="16" t="s">
        <v>144</v>
      </c>
      <c r="D1220" s="38" t="n">
        <v>1</v>
      </c>
      <c r="E1220" s="39" t="n">
        <v>1608.55</v>
      </c>
      <c r="F1220" s="22" t="n">
        <f aca="false">IFERROR(D1220*E1220,0)</f>
        <v>1608.55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141</v>
      </c>
      <c r="C1221" s="34" t="s">
        <v>145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141</v>
      </c>
      <c r="C1222" s="16" t="s">
        <v>146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141</v>
      </c>
      <c r="C1223" s="34" t="s">
        <v>147</v>
      </c>
      <c r="D1223" s="35" t="n">
        <v>7</v>
      </c>
      <c r="E1223" s="36" t="n">
        <v>27270.03</v>
      </c>
      <c r="F1223" s="37" t="n">
        <f aca="false">IFERROR(D1223*E1223,0)</f>
        <v>190890.21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141</v>
      </c>
      <c r="C1224" s="16" t="s">
        <v>195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148</v>
      </c>
      <c r="C1225" s="34" t="s">
        <v>149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148</v>
      </c>
      <c r="C1226" s="16" t="s">
        <v>150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141</v>
      </c>
      <c r="C1227" s="34" t="s">
        <v>152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141</v>
      </c>
      <c r="C1228" s="16" t="s">
        <v>153</v>
      </c>
      <c r="D1228" s="38" t="n">
        <f aca="false">D953</f>
        <v>2</v>
      </c>
      <c r="E1228" s="39" t="n">
        <v>10.05</v>
      </c>
      <c r="F1228" s="22" t="n">
        <f aca="false">IFERROR(D1228*E1228,0)</f>
        <v>20.1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141</v>
      </c>
      <c r="C1229" s="34" t="s">
        <v>154</v>
      </c>
      <c r="D1229" s="35" t="n">
        <f aca="false">D953</f>
        <v>2</v>
      </c>
      <c r="E1229" s="36" t="n">
        <v>2.07</v>
      </c>
      <c r="F1229" s="37" t="n">
        <f aca="false">IFERROR(D1229*E1229,0)</f>
        <v>4.14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141</v>
      </c>
      <c r="C1230" s="16" t="s">
        <v>178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141</v>
      </c>
      <c r="C1231" s="34" t="s">
        <v>176</v>
      </c>
      <c r="D1231" s="35" t="n">
        <f aca="false">D953</f>
        <v>2</v>
      </c>
      <c r="E1231" s="36" t="n">
        <v>28.31</v>
      </c>
      <c r="F1231" s="37" t="n">
        <f aca="false">IFERROR(D1231*E1231,0)</f>
        <v>56.62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141</v>
      </c>
      <c r="C1232" s="16" t="s">
        <v>177</v>
      </c>
      <c r="D1232" s="38" t="n">
        <f aca="false">D953</f>
        <v>2</v>
      </c>
      <c r="E1232" s="39" t="n">
        <v>47.79</v>
      </c>
      <c r="F1232" s="22" t="n">
        <f aca="false">IFERROR(D1232*E1232,0)</f>
        <v>95.58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141</v>
      </c>
      <c r="C1233" s="34" t="s">
        <v>145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141</v>
      </c>
      <c r="C1234" s="16" t="s">
        <v>142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141</v>
      </c>
      <c r="C1235" s="34" t="s">
        <v>143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141</v>
      </c>
      <c r="C1236" s="16" t="s">
        <v>144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141</v>
      </c>
      <c r="C1237" s="34" t="s">
        <v>145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141</v>
      </c>
      <c r="C1238" s="16" t="s">
        <v>146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141</v>
      </c>
      <c r="C1239" s="34" t="s">
        <v>147</v>
      </c>
      <c r="D1239" s="35" t="n">
        <v>13</v>
      </c>
      <c r="E1239" s="36" t="n">
        <v>62336.25</v>
      </c>
      <c r="F1239" s="37" t="n">
        <f aca="false">IFERROR(D1239*E1239,0)</f>
        <v>810371.25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148</v>
      </c>
      <c r="C1240" s="16" t="s">
        <v>194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148</v>
      </c>
      <c r="C1241" s="34" t="s">
        <v>196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148</v>
      </c>
      <c r="C1242" s="16" t="s">
        <v>149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148</v>
      </c>
      <c r="C1243" s="34" t="s">
        <v>150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148</v>
      </c>
      <c r="C1244" s="16" t="s">
        <v>197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148</v>
      </c>
      <c r="C1245" s="34" t="s">
        <v>188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141</v>
      </c>
      <c r="C1246" s="16" t="s">
        <v>152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141</v>
      </c>
      <c r="C1247" s="34" t="s">
        <v>153</v>
      </c>
      <c r="D1247" s="35" t="n">
        <f aca="false">D969</f>
        <v>3</v>
      </c>
      <c r="E1247" s="36" t="n">
        <v>10.05</v>
      </c>
      <c r="F1247" s="37" t="n">
        <f aca="false">IFERROR(D1247*E1247,0)</f>
        <v>30.15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141</v>
      </c>
      <c r="C1248" s="16" t="s">
        <v>154</v>
      </c>
      <c r="D1248" s="38" t="n">
        <f aca="false">D969</f>
        <v>3</v>
      </c>
      <c r="E1248" s="39" t="n">
        <v>2.07</v>
      </c>
      <c r="F1248" s="22" t="n">
        <f aca="false">IFERROR(D1248*E1248,0)</f>
        <v>6.21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141</v>
      </c>
      <c r="C1249" s="34" t="s">
        <v>178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141</v>
      </c>
      <c r="C1250" s="16" t="s">
        <v>176</v>
      </c>
      <c r="D1250" s="38" t="n">
        <f aca="false">D969</f>
        <v>3</v>
      </c>
      <c r="E1250" s="39" t="n">
        <v>28.31</v>
      </c>
      <c r="F1250" s="22" t="n">
        <f aca="false">IFERROR(D1250*E1250,0)</f>
        <v>84.93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141</v>
      </c>
      <c r="C1251" s="34" t="s">
        <v>177</v>
      </c>
      <c r="D1251" s="35" t="n">
        <f aca="false">D969</f>
        <v>3</v>
      </c>
      <c r="E1251" s="36" t="n">
        <v>47.79</v>
      </c>
      <c r="F1251" s="37" t="n">
        <f aca="false">IFERROR(D1251*E1251,0)</f>
        <v>143.37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141</v>
      </c>
      <c r="C1252" s="16" t="s">
        <v>142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141</v>
      </c>
      <c r="C1253" s="34" t="s">
        <v>143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141</v>
      </c>
      <c r="C1254" s="16" t="s">
        <v>145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141</v>
      </c>
      <c r="C1255" s="34" t="s">
        <v>146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141</v>
      </c>
      <c r="C1256" s="16" t="s">
        <v>147</v>
      </c>
      <c r="D1256" s="38" t="n">
        <v>12</v>
      </c>
      <c r="E1256" s="39" t="n">
        <v>115351.05</v>
      </c>
      <c r="F1256" s="22" t="n">
        <f aca="false">IFERROR(D1256*E1256,0)</f>
        <v>1384212.6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148</v>
      </c>
      <c r="C1257" s="34" t="s">
        <v>198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148</v>
      </c>
      <c r="C1258" s="16" t="s">
        <v>197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148</v>
      </c>
      <c r="C1259" s="34" t="s">
        <v>169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141</v>
      </c>
      <c r="C1260" s="16" t="s">
        <v>152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148</v>
      </c>
      <c r="C1261" s="34" t="s">
        <v>194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141</v>
      </c>
      <c r="C1262" s="16" t="s">
        <v>153</v>
      </c>
      <c r="D1262" s="38" t="n">
        <f aca="false">D986</f>
        <v>0</v>
      </c>
      <c r="E1262" s="39" t="n">
        <v>10.05</v>
      </c>
      <c r="F1262" s="22" t="n">
        <f aca="false">IFERROR(D1262*E1262,0)</f>
        <v>0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141</v>
      </c>
      <c r="C1263" s="34" t="s">
        <v>154</v>
      </c>
      <c r="D1263" s="35" t="n">
        <f aca="false">D986</f>
        <v>0</v>
      </c>
      <c r="E1263" s="36" t="n">
        <v>2.07</v>
      </c>
      <c r="F1263" s="37" t="n">
        <f aca="false">IFERROR(D1263*E1263,0)</f>
        <v>0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141</v>
      </c>
      <c r="C1264" s="16" t="s">
        <v>178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141</v>
      </c>
      <c r="C1265" s="34" t="s">
        <v>176</v>
      </c>
      <c r="D1265" s="35" t="n">
        <f aca="false">D986</f>
        <v>0</v>
      </c>
      <c r="E1265" s="36" t="n">
        <v>28.31</v>
      </c>
      <c r="F1265" s="37" t="n">
        <f aca="false">IFERROR(D1265*E1265,0)</f>
        <v>0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141</v>
      </c>
      <c r="C1266" s="16" t="s">
        <v>177</v>
      </c>
      <c r="D1266" s="38" t="n">
        <f aca="false">D986</f>
        <v>0</v>
      </c>
      <c r="E1266" s="39" t="n">
        <v>47.79</v>
      </c>
      <c r="F1266" s="22" t="n">
        <f aca="false">IFERROR(D1266*E1266,0)</f>
        <v>0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141</v>
      </c>
      <c r="C1267" s="34" t="s">
        <v>142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141</v>
      </c>
      <c r="C1268" s="16" t="s">
        <v>143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141</v>
      </c>
      <c r="C1269" s="34" t="s">
        <v>144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141</v>
      </c>
      <c r="C1270" s="16" t="s">
        <v>145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141</v>
      </c>
      <c r="C1271" s="34" t="s">
        <v>146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141</v>
      </c>
      <c r="C1272" s="16" t="s">
        <v>147</v>
      </c>
      <c r="D1272" s="38" t="n">
        <v>4</v>
      </c>
      <c r="E1272" s="39" t="n">
        <v>44988.49</v>
      </c>
      <c r="F1272" s="22" t="n">
        <f aca="false">IFERROR(D1272*E1272,0)</f>
        <v>179953.96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141</v>
      </c>
      <c r="C1273" s="34" t="s">
        <v>152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148</v>
      </c>
      <c r="C1274" s="16" t="s">
        <v>194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141</v>
      </c>
      <c r="C1275" s="34" t="s">
        <v>153</v>
      </c>
      <c r="D1275" s="35" t="n">
        <f aca="false">D1002</f>
        <v>1</v>
      </c>
      <c r="E1275" s="36" t="n">
        <v>10.05</v>
      </c>
      <c r="F1275" s="37" t="n">
        <f aca="false">IFERROR(D1275*E1275,0)</f>
        <v>10.05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141</v>
      </c>
      <c r="C1276" s="16" t="s">
        <v>154</v>
      </c>
      <c r="D1276" s="38" t="n">
        <f aca="false">D1002</f>
        <v>1</v>
      </c>
      <c r="E1276" s="39" t="n">
        <v>2.07</v>
      </c>
      <c r="F1276" s="22" t="n">
        <f aca="false">IFERROR(D1276*E1276,0)</f>
        <v>2.07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141</v>
      </c>
      <c r="C1277" s="34" t="s">
        <v>178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141</v>
      </c>
      <c r="C1278" s="16" t="s">
        <v>176</v>
      </c>
      <c r="D1278" s="38" t="n">
        <f aca="false">D1002</f>
        <v>1</v>
      </c>
      <c r="E1278" s="39" t="n">
        <v>28.31</v>
      </c>
      <c r="F1278" s="22" t="n">
        <f aca="false">IFERROR(D1278*E1278,0)</f>
        <v>28.31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141</v>
      </c>
      <c r="C1279" s="34" t="s">
        <v>177</v>
      </c>
      <c r="D1279" s="35" t="n">
        <f aca="false">D1002</f>
        <v>1</v>
      </c>
      <c r="E1279" s="36" t="n">
        <v>47.79</v>
      </c>
      <c r="F1279" s="37" t="n">
        <f aca="false">IFERROR(D1279*E1279,0)</f>
        <v>47.79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141</v>
      </c>
      <c r="C1280" s="16" t="s">
        <v>142</v>
      </c>
      <c r="D1280" s="38" t="n">
        <v>4</v>
      </c>
      <c r="E1280" s="39" t="n">
        <v>10.58</v>
      </c>
      <c r="F1280" s="22" t="n">
        <f aca="false">IFERROR(D1280*E1280,0)</f>
        <v>42.32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141</v>
      </c>
      <c r="C1281" s="34" t="s">
        <v>143</v>
      </c>
      <c r="D1281" s="35" t="n">
        <v>18</v>
      </c>
      <c r="E1281" s="36" t="n">
        <v>536.49</v>
      </c>
      <c r="F1281" s="37" t="n">
        <f aca="false">IFERROR(D1281*E1281,0)</f>
        <v>9656.82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141</v>
      </c>
      <c r="C1282" s="16" t="s">
        <v>144</v>
      </c>
      <c r="D1282" s="38" t="n">
        <v>1</v>
      </c>
      <c r="E1282" s="39" t="n">
        <v>1608.55</v>
      </c>
      <c r="F1282" s="22" t="n">
        <f aca="false">IFERROR(D1282*E1282,0)</f>
        <v>1608.55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141</v>
      </c>
      <c r="C1283" s="34" t="s">
        <v>145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141</v>
      </c>
      <c r="C1284" s="16" t="s">
        <v>146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141</v>
      </c>
      <c r="C1285" s="34" t="s">
        <v>147</v>
      </c>
      <c r="D1285" s="35" t="n">
        <v>42</v>
      </c>
      <c r="E1285" s="36" t="n">
        <v>146191.32</v>
      </c>
      <c r="F1285" s="37" t="n">
        <f aca="false">IFERROR(D1285*E1285,0)</f>
        <v>6140035.44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141</v>
      </c>
      <c r="C1286" s="16" t="s">
        <v>199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148</v>
      </c>
      <c r="C1287" s="34" t="s">
        <v>149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148</v>
      </c>
      <c r="C1288" s="16" t="s">
        <v>150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148</v>
      </c>
      <c r="C1289" s="34" t="s">
        <v>151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141</v>
      </c>
      <c r="C1290" s="16" t="s">
        <v>152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141</v>
      </c>
      <c r="C1291" s="34" t="s">
        <v>170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141</v>
      </c>
      <c r="C1292" s="16" t="s">
        <v>221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141</v>
      </c>
      <c r="C1293" s="34" t="s">
        <v>222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141</v>
      </c>
      <c r="C1294" s="16" t="s">
        <v>223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148</v>
      </c>
      <c r="C1295" s="34" t="s">
        <v>224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148</v>
      </c>
      <c r="C1296" s="16" t="s">
        <v>225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141</v>
      </c>
      <c r="C1297" s="34" t="s">
        <v>226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148</v>
      </c>
      <c r="C1298" s="16" t="s">
        <v>172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141</v>
      </c>
      <c r="C1299" s="34" t="s">
        <v>153</v>
      </c>
      <c r="D1299" s="35" t="n">
        <f aca="false">D1015</f>
        <v>4</v>
      </c>
      <c r="E1299" s="36" t="n">
        <v>10.05</v>
      </c>
      <c r="F1299" s="37" t="n">
        <f aca="false">IFERROR(D1299*E1299,0)</f>
        <v>40.2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141</v>
      </c>
      <c r="C1300" s="16" t="s">
        <v>154</v>
      </c>
      <c r="D1300" s="38" t="n">
        <f aca="false">D1015</f>
        <v>4</v>
      </c>
      <c r="E1300" s="39" t="n">
        <v>2.07</v>
      </c>
      <c r="F1300" s="22" t="n">
        <f aca="false">IFERROR(D1300*E1300,0)</f>
        <v>8.28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141</v>
      </c>
      <c r="C1301" s="34" t="s">
        <v>178</v>
      </c>
      <c r="D1301" s="35" t="n">
        <f aca="false">D1015</f>
        <v>4</v>
      </c>
      <c r="E1301" s="36" t="n">
        <v>64.57</v>
      </c>
      <c r="F1301" s="37" t="n">
        <f aca="false">IFERROR(D1301*E1301,0)</f>
        <v>258.28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141</v>
      </c>
      <c r="C1302" s="16" t="s">
        <v>176</v>
      </c>
      <c r="D1302" s="38" t="n">
        <f aca="false">D1015</f>
        <v>4</v>
      </c>
      <c r="E1302" s="39" t="n">
        <v>28.31</v>
      </c>
      <c r="F1302" s="22" t="n">
        <f aca="false">IFERROR(D1302*E1302,0)</f>
        <v>113.24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141</v>
      </c>
      <c r="C1303" s="34" t="s">
        <v>177</v>
      </c>
      <c r="D1303" s="35" t="n">
        <f aca="false">D1015</f>
        <v>4</v>
      </c>
      <c r="E1303" s="36" t="n">
        <v>47.79</v>
      </c>
      <c r="F1303" s="37" t="n">
        <f aca="false">IFERROR(D1303*E1303,0)</f>
        <v>191.16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141</v>
      </c>
      <c r="C1304" s="16" t="s">
        <v>142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141</v>
      </c>
      <c r="C1305" s="34" t="s">
        <v>143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141</v>
      </c>
      <c r="C1306" s="16" t="s">
        <v>145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141</v>
      </c>
      <c r="C1307" s="34" t="s">
        <v>146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141</v>
      </c>
      <c r="C1308" s="16" t="s">
        <v>147</v>
      </c>
      <c r="D1308" s="38" t="n">
        <v>22</v>
      </c>
      <c r="E1308" s="39" t="n">
        <v>145654.82</v>
      </c>
      <c r="F1308" s="22" t="n">
        <f aca="false">IFERROR(D1308*E1308,0)</f>
        <v>3204406.04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148</v>
      </c>
      <c r="C1309" s="34" t="s">
        <v>198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148</v>
      </c>
      <c r="C1310" s="16" t="s">
        <v>197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141</v>
      </c>
      <c r="C1311" s="34" t="s">
        <v>152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148</v>
      </c>
      <c r="C1312" s="16" t="s">
        <v>194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141</v>
      </c>
      <c r="C1313" s="34" t="s">
        <v>153</v>
      </c>
      <c r="D1313" s="35" t="n">
        <f aca="false">D1038</f>
        <v>1</v>
      </c>
      <c r="E1313" s="36" t="n">
        <v>10.05</v>
      </c>
      <c r="F1313" s="37" t="n">
        <f aca="false">IFERROR(D1313*E1313,0)</f>
        <v>10.05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141</v>
      </c>
      <c r="C1314" s="16" t="s">
        <v>154</v>
      </c>
      <c r="D1314" s="38" t="n">
        <f aca="false">D1038</f>
        <v>1</v>
      </c>
      <c r="E1314" s="39" t="n">
        <v>2.07</v>
      </c>
      <c r="F1314" s="22" t="n">
        <f aca="false">IFERROR(D1314*E1314,0)</f>
        <v>2.07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141</v>
      </c>
      <c r="C1315" s="34" t="s">
        <v>178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141</v>
      </c>
      <c r="C1316" s="16" t="s">
        <v>176</v>
      </c>
      <c r="D1316" s="38" t="n">
        <f aca="false">D1038</f>
        <v>1</v>
      </c>
      <c r="E1316" s="39" t="n">
        <v>28.31</v>
      </c>
      <c r="F1316" s="22" t="n">
        <f aca="false">IFERROR(D1316*E1316,0)</f>
        <v>28.31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141</v>
      </c>
      <c r="C1317" s="34" t="s">
        <v>177</v>
      </c>
      <c r="D1317" s="35" t="n">
        <f aca="false">D1038</f>
        <v>1</v>
      </c>
      <c r="E1317" s="36" t="n">
        <v>47.79</v>
      </c>
      <c r="F1317" s="37" t="n">
        <f aca="false">IFERROR(D1317*E1317,0)</f>
        <v>47.79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141</v>
      </c>
      <c r="C1318" s="16" t="s">
        <v>145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141</v>
      </c>
      <c r="C1319" s="34" t="s">
        <v>142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141</v>
      </c>
      <c r="C1320" s="16" t="s">
        <v>143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141</v>
      </c>
      <c r="C1321" s="34" t="s">
        <v>144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141</v>
      </c>
      <c r="C1322" s="16" t="s">
        <v>145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141</v>
      </c>
      <c r="C1323" s="34" t="s">
        <v>146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141</v>
      </c>
      <c r="C1324" s="16" t="s">
        <v>147</v>
      </c>
      <c r="D1324" s="38" t="n">
        <v>4</v>
      </c>
      <c r="E1324" s="39" t="n">
        <v>23497.04</v>
      </c>
      <c r="F1324" s="22" t="n">
        <f aca="false">IFERROR(D1324*E1324,0)</f>
        <v>93988.16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141</v>
      </c>
      <c r="C1325" s="34" t="s">
        <v>200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148</v>
      </c>
      <c r="C1326" s="16" t="s">
        <v>194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148</v>
      </c>
      <c r="C1327" s="34" t="s">
        <v>196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148</v>
      </c>
      <c r="C1328" s="16" t="s">
        <v>188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148</v>
      </c>
      <c r="C1329" s="34" t="s">
        <v>151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141</v>
      </c>
      <c r="C1330" s="16" t="s">
        <v>153</v>
      </c>
      <c r="D1330" s="38" t="n">
        <f aca="false">D1054</f>
        <v>1</v>
      </c>
      <c r="E1330" s="39" t="n">
        <v>10.05</v>
      </c>
      <c r="F1330" s="22" t="n">
        <f aca="false">IFERROR(D1330*E1330,0)</f>
        <v>10.05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141</v>
      </c>
      <c r="C1331" s="34" t="s">
        <v>154</v>
      </c>
      <c r="D1331" s="35" t="n">
        <f aca="false">D1054</f>
        <v>1</v>
      </c>
      <c r="E1331" s="36" t="n">
        <v>2.07</v>
      </c>
      <c r="F1331" s="37" t="n">
        <f aca="false">IFERROR(D1331*E1331,0)</f>
        <v>2.07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141</v>
      </c>
      <c r="C1332" s="16" t="s">
        <v>178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141</v>
      </c>
      <c r="C1333" s="34" t="s">
        <v>176</v>
      </c>
      <c r="D1333" s="35" t="n">
        <f aca="false">D1054</f>
        <v>1</v>
      </c>
      <c r="E1333" s="36" t="n">
        <v>28.31</v>
      </c>
      <c r="F1333" s="37" t="n">
        <f aca="false">IFERROR(D1333*E1333,0)</f>
        <v>28.31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141</v>
      </c>
      <c r="C1334" s="16" t="s">
        <v>177</v>
      </c>
      <c r="D1334" s="38" t="n">
        <f aca="false">D1054</f>
        <v>1</v>
      </c>
      <c r="E1334" s="39" t="n">
        <v>47.79</v>
      </c>
      <c r="F1334" s="22" t="n">
        <f aca="false">IFERROR(D1334*E1334,0)</f>
        <v>47.79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141</v>
      </c>
      <c r="C1335" s="34" t="s">
        <v>142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141</v>
      </c>
      <c r="C1336" s="16" t="s">
        <v>143</v>
      </c>
      <c r="D1336" s="38" t="n">
        <v>3</v>
      </c>
      <c r="E1336" s="39" t="n">
        <v>65.7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141</v>
      </c>
      <c r="C1337" s="34" t="s">
        <v>144</v>
      </c>
      <c r="D1337" s="35" t="n">
        <v>1</v>
      </c>
      <c r="E1337" s="36" t="n">
        <v>1608.55</v>
      </c>
      <c r="F1337" s="37" t="n">
        <f aca="false">IFERROR(D1337*E1337,0)</f>
        <v>1608.55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141</v>
      </c>
      <c r="C1338" s="16" t="s">
        <v>145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141</v>
      </c>
      <c r="C1339" s="34" t="s">
        <v>146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141</v>
      </c>
      <c r="C1340" s="16" t="s">
        <v>147</v>
      </c>
      <c r="D1340" s="38" t="n">
        <v>4</v>
      </c>
      <c r="E1340" s="39" t="n">
        <v>21711.44</v>
      </c>
      <c r="F1340" s="22" t="n">
        <f aca="false">IFERROR(D1340*E1340,0)</f>
        <v>86845.76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148</v>
      </c>
      <c r="C1341" s="34" t="s">
        <v>201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148</v>
      </c>
      <c r="C1342" s="16" t="s">
        <v>202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141</v>
      </c>
      <c r="C1343" s="34" t="s">
        <v>203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148</v>
      </c>
      <c r="C1344" s="16" t="s">
        <v>204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141</v>
      </c>
      <c r="C1345" s="34" t="s">
        <v>205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141</v>
      </c>
      <c r="C1346" s="16" t="s">
        <v>206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141</v>
      </c>
      <c r="C1347" s="34" t="s">
        <v>152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141</v>
      </c>
      <c r="C1348" s="16" t="s">
        <v>153</v>
      </c>
      <c r="D1348" s="38" t="n">
        <f aca="false">D1070</f>
        <v>1</v>
      </c>
      <c r="E1348" s="39" t="n">
        <v>10.05</v>
      </c>
      <c r="F1348" s="22" t="n">
        <f aca="false">IFERROR(D1348*E1348,0)</f>
        <v>10.05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141</v>
      </c>
      <c r="C1349" s="34" t="s">
        <v>154</v>
      </c>
      <c r="D1349" s="35" t="n">
        <f aca="false">D1070</f>
        <v>1</v>
      </c>
      <c r="E1349" s="36" t="n">
        <v>2.07</v>
      </c>
      <c r="F1349" s="37" t="n">
        <f aca="false">IFERROR(D1349*E1349,0)</f>
        <v>2.07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141</v>
      </c>
      <c r="C1350" s="16" t="s">
        <v>178</v>
      </c>
      <c r="D1350" s="38" t="n">
        <f aca="false">D1070</f>
        <v>1</v>
      </c>
      <c r="E1350" s="39" t="n">
        <v>64.57</v>
      </c>
      <c r="F1350" s="22" t="n">
        <f aca="false">IFERROR(D1350*E1350,0)</f>
        <v>64.57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141</v>
      </c>
      <c r="C1351" s="34" t="s">
        <v>176</v>
      </c>
      <c r="D1351" s="35" t="n">
        <f aca="false">D1070</f>
        <v>1</v>
      </c>
      <c r="E1351" s="36" t="n">
        <v>28.31</v>
      </c>
      <c r="F1351" s="37" t="n">
        <f aca="false">IFERROR(D1351*E1351,0)</f>
        <v>28.31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141</v>
      </c>
      <c r="C1352" s="16" t="s">
        <v>177</v>
      </c>
      <c r="D1352" s="38" t="n">
        <f aca="false">D1070</f>
        <v>1</v>
      </c>
      <c r="E1352" s="39" t="n">
        <v>47.79</v>
      </c>
      <c r="F1352" s="22" t="n">
        <f aca="false">IFERROR(D1352*E1352,0)</f>
        <v>47.79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141</v>
      </c>
      <c r="C1353" s="34" t="s">
        <v>142</v>
      </c>
      <c r="D1353" s="35" t="n">
        <v>4</v>
      </c>
      <c r="E1353" s="36" t="n">
        <v>10.58</v>
      </c>
      <c r="F1353" s="37" t="n">
        <f aca="false">IFERROR(D1353*E1353,0)</f>
        <v>42.32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141</v>
      </c>
      <c r="C1354" s="16" t="s">
        <v>143</v>
      </c>
      <c r="D1354" s="38" t="n">
        <v>18</v>
      </c>
      <c r="E1354" s="39" t="n">
        <v>536.49</v>
      </c>
      <c r="F1354" s="22" t="n">
        <f aca="false">IFERROR(D1354*E1354,0)</f>
        <v>9656.82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141</v>
      </c>
      <c r="C1355" s="34" t="s">
        <v>144</v>
      </c>
      <c r="D1355" s="35" t="n">
        <v>1</v>
      </c>
      <c r="E1355" s="36" t="n">
        <v>1608.55</v>
      </c>
      <c r="F1355" s="37" t="n">
        <f aca="false">IFERROR(D1355*E1355,0)</f>
        <v>1608.55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141</v>
      </c>
      <c r="C1356" s="16" t="s">
        <v>145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141</v>
      </c>
      <c r="C1357" s="34" t="s">
        <v>146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141</v>
      </c>
      <c r="C1358" s="16" t="s">
        <v>147</v>
      </c>
      <c r="D1358" s="38" t="n">
        <v>10</v>
      </c>
      <c r="E1358" s="39" t="n">
        <v>30713.94</v>
      </c>
      <c r="F1358" s="22" t="n">
        <f aca="false">IFERROR(D1358*E1358,0)</f>
        <v>307139.4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141</v>
      </c>
      <c r="C1359" s="34" t="s">
        <v>199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148</v>
      </c>
      <c r="C1360" s="16" t="s">
        <v>229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148</v>
      </c>
      <c r="C1361" s="34" t="s">
        <v>149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148</v>
      </c>
      <c r="C1362" s="16" t="s">
        <v>150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148</v>
      </c>
      <c r="C1363" s="34" t="s">
        <v>151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141</v>
      </c>
      <c r="C1364" s="16" t="s">
        <v>152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141</v>
      </c>
      <c r="C1365" s="34" t="s">
        <v>170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141</v>
      </c>
      <c r="C1366" s="16" t="s">
        <v>221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141</v>
      </c>
      <c r="C1367" s="34" t="s">
        <v>222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141</v>
      </c>
      <c r="C1368" s="16" t="s">
        <v>223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148</v>
      </c>
      <c r="C1369" s="34" t="s">
        <v>224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148</v>
      </c>
      <c r="C1370" s="16" t="s">
        <v>225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141</v>
      </c>
      <c r="C1371" s="34" t="s">
        <v>226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148</v>
      </c>
      <c r="C1372" s="16" t="s">
        <v>172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141</v>
      </c>
      <c r="C1373" s="34" t="s">
        <v>153</v>
      </c>
      <c r="D1373" s="35" t="n">
        <f aca="false">D1088</f>
        <v>1</v>
      </c>
      <c r="E1373" s="36" t="n">
        <v>10.05</v>
      </c>
      <c r="F1373" s="37" t="n">
        <f aca="false">IFERROR(D1373*E1373,0)</f>
        <v>10.05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141</v>
      </c>
      <c r="C1374" s="16" t="s">
        <v>154</v>
      </c>
      <c r="D1374" s="38" t="n">
        <f aca="false">D1088</f>
        <v>1</v>
      </c>
      <c r="E1374" s="39" t="n">
        <v>2.07</v>
      </c>
      <c r="F1374" s="22" t="n">
        <f aca="false">IFERROR(D1374*E1374,0)</f>
        <v>2.07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141</v>
      </c>
      <c r="C1375" s="34" t="s">
        <v>178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141</v>
      </c>
      <c r="C1376" s="16" t="s">
        <v>176</v>
      </c>
      <c r="D1376" s="38" t="n">
        <f aca="false">D1088</f>
        <v>1</v>
      </c>
      <c r="E1376" s="39" t="n">
        <v>28.31</v>
      </c>
      <c r="F1376" s="22" t="n">
        <f aca="false">IFERROR(D1376*E1376,0)</f>
        <v>28.31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141</v>
      </c>
      <c r="C1377" s="34" t="s">
        <v>177</v>
      </c>
      <c r="D1377" s="35" t="n">
        <f aca="false">D1088</f>
        <v>1</v>
      </c>
      <c r="E1377" s="36" t="n">
        <v>47.79</v>
      </c>
      <c r="F1377" s="37" t="n">
        <f aca="false">IFERROR(D1377*E1377,0)</f>
        <v>47.79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141</v>
      </c>
      <c r="C1378" s="16" t="s">
        <v>145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141</v>
      </c>
      <c r="C1379" s="34" t="s">
        <v>142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141</v>
      </c>
      <c r="C1380" s="16" t="s">
        <v>143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141</v>
      </c>
      <c r="C1381" s="34" t="s">
        <v>144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141</v>
      </c>
      <c r="C1382" s="16" t="s">
        <v>145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141</v>
      </c>
      <c r="C1383" s="34" t="s">
        <v>146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141</v>
      </c>
      <c r="C1384" s="16" t="s">
        <v>147</v>
      </c>
      <c r="D1384" s="38" t="n">
        <v>6</v>
      </c>
      <c r="E1384" s="39" t="n">
        <v>38002.07</v>
      </c>
      <c r="F1384" s="22" t="n">
        <f aca="false">IFERROR(D1384*E1384,0)</f>
        <v>228012.42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148</v>
      </c>
      <c r="C1385" s="34" t="s">
        <v>197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148</v>
      </c>
      <c r="C1386" s="16" t="s">
        <v>151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148</v>
      </c>
      <c r="C1387" s="34" t="s">
        <v>149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148</v>
      </c>
      <c r="C1388" s="16" t="s">
        <v>150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148</v>
      </c>
      <c r="C1389" s="34" t="s">
        <v>188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148</v>
      </c>
      <c r="C1390" s="16" t="s">
        <v>207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141</v>
      </c>
      <c r="C1391" s="34" t="s">
        <v>152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148</v>
      </c>
      <c r="C1392" s="16" t="s">
        <v>194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141</v>
      </c>
      <c r="C1393" s="34" t="s">
        <v>153</v>
      </c>
      <c r="D1393" s="35" t="n">
        <f aca="false">D1114</f>
        <v>0</v>
      </c>
      <c r="E1393" s="36" t="n">
        <v>10.05</v>
      </c>
      <c r="F1393" s="37" t="n">
        <f aca="false">IFERROR(D1393*E1393,0)</f>
        <v>0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141</v>
      </c>
      <c r="C1394" s="16" t="s">
        <v>154</v>
      </c>
      <c r="D1394" s="38" t="n">
        <f aca="false">D1114</f>
        <v>0</v>
      </c>
      <c r="E1394" s="39" t="n">
        <v>2.07</v>
      </c>
      <c r="F1394" s="22" t="n">
        <f aca="false">IFERROR(D1394*E1394,0)</f>
        <v>0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141</v>
      </c>
      <c r="C1395" s="34" t="s">
        <v>178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141</v>
      </c>
      <c r="C1396" s="16" t="s">
        <v>176</v>
      </c>
      <c r="D1396" s="38" t="n">
        <f aca="false">D1114</f>
        <v>0</v>
      </c>
      <c r="E1396" s="39" t="n">
        <v>28.31</v>
      </c>
      <c r="F1396" s="22" t="n">
        <f aca="false">IFERROR(D1396*E1396,0)</f>
        <v>0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141</v>
      </c>
      <c r="C1397" s="34" t="s">
        <v>177</v>
      </c>
      <c r="D1397" s="35" t="n">
        <f aca="false">D1114</f>
        <v>0</v>
      </c>
      <c r="E1397" s="36" t="n">
        <v>47.79</v>
      </c>
      <c r="F1397" s="37" t="n">
        <f aca="false">IFERROR(D1397*E1397,0)</f>
        <v>0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141</v>
      </c>
      <c r="C1398" s="16" t="s">
        <v>142</v>
      </c>
      <c r="D1398" s="38" t="n">
        <v>4</v>
      </c>
      <c r="E1398" s="39" t="n">
        <v>10.58</v>
      </c>
      <c r="F1398" s="22" t="n">
        <f aca="false">IFERROR(D1398*E1398,0)</f>
        <v>42.32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141</v>
      </c>
      <c r="C1399" s="34" t="s">
        <v>143</v>
      </c>
      <c r="D1399" s="35" t="n">
        <v>18</v>
      </c>
      <c r="E1399" s="36" t="n">
        <v>536.49</v>
      </c>
      <c r="F1399" s="37" t="n">
        <f aca="false">IFERROR(D1399*E1399,0)</f>
        <v>9656.82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141</v>
      </c>
      <c r="C1400" s="16" t="s">
        <v>144</v>
      </c>
      <c r="D1400" s="38" t="n">
        <v>1</v>
      </c>
      <c r="E1400" s="39" t="n">
        <v>1608.55</v>
      </c>
      <c r="F1400" s="22" t="n">
        <f aca="false">IFERROR(D1400*E1400,0)</f>
        <v>1608.55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141</v>
      </c>
      <c r="C1401" s="34" t="s">
        <v>145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141</v>
      </c>
      <c r="C1402" s="16" t="s">
        <v>146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141</v>
      </c>
      <c r="C1403" s="34" t="s">
        <v>147</v>
      </c>
      <c r="D1403" s="35" t="n">
        <v>9</v>
      </c>
      <c r="E1403" s="36" t="n">
        <v>29920.5</v>
      </c>
      <c r="F1403" s="37" t="n">
        <f aca="false">IFERROR(D1403*E1403,0)</f>
        <v>269284.5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141</v>
      </c>
      <c r="C1404" s="16" t="s">
        <v>152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141</v>
      </c>
      <c r="C1405" s="34" t="s">
        <v>230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141</v>
      </c>
      <c r="C1406" s="16" t="s">
        <v>170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141</v>
      </c>
      <c r="C1407" s="34" t="s">
        <v>221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141</v>
      </c>
      <c r="C1408" s="16" t="s">
        <v>222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141</v>
      </c>
      <c r="C1409" s="34" t="s">
        <v>223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148</v>
      </c>
      <c r="C1410" s="16" t="s">
        <v>224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148</v>
      </c>
      <c r="C1411" s="34" t="s">
        <v>225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141</v>
      </c>
      <c r="C1412" s="16" t="s">
        <v>226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148</v>
      </c>
      <c r="C1413" s="34" t="s">
        <v>172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141</v>
      </c>
      <c r="C1414" s="16" t="s">
        <v>153</v>
      </c>
      <c r="D1414" s="38" t="n">
        <f aca="false">D1133</f>
        <v>0</v>
      </c>
      <c r="E1414" s="39" t="n">
        <v>10.05</v>
      </c>
      <c r="F1414" s="22" t="n">
        <f aca="false">IFERROR(D1414*E1414,0)</f>
        <v>0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141</v>
      </c>
      <c r="C1415" s="34" t="s">
        <v>154</v>
      </c>
      <c r="D1415" s="35" t="n">
        <f aca="false">D1133</f>
        <v>0</v>
      </c>
      <c r="E1415" s="36" t="n">
        <v>2.07</v>
      </c>
      <c r="F1415" s="37" t="n">
        <f aca="false">IFERROR(D1415*E1415,0)</f>
        <v>0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141</v>
      </c>
      <c r="C1416" s="16" t="s">
        <v>178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141</v>
      </c>
      <c r="C1417" s="34" t="s">
        <v>176</v>
      </c>
      <c r="D1417" s="35" t="n">
        <f aca="false">D1133</f>
        <v>0</v>
      </c>
      <c r="E1417" s="36" t="n">
        <v>28.31</v>
      </c>
      <c r="F1417" s="37" t="n">
        <f aca="false">IFERROR(D1417*E1417,0)</f>
        <v>0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141</v>
      </c>
      <c r="C1418" s="16" t="s">
        <v>177</v>
      </c>
      <c r="D1418" s="38" t="n">
        <f aca="false">D1133</f>
        <v>0</v>
      </c>
      <c r="E1418" s="39" t="n">
        <v>47.79</v>
      </c>
      <c r="F1418" s="22" t="n">
        <f aca="false">IFERROR(D1418*E1418,0)</f>
        <v>0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141</v>
      </c>
      <c r="C1419" s="34" t="s">
        <v>142</v>
      </c>
      <c r="D1419" s="35" t="n">
        <v>4</v>
      </c>
      <c r="E1419" s="36" t="n">
        <v>10.58</v>
      </c>
      <c r="F1419" s="37" t="n">
        <f aca="false">IFERROR(D1419*E1419,0)</f>
        <v>42.32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141</v>
      </c>
      <c r="C1420" s="16" t="s">
        <v>143</v>
      </c>
      <c r="D1420" s="38" t="n">
        <v>18</v>
      </c>
      <c r="E1420" s="39" t="n">
        <v>536.49</v>
      </c>
      <c r="F1420" s="22" t="n">
        <f aca="false">IFERROR(D1420*E1420,0)</f>
        <v>9656.82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141</v>
      </c>
      <c r="C1421" s="34" t="s">
        <v>144</v>
      </c>
      <c r="D1421" s="35" t="n">
        <v>1</v>
      </c>
      <c r="E1421" s="36" t="n">
        <v>1608.55</v>
      </c>
      <c r="F1421" s="37" t="n">
        <f aca="false">IFERROR(D1421*E1421,0)</f>
        <v>1608.55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141</v>
      </c>
      <c r="C1422" s="16" t="s">
        <v>145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141</v>
      </c>
      <c r="C1423" s="34" t="s">
        <v>146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141</v>
      </c>
      <c r="C1424" s="16" t="s">
        <v>147</v>
      </c>
      <c r="D1424" s="38" t="n">
        <v>31</v>
      </c>
      <c r="E1424" s="39" t="n">
        <v>92773.57</v>
      </c>
      <c r="F1424" s="22" t="n">
        <f aca="false">IFERROR(D1424*E1424,0)</f>
        <v>2875980.67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141</v>
      </c>
      <c r="C1425" s="34" t="s">
        <v>152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141</v>
      </c>
      <c r="C1426" s="16" t="s">
        <v>170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141</v>
      </c>
      <c r="C1427" s="34" t="s">
        <v>221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141</v>
      </c>
      <c r="C1428" s="16" t="s">
        <v>222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141</v>
      </c>
      <c r="C1429" s="34" t="s">
        <v>223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148</v>
      </c>
      <c r="C1430" s="16" t="s">
        <v>224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148</v>
      </c>
      <c r="C1431" s="34" t="s">
        <v>225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141</v>
      </c>
      <c r="C1432" s="16" t="s">
        <v>226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148</v>
      </c>
      <c r="C1433" s="34" t="s">
        <v>172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141</v>
      </c>
      <c r="C1434" s="16" t="s">
        <v>153</v>
      </c>
      <c r="D1434" s="38" t="n">
        <f aca="false">D1154</f>
        <v>2</v>
      </c>
      <c r="E1434" s="39" t="n">
        <v>10.05</v>
      </c>
      <c r="F1434" s="22" t="n">
        <f aca="false">IFERROR(D1434*E1434,0)</f>
        <v>20.1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141</v>
      </c>
      <c r="C1435" s="34" t="s">
        <v>154</v>
      </c>
      <c r="D1435" s="35" t="n">
        <f aca="false">D1154</f>
        <v>2</v>
      </c>
      <c r="E1435" s="36" t="n">
        <v>2.07</v>
      </c>
      <c r="F1435" s="37" t="n">
        <f aca="false">IFERROR(D1435*E1435,0)</f>
        <v>4.14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141</v>
      </c>
      <c r="C1436" s="16" t="s">
        <v>178</v>
      </c>
      <c r="D1436" s="38" t="n">
        <f aca="false">D1154</f>
        <v>2</v>
      </c>
      <c r="E1436" s="39" t="n">
        <v>64.57</v>
      </c>
      <c r="F1436" s="22" t="n">
        <f aca="false">IFERROR(D1436*E1436,0)</f>
        <v>129.14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141</v>
      </c>
      <c r="C1437" s="34" t="s">
        <v>176</v>
      </c>
      <c r="D1437" s="35" t="n">
        <f aca="false">D1154</f>
        <v>2</v>
      </c>
      <c r="E1437" s="36" t="n">
        <v>28.31</v>
      </c>
      <c r="F1437" s="37" t="n">
        <f aca="false">IFERROR(D1437*E1437,0)</f>
        <v>56.62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141</v>
      </c>
      <c r="C1438" s="16" t="s">
        <v>177</v>
      </c>
      <c r="D1438" s="38" t="n">
        <f aca="false">D1154</f>
        <v>2</v>
      </c>
      <c r="E1438" s="39" t="n">
        <v>47.79</v>
      </c>
      <c r="F1438" s="22" t="n">
        <f aca="false">IFERROR(D1438*E1438,0)</f>
        <v>95.58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141</v>
      </c>
      <c r="C1439" s="34" t="s">
        <v>142</v>
      </c>
      <c r="D1439" s="35" t="n">
        <v>4</v>
      </c>
      <c r="E1439" s="36" t="n">
        <v>10.58</v>
      </c>
      <c r="F1439" s="37" t="n">
        <f aca="false">IFERROR(D1439*E1439,0)</f>
        <v>42.32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141</v>
      </c>
      <c r="C1440" s="16" t="s">
        <v>143</v>
      </c>
      <c r="D1440" s="38" t="n">
        <v>18</v>
      </c>
      <c r="E1440" s="39" t="n">
        <v>536.49</v>
      </c>
      <c r="F1440" s="22" t="n">
        <f aca="false">IFERROR(D1440*E1440,0)</f>
        <v>9656.82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141</v>
      </c>
      <c r="C1441" s="34" t="s">
        <v>144</v>
      </c>
      <c r="D1441" s="35" t="n">
        <v>1</v>
      </c>
      <c r="E1441" s="36" t="n">
        <v>1608.55</v>
      </c>
      <c r="F1441" s="37" t="n">
        <f aca="false">IFERROR(D1441*E1441,0)</f>
        <v>1608.55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141</v>
      </c>
      <c r="C1442" s="16" t="s">
        <v>145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141</v>
      </c>
      <c r="C1443" s="34" t="s">
        <v>146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141</v>
      </c>
      <c r="C1444" s="16" t="s">
        <v>147</v>
      </c>
      <c r="D1444" s="38" t="n">
        <v>10</v>
      </c>
      <c r="E1444" s="39" t="n">
        <v>41467.26</v>
      </c>
      <c r="F1444" s="22" t="n">
        <f aca="false">IFERROR(D1444*E1444,0)</f>
        <v>414672.6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141</v>
      </c>
      <c r="C1445" s="34" t="s">
        <v>152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148</v>
      </c>
      <c r="C1446" s="16" t="s">
        <v>231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141</v>
      </c>
      <c r="C1447" s="34" t="s">
        <v>232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141</v>
      </c>
      <c r="C1448" s="16" t="s">
        <v>221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141</v>
      </c>
      <c r="C1449" s="34" t="s">
        <v>222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141</v>
      </c>
      <c r="C1450" s="16" t="s">
        <v>223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148</v>
      </c>
      <c r="C1451" s="34" t="s">
        <v>224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148</v>
      </c>
      <c r="C1452" s="16" t="s">
        <v>225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141</v>
      </c>
      <c r="C1453" s="34" t="s">
        <v>226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148</v>
      </c>
      <c r="C1454" s="16" t="s">
        <v>172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141</v>
      </c>
      <c r="C1455" s="34" t="s">
        <v>153</v>
      </c>
      <c r="D1455" s="35" t="n">
        <f aca="false">D1174</f>
        <v>2</v>
      </c>
      <c r="E1455" s="36" t="n">
        <v>10.05</v>
      </c>
      <c r="F1455" s="37" t="n">
        <f aca="false">IFERROR(D1455*E1455,0)</f>
        <v>20.1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141</v>
      </c>
      <c r="C1456" s="16" t="s">
        <v>154</v>
      </c>
      <c r="D1456" s="38" t="n">
        <f aca="false">D1174</f>
        <v>2</v>
      </c>
      <c r="E1456" s="39" t="n">
        <v>2.07</v>
      </c>
      <c r="F1456" s="22" t="n">
        <f aca="false">IFERROR(D1456*E1456,0)</f>
        <v>4.14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141</v>
      </c>
      <c r="C1457" s="34" t="s">
        <v>178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141</v>
      </c>
      <c r="C1458" s="16" t="s">
        <v>176</v>
      </c>
      <c r="D1458" s="38" t="n">
        <f aca="false">D1174</f>
        <v>2</v>
      </c>
      <c r="E1458" s="39" t="n">
        <v>28.31</v>
      </c>
      <c r="F1458" s="22" t="n">
        <f aca="false">IFERROR(D1458*E1458,0)</f>
        <v>56.62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141</v>
      </c>
      <c r="C1459" s="34" t="s">
        <v>177</v>
      </c>
      <c r="D1459" s="35" t="n">
        <f aca="false">D1174</f>
        <v>2</v>
      </c>
      <c r="E1459" s="36" t="n">
        <v>47.79</v>
      </c>
      <c r="F1459" s="37" t="n">
        <f aca="false">IFERROR(D1459*E1459,0)</f>
        <v>95.58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148</v>
      </c>
      <c r="C1460" s="16" t="s">
        <v>194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148</v>
      </c>
      <c r="C1461" s="34" t="s">
        <v>194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148</v>
      </c>
      <c r="C1462" s="16" t="s">
        <v>194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148</v>
      </c>
      <c r="C1463" s="34" t="s">
        <v>151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148</v>
      </c>
      <c r="C1464" s="16" t="s">
        <v>169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148</v>
      </c>
      <c r="C1465" s="34" t="s">
        <v>169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141</v>
      </c>
      <c r="C1466" s="16" t="s">
        <v>208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141</v>
      </c>
      <c r="C1467" s="34" t="s">
        <v>147</v>
      </c>
      <c r="D1467" s="35" t="n">
        <v>7</v>
      </c>
      <c r="E1467" s="36" t="n">
        <v>24142.91</v>
      </c>
      <c r="F1467" s="37" t="n">
        <f aca="false">IFERROR(D1467*E1467,0)</f>
        <v>169000.37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141</v>
      </c>
      <c r="C1468" s="16" t="s">
        <v>143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141</v>
      </c>
      <c r="C1469" s="34" t="s">
        <v>147</v>
      </c>
      <c r="D1469" s="35" t="n">
        <v>2</v>
      </c>
      <c r="E1469" s="36" t="n">
        <v>4665.95</v>
      </c>
      <c r="F1469" s="37" t="n">
        <f aca="false">IFERROR(D1469*E1469,0)</f>
        <v>9331.9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141</v>
      </c>
      <c r="C1470" s="16" t="s">
        <v>147</v>
      </c>
      <c r="D1470" s="38" t="n">
        <v>12</v>
      </c>
      <c r="E1470" s="39" t="n">
        <v>55569.77</v>
      </c>
      <c r="F1470" s="22" t="n">
        <f aca="false">IFERROR(D1470*E1470,0)</f>
        <v>666837.24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148</v>
      </c>
      <c r="C1471" s="34" t="s">
        <v>194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141</v>
      </c>
      <c r="C1472" s="16" t="s">
        <v>147</v>
      </c>
      <c r="D1472" s="38" t="n">
        <v>6</v>
      </c>
      <c r="E1472" s="39" t="n">
        <v>26750.76</v>
      </c>
      <c r="F1472" s="22" t="n">
        <f aca="false">IFERROR(D1472*E1472,0)</f>
        <v>160504.56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141</v>
      </c>
      <c r="C1473" s="34" t="s">
        <v>147</v>
      </c>
      <c r="D1473" s="35" t="n">
        <v>14</v>
      </c>
      <c r="E1473" s="36" t="n">
        <v>78365.15</v>
      </c>
      <c r="F1473" s="37" t="n">
        <f aca="false">IFERROR(D1473*E1473,0)</f>
        <v>1097112.1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141</v>
      </c>
      <c r="C1474" s="16" t="s">
        <v>147</v>
      </c>
      <c r="D1474" s="38" t="n">
        <v>2</v>
      </c>
      <c r="E1474" s="39" t="n">
        <v>9414.74</v>
      </c>
      <c r="F1474" s="22" t="n">
        <f aca="false">IFERROR(D1474*E1474,0)</f>
        <v>18829.48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141</v>
      </c>
      <c r="C1475" s="34" t="s">
        <v>147</v>
      </c>
      <c r="D1475" s="35" t="n">
        <v>22</v>
      </c>
      <c r="E1475" s="36" t="n">
        <v>107136.79</v>
      </c>
      <c r="F1475" s="37" t="n">
        <f aca="false">IFERROR(D1475*E1475,0)</f>
        <v>2357009.38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148</v>
      </c>
      <c r="C1476" s="16" t="s">
        <v>194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148</v>
      </c>
      <c r="C1477" s="34" t="s">
        <v>197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148</v>
      </c>
      <c r="C1478" s="16" t="s">
        <v>169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141</v>
      </c>
      <c r="C1479" s="34" t="s">
        <v>147</v>
      </c>
      <c r="D1479" s="35" t="n">
        <v>10</v>
      </c>
      <c r="E1479" s="36" t="n">
        <v>62252.15</v>
      </c>
      <c r="F1479" s="37" t="n">
        <f aca="false">IFERROR(D1479*E1479,0)</f>
        <v>622521.5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148</v>
      </c>
      <c r="C1480" s="16" t="s">
        <v>194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148</v>
      </c>
      <c r="C1481" s="34" t="s">
        <v>197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141</v>
      </c>
      <c r="C1482" s="16" t="s">
        <v>147</v>
      </c>
      <c r="D1482" s="38" t="n">
        <v>3</v>
      </c>
      <c r="E1482" s="39" t="n">
        <v>28931.13</v>
      </c>
      <c r="F1482" s="22" t="n">
        <f aca="false">IFERROR(D1482*E1482,0)</f>
        <v>86793.39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141</v>
      </c>
      <c r="C1483" s="34" t="s">
        <v>153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141</v>
      </c>
      <c r="C1484" s="16" t="s">
        <v>154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141</v>
      </c>
      <c r="C1485" s="34" t="s">
        <v>152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141</v>
      </c>
      <c r="C1486" s="16" t="s">
        <v>176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141</v>
      </c>
      <c r="C1487" s="34" t="s">
        <v>177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141</v>
      </c>
      <c r="C1488" s="16" t="s">
        <v>178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141</v>
      </c>
      <c r="C1489" s="34" t="s">
        <v>153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141</v>
      </c>
      <c r="C1490" s="16" t="s">
        <v>154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141</v>
      </c>
      <c r="C1491" s="34" t="s">
        <v>152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141</v>
      </c>
      <c r="C1492" s="16" t="s">
        <v>176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141</v>
      </c>
      <c r="C1493" s="34" t="s">
        <v>177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141</v>
      </c>
      <c r="C1494" s="16" t="s">
        <v>178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141</v>
      </c>
      <c r="C1495" s="34" t="s">
        <v>153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141</v>
      </c>
      <c r="C1496" s="16" t="s">
        <v>154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141</v>
      </c>
      <c r="C1497" s="34" t="s">
        <v>152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141</v>
      </c>
      <c r="C1498" s="16" t="s">
        <v>176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141</v>
      </c>
      <c r="C1499" s="34" t="s">
        <v>177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141</v>
      </c>
      <c r="C1500" s="16" t="s">
        <v>178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141</v>
      </c>
      <c r="C1501" s="34" t="s">
        <v>153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141</v>
      </c>
      <c r="C1502" s="16" t="s">
        <v>154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141</v>
      </c>
      <c r="C1503" s="34" t="s">
        <v>152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141</v>
      </c>
      <c r="C1504" s="16" t="s">
        <v>176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141</v>
      </c>
      <c r="C1505" s="34" t="s">
        <v>177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141</v>
      </c>
      <c r="C1506" s="16" t="s">
        <v>178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141</v>
      </c>
      <c r="C1507" s="34" t="s">
        <v>153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141</v>
      </c>
      <c r="C1508" s="16" t="s">
        <v>154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141</v>
      </c>
      <c r="C1509" s="34" t="s">
        <v>152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141</v>
      </c>
      <c r="C1510" s="16" t="s">
        <v>176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141</v>
      </c>
      <c r="C1511" s="34" t="s">
        <v>177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141</v>
      </c>
      <c r="C1512" s="16" t="s">
        <v>178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141</v>
      </c>
      <c r="C1513" s="34" t="s">
        <v>153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141</v>
      </c>
      <c r="C1514" s="16" t="s">
        <v>154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141</v>
      </c>
      <c r="C1515" s="34" t="s">
        <v>152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141</v>
      </c>
      <c r="C1516" s="16" t="s">
        <v>176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141</v>
      </c>
      <c r="C1517" s="34" t="s">
        <v>177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141</v>
      </c>
      <c r="C1518" s="16" t="s">
        <v>178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141</v>
      </c>
      <c r="C1519" s="34" t="s">
        <v>153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141</v>
      </c>
      <c r="C1520" s="16" t="s">
        <v>154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141</v>
      </c>
      <c r="C1521" s="34" t="s">
        <v>152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141</v>
      </c>
      <c r="C1522" s="16" t="s">
        <v>176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141</v>
      </c>
      <c r="C1523" s="34" t="s">
        <v>177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141</v>
      </c>
      <c r="C1524" s="16" t="s">
        <v>178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141</v>
      </c>
      <c r="C1525" s="34" t="s">
        <v>153</v>
      </c>
      <c r="D1525" s="35" t="n">
        <v>10</v>
      </c>
      <c r="E1525" s="36" t="n">
        <v>10.05</v>
      </c>
      <c r="F1525" s="37" t="n">
        <f aca="false">IFERROR(D1525*E1525,0)</f>
        <v>100.5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141</v>
      </c>
      <c r="C1526" s="16" t="s">
        <v>154</v>
      </c>
      <c r="D1526" s="38" t="n">
        <v>10</v>
      </c>
      <c r="E1526" s="39" t="n">
        <v>2.07</v>
      </c>
      <c r="F1526" s="22" t="n">
        <f aca="false">IFERROR(D1526*E1526,0)</f>
        <v>20.7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141</v>
      </c>
      <c r="C1527" s="34" t="s">
        <v>152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141</v>
      </c>
      <c r="C1528" s="16" t="s">
        <v>176</v>
      </c>
      <c r="D1528" s="38" t="n">
        <v>10</v>
      </c>
      <c r="E1528" s="39" t="n">
        <v>28.31</v>
      </c>
      <c r="F1528" s="22" t="n">
        <f aca="false">IFERROR(D1528*E1528,0)</f>
        <v>283.1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141</v>
      </c>
      <c r="C1529" s="34" t="s">
        <v>177</v>
      </c>
      <c r="D1529" s="35" t="n">
        <v>10</v>
      </c>
      <c r="E1529" s="36" t="n">
        <v>47.79</v>
      </c>
      <c r="F1529" s="37" t="n">
        <f aca="false">IFERROR(D1529*E1529,0)</f>
        <v>477.9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141</v>
      </c>
      <c r="C1530" s="16" t="s">
        <v>178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141</v>
      </c>
      <c r="C1531" s="34" t="s">
        <v>153</v>
      </c>
      <c r="D1531" s="35" t="n">
        <v>2</v>
      </c>
      <c r="E1531" s="36" t="n">
        <v>10.05</v>
      </c>
      <c r="F1531" s="37" t="n">
        <f aca="false">IFERROR(D1531*E1531,0)</f>
        <v>20.1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141</v>
      </c>
      <c r="C1532" s="16" t="s">
        <v>154</v>
      </c>
      <c r="D1532" s="38" t="n">
        <v>2</v>
      </c>
      <c r="E1532" s="39" t="n">
        <v>2.07</v>
      </c>
      <c r="F1532" s="22" t="n">
        <f aca="false">IFERROR(D1532*E1532,0)</f>
        <v>4.14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141</v>
      </c>
      <c r="C1533" s="34" t="s">
        <v>152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141</v>
      </c>
      <c r="C1534" s="16" t="s">
        <v>176</v>
      </c>
      <c r="D1534" s="38" t="n">
        <v>2</v>
      </c>
      <c r="E1534" s="39" t="n">
        <v>28.31</v>
      </c>
      <c r="F1534" s="22" t="n">
        <f aca="false">IFERROR(D1534*E1534,0)</f>
        <v>56.62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141</v>
      </c>
      <c r="C1535" s="34" t="s">
        <v>177</v>
      </c>
      <c r="D1535" s="35" t="n">
        <v>2</v>
      </c>
      <c r="E1535" s="36" t="n">
        <v>47.79</v>
      </c>
      <c r="F1535" s="37" t="n">
        <f aca="false">IFERROR(D1535*E1535,0)</f>
        <v>95.58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141</v>
      </c>
      <c r="C1536" s="16" t="s">
        <v>178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141</v>
      </c>
      <c r="C1537" s="34" t="s">
        <v>211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141</v>
      </c>
      <c r="C1538" s="16" t="s">
        <v>147</v>
      </c>
      <c r="D1538" s="38" t="n">
        <v>7</v>
      </c>
      <c r="E1538" s="39" t="n">
        <v>22222.82</v>
      </c>
      <c r="F1538" s="22" t="n">
        <f aca="false">IFERROR(D1538*E1538,0)</f>
        <v>155559.74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148</v>
      </c>
      <c r="C1539" s="34" t="s">
        <v>188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148</v>
      </c>
      <c r="C1540" s="16" t="s">
        <v>188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141</v>
      </c>
      <c r="C1541" s="34" t="s">
        <v>144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141</v>
      </c>
      <c r="C1542" s="16" t="s">
        <v>145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141</v>
      </c>
      <c r="C1543" s="34" t="s">
        <v>144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141</v>
      </c>
      <c r="C1544" s="16" t="s">
        <v>145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148</v>
      </c>
      <c r="C1545" s="34" t="s">
        <v>169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148</v>
      </c>
      <c r="C1546" s="16" t="s">
        <v>169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148</v>
      </c>
      <c r="C1547" s="34" t="s">
        <v>169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148</v>
      </c>
      <c r="C1548" s="16" t="s">
        <v>169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148</v>
      </c>
      <c r="C1549" s="34" t="s">
        <v>169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148</v>
      </c>
      <c r="C1550" s="16" t="s">
        <v>169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148</v>
      </c>
      <c r="C1551" s="34" t="s">
        <v>169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148</v>
      </c>
      <c r="C1552" s="16" t="s">
        <v>169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148</v>
      </c>
      <c r="C1553" s="34" t="s">
        <v>169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148</v>
      </c>
      <c r="C1554" s="16" t="s">
        <v>169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148</v>
      </c>
      <c r="C1555" s="34" t="s">
        <v>169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148</v>
      </c>
      <c r="C1556" s="16" t="s">
        <v>169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148</v>
      </c>
      <c r="C1557" s="34" t="s">
        <v>169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148</v>
      </c>
      <c r="C1558" s="16" t="s">
        <v>169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148</v>
      </c>
      <c r="C1559" s="34" t="s">
        <v>169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148</v>
      </c>
      <c r="C1560" s="16" t="s">
        <v>169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141</v>
      </c>
      <c r="C1561" s="34" t="s">
        <v>189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141</v>
      </c>
      <c r="C1562" s="16" t="s">
        <v>189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141</v>
      </c>
      <c r="C1563" s="34" t="s">
        <v>189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141</v>
      </c>
      <c r="C1564" s="16" t="s">
        <v>189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141</v>
      </c>
      <c r="C1565" s="34" t="s">
        <v>189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141</v>
      </c>
      <c r="C1566" s="16" t="s">
        <v>189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141</v>
      </c>
      <c r="C1567" s="34" t="s">
        <v>189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141</v>
      </c>
      <c r="C1568" s="16" t="s">
        <v>189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141</v>
      </c>
      <c r="C1569" s="34" t="s">
        <v>189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141</v>
      </c>
      <c r="C1570" s="16" t="s">
        <v>189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141</v>
      </c>
      <c r="C1571" s="34" t="s">
        <v>212</v>
      </c>
      <c r="D1571" s="35" t="n">
        <v>2</v>
      </c>
      <c r="E1571" s="36" t="n">
        <v>30</v>
      </c>
      <c r="F1571" s="37" t="n">
        <f aca="false">IFERROR(D1571*E1571,0)</f>
        <v>60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141</v>
      </c>
      <c r="C1572" s="16" t="s">
        <v>212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141</v>
      </c>
      <c r="C1573" s="34" t="s">
        <v>212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141</v>
      </c>
      <c r="C1574" s="16" t="s">
        <v>212</v>
      </c>
      <c r="D1574" s="38" t="n">
        <v>3</v>
      </c>
      <c r="E1574" s="39" t="n">
        <v>30</v>
      </c>
      <c r="F1574" s="22" t="n">
        <f aca="false">IFERROR(D1574*E1574,0)</f>
        <v>90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141</v>
      </c>
      <c r="C1575" s="34" t="s">
        <v>212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141</v>
      </c>
      <c r="C1576" s="16" t="s">
        <v>212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141</v>
      </c>
      <c r="C1577" s="34" t="s">
        <v>212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141</v>
      </c>
      <c r="C1578" s="16" t="s">
        <v>212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141</v>
      </c>
      <c r="C1579" s="34" t="s">
        <v>212</v>
      </c>
      <c r="D1579" s="35" t="n">
        <v>4</v>
      </c>
      <c r="E1579" s="36" t="n">
        <v>30</v>
      </c>
      <c r="F1579" s="37" t="n">
        <f aca="false">IFERROR(D1579*E1579,0)</f>
        <v>120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141</v>
      </c>
      <c r="C1580" s="16" t="s">
        <v>212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141</v>
      </c>
      <c r="C1581" s="34" t="s">
        <v>212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141</v>
      </c>
      <c r="C1582" s="16" t="s">
        <v>212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141</v>
      </c>
      <c r="C1583" s="34" t="s">
        <v>212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141</v>
      </c>
      <c r="C1584" s="16" t="s">
        <v>212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141</v>
      </c>
      <c r="C1585" s="34" t="s">
        <v>212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141</v>
      </c>
      <c r="C1586" s="16" t="s">
        <v>212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141</v>
      </c>
      <c r="C1587" s="34" t="s">
        <v>212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141</v>
      </c>
      <c r="C1588" s="16" t="s">
        <v>212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141</v>
      </c>
      <c r="C1589" s="34" t="s">
        <v>212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233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234</v>
      </c>
      <c r="C3" s="6" t="s">
        <v>235</v>
      </c>
      <c r="D3" s="6" t="s">
        <v>236</v>
      </c>
      <c r="E3" s="6" t="s">
        <v>237</v>
      </c>
      <c r="F3" s="6" t="s">
        <v>238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1019810.2743076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1040849.8043076</v>
      </c>
      <c r="F4" s="11" t="n">
        <f aca="false">IFERROR(B4/B$12,0)</f>
        <v>0.0330578672608535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2088839.6149917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2088839.6149917</v>
      </c>
      <c r="F5" s="16" t="n">
        <f aca="false">IFERROR(B5/B$12,0)</f>
        <v>0.0677112051734247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2254785.9600595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2259353.9500595</v>
      </c>
      <c r="F6" s="11" t="n">
        <f aca="false">IFERROR(B6/B$12,0)</f>
        <v>0.0730904726566823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578535.619680925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582239.239680925</v>
      </c>
      <c r="F7" s="16" t="n">
        <f aca="false">IFERROR(B7/B$12,0)</f>
        <v>0.0187536389884606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1025201.64108808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1049588.06108808</v>
      </c>
      <c r="F8" s="11" t="n">
        <f aca="false">IFERROR(B8/B$12,0)</f>
        <v>0.0332326322067204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745205.152836934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759139.212836934</v>
      </c>
      <c r="F9" s="16" t="n">
        <f aca="false">IFERROR(B9/B$12,0)</f>
        <v>0.0241563491222064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751384.010837143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755209.470837143</v>
      </c>
      <c r="F10" s="11" t="n">
        <f aca="false">IFERROR(B10/B$12,0)</f>
        <v>0.0243566411497929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22385483.5731991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22664564.4331991</v>
      </c>
      <c r="F11" s="16" t="n">
        <f aca="false">IFERROR(B11/B$12,0)</f>
        <v>0.725641193441859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30849245.847001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31199783.787001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841574.32886783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859482.92886783</v>
      </c>
      <c r="F14" s="11" t="n">
        <f aca="false">IFERROR(B14/B$22,0)</f>
        <v>0.032836332630571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1765843.87072755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1765843.87072755</v>
      </c>
      <c r="F15" s="16" t="n">
        <f aca="false">IFERROR(B15/B$22,0)</f>
        <v>0.0688992460010876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1891721.76090604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1897355.37090604</v>
      </c>
      <c r="F16" s="11" t="n">
        <f aca="false">IFERROR(B16/B$22,0)</f>
        <v>0.0738107174314198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482037.590135488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485749.750135488</v>
      </c>
      <c r="F17" s="16" t="n">
        <f aca="false">IFERROR(B17/B$22,0)</f>
        <v>0.0188080198114189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861943.775135628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885717.775135628</v>
      </c>
      <c r="F18" s="11" t="n">
        <f aca="false">IFERROR(B18/B$22,0)</f>
        <v>0.0336311024924914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627511.759564304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641640.659564304</v>
      </c>
      <c r="F19" s="16" t="n">
        <f aca="false">IFERROR(B19/B$22,0)</f>
        <v>0.0244840938700787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635778.818820612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664288.848820612</v>
      </c>
      <c r="F20" s="11" t="n">
        <f aca="false">IFERROR(B20/B$22,0)</f>
        <v>0.0248066558807117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18522952.3228426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18802777.2028426</v>
      </c>
      <c r="F21" s="16" t="n">
        <f aca="false">IFERROR(B21/B$22,0)</f>
        <v>0.722723831882221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25629364.227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26002856.407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1019624.91904117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1062490.53904117</v>
      </c>
      <c r="F24" s="11" t="n">
        <f aca="false">IFERROR(B24/B$32,0)</f>
        <v>0.0326408166989085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2020262.70791753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2020262.70791753</v>
      </c>
      <c r="F25" s="16" t="n">
        <f aca="false">IFERROR(B25/B$32,0)</f>
        <v>0.064673806515819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2242979.30873253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2242979.30873253</v>
      </c>
      <c r="F26" s="11" t="n">
        <f aca="false">IFERROR(B26/B$32,0)</f>
        <v>0.0718035378584414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573801.591287451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573801.591287451</v>
      </c>
      <c r="F27" s="16" t="n">
        <f aca="false">IFERROR(B27/B$32,0)</f>
        <v>0.0183688650728233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1033543.38414373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1092940.58414373</v>
      </c>
      <c r="F28" s="11" t="n">
        <f aca="false">IFERROR(B28/B$32,0)</f>
        <v>0.0330863825728477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736487.410156258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747712.030156258</v>
      </c>
      <c r="F29" s="16" t="n">
        <f aca="false">IFERROR(B29/B$32,0)</f>
        <v>0.0235768566529056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742976.031392873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749606.091392873</v>
      </c>
      <c r="F30" s="11" t="n">
        <f aca="false">IFERROR(B30/B$32,0)</f>
        <v>0.0237845741110197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22868051.5843285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23140173.4643285</v>
      </c>
      <c r="F31" s="16" t="n">
        <f aca="false">IFERROR(B31/B$32,0)</f>
        <v>0.732065160517235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31237726.937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31629966.317</v>
      </c>
      <c r="F32" s="28"/>
      <c r="G32" s="19"/>
    </row>
    <row r="34" customFormat="false" ht="14.25" hidden="false" customHeight="true" outlineLevel="0" collapsed="false">
      <c r="A34" s="32" t="s">
        <v>239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240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241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242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243</v>
      </c>
      <c r="B5" s="46" t="s">
        <v>3</v>
      </c>
      <c r="C5" s="46" t="s">
        <v>244</v>
      </c>
      <c r="D5" s="46" t="s">
        <v>245</v>
      </c>
      <c r="E5" s="46" t="s">
        <v>246</v>
      </c>
      <c r="F5" s="46" t="s">
        <v>247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248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249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250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251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252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251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253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254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253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251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255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254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255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251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255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251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256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257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256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257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256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258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259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257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260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136</v>
      </c>
      <c r="D20" s="46" t="s">
        <v>261</v>
      </c>
      <c r="E20" s="46" t="s">
        <v>243</v>
      </c>
      <c r="F20" s="46" t="s">
        <v>138</v>
      </c>
      <c r="G20" s="46" t="s">
        <v>262</v>
      </c>
      <c r="H20" s="46" t="s">
        <v>263</v>
      </c>
      <c r="I20" s="46" t="s">
        <v>264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265</v>
      </c>
      <c r="D21" s="47" t="s">
        <v>216</v>
      </c>
      <c r="E21" s="47" t="s">
        <v>248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266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265</v>
      </c>
      <c r="D22" s="47" t="s">
        <v>267</v>
      </c>
      <c r="E22" s="47" t="s">
        <v>248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268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265</v>
      </c>
      <c r="D23" s="47" t="s">
        <v>176</v>
      </c>
      <c r="E23" s="47" t="s">
        <v>248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269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265</v>
      </c>
      <c r="D24" s="47" t="s">
        <v>177</v>
      </c>
      <c r="E24" s="47" t="s">
        <v>248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269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178</v>
      </c>
      <c r="E25" s="47" t="s">
        <v>248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269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217</v>
      </c>
      <c r="E26" s="47" t="s">
        <v>248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268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270</v>
      </c>
      <c r="D27" s="47" t="s">
        <v>153</v>
      </c>
      <c r="E27" s="47" t="s">
        <v>248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269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270</v>
      </c>
      <c r="D28" s="47" t="s">
        <v>154</v>
      </c>
      <c r="E28" s="47" t="s">
        <v>248</v>
      </c>
      <c r="F28" s="47" t="n">
        <v>42</v>
      </c>
      <c r="G28" s="48" t="n">
        <v>2.07</v>
      </c>
      <c r="H28" s="48" t="n">
        <f aca="false">F28*G28</f>
        <v>86.94</v>
      </c>
      <c r="I28" s="47" t="s">
        <v>269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271</v>
      </c>
      <c r="D29" s="47" t="s">
        <v>179</v>
      </c>
      <c r="E29" s="47" t="s">
        <v>248</v>
      </c>
      <c r="F29" s="47" t="n">
        <v>1</v>
      </c>
      <c r="G29" s="48" t="n">
        <v>794.9</v>
      </c>
      <c r="H29" s="48" t="n">
        <f aca="false">F29*G29</f>
        <v>794.9</v>
      </c>
      <c r="I29" s="47" t="s">
        <v>268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271</v>
      </c>
      <c r="D30" s="47" t="s">
        <v>181</v>
      </c>
      <c r="E30" s="47" t="s">
        <v>248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268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272</v>
      </c>
      <c r="D31" s="47" t="s">
        <v>175</v>
      </c>
      <c r="E31" s="47" t="s">
        <v>248</v>
      </c>
      <c r="F31" s="47" t="n">
        <v>42</v>
      </c>
      <c r="G31" s="48" t="n">
        <v>30</v>
      </c>
      <c r="H31" s="48" t="n">
        <f aca="false">F31*G31</f>
        <v>1260</v>
      </c>
      <c r="I31" s="47" t="s">
        <v>269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273</v>
      </c>
      <c r="D32" s="47" t="s">
        <v>182</v>
      </c>
      <c r="E32" s="47" t="s">
        <v>248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274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265</v>
      </c>
      <c r="D33" s="47" t="s">
        <v>216</v>
      </c>
      <c r="E33" s="47" t="s">
        <v>250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275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265</v>
      </c>
      <c r="D34" s="47" t="s">
        <v>267</v>
      </c>
      <c r="E34" s="47" t="s">
        <v>250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268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265</v>
      </c>
      <c r="D35" s="47" t="s">
        <v>176</v>
      </c>
      <c r="E35" s="47" t="s">
        <v>250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269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265</v>
      </c>
      <c r="D36" s="47" t="s">
        <v>177</v>
      </c>
      <c r="E36" s="47" t="s">
        <v>250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269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178</v>
      </c>
      <c r="E37" s="47" t="s">
        <v>250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269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217</v>
      </c>
      <c r="E38" s="47" t="s">
        <v>250</v>
      </c>
      <c r="F38" s="47" t="n">
        <v>1</v>
      </c>
      <c r="G38" s="48" t="n">
        <v>31.66</v>
      </c>
      <c r="H38" s="48" t="n">
        <f aca="false">F38*G38</f>
        <v>31.66</v>
      </c>
      <c r="I38" s="47" t="s">
        <v>268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270</v>
      </c>
      <c r="D39" s="47" t="s">
        <v>153</v>
      </c>
      <c r="E39" s="47" t="s">
        <v>250</v>
      </c>
      <c r="F39" s="47" t="n">
        <v>9</v>
      </c>
      <c r="G39" s="48" t="n">
        <v>10.05</v>
      </c>
      <c r="H39" s="48" t="n">
        <f aca="false">F39*G39</f>
        <v>90.45</v>
      </c>
      <c r="I39" s="47" t="s">
        <v>269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270</v>
      </c>
      <c r="D40" s="47" t="s">
        <v>154</v>
      </c>
      <c r="E40" s="47" t="s">
        <v>250</v>
      </c>
      <c r="F40" s="47" t="n">
        <v>9</v>
      </c>
      <c r="G40" s="48" t="n">
        <v>2.07</v>
      </c>
      <c r="H40" s="48" t="n">
        <f aca="false">F40*G40</f>
        <v>18.63</v>
      </c>
      <c r="I40" s="47" t="s">
        <v>269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271</v>
      </c>
      <c r="D41" s="47" t="s">
        <v>179</v>
      </c>
      <c r="E41" s="47" t="s">
        <v>250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268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271</v>
      </c>
      <c r="D42" s="47" t="s">
        <v>181</v>
      </c>
      <c r="E42" s="47" t="s">
        <v>250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268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272</v>
      </c>
      <c r="D43" s="47" t="s">
        <v>175</v>
      </c>
      <c r="E43" s="47" t="s">
        <v>250</v>
      </c>
      <c r="F43" s="47" t="n">
        <v>9</v>
      </c>
      <c r="G43" s="48" t="n">
        <v>30</v>
      </c>
      <c r="H43" s="48" t="n">
        <f aca="false">F43*G43</f>
        <v>270</v>
      </c>
      <c r="I43" s="47" t="s">
        <v>269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265</v>
      </c>
      <c r="D44" s="47" t="s">
        <v>216</v>
      </c>
      <c r="E44" s="47" t="s">
        <v>252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276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265</v>
      </c>
      <c r="D45" s="47" t="s">
        <v>267</v>
      </c>
      <c r="E45" s="47" t="s">
        <v>252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268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265</v>
      </c>
      <c r="D46" s="47" t="s">
        <v>176</v>
      </c>
      <c r="E46" s="47" t="s">
        <v>252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269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265</v>
      </c>
      <c r="D47" s="47" t="s">
        <v>177</v>
      </c>
      <c r="E47" s="47" t="s">
        <v>252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269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178</v>
      </c>
      <c r="E48" s="47" t="s">
        <v>252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269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217</v>
      </c>
      <c r="E49" s="47" t="s">
        <v>252</v>
      </c>
      <c r="F49" s="47" t="n">
        <v>1</v>
      </c>
      <c r="G49" s="48" t="n">
        <v>24.62</v>
      </c>
      <c r="H49" s="48" t="n">
        <f aca="false">F49*G49</f>
        <v>24.62</v>
      </c>
      <c r="I49" s="47" t="s">
        <v>268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270</v>
      </c>
      <c r="D50" s="47" t="s">
        <v>153</v>
      </c>
      <c r="E50" s="47" t="s">
        <v>252</v>
      </c>
      <c r="F50" s="47" t="n">
        <v>7</v>
      </c>
      <c r="G50" s="48" t="n">
        <v>10.05</v>
      </c>
      <c r="H50" s="48" t="n">
        <f aca="false">F50*G50</f>
        <v>70.35</v>
      </c>
      <c r="I50" s="47" t="s">
        <v>269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270</v>
      </c>
      <c r="D51" s="47" t="s">
        <v>154</v>
      </c>
      <c r="E51" s="47" t="s">
        <v>252</v>
      </c>
      <c r="F51" s="47" t="n">
        <v>7</v>
      </c>
      <c r="G51" s="48" t="n">
        <v>2.07</v>
      </c>
      <c r="H51" s="48" t="n">
        <f aca="false">F51*G51</f>
        <v>14.49</v>
      </c>
      <c r="I51" s="47" t="s">
        <v>269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271</v>
      </c>
      <c r="D52" s="47" t="s">
        <v>179</v>
      </c>
      <c r="E52" s="47" t="s">
        <v>252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268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271</v>
      </c>
      <c r="D53" s="47" t="s">
        <v>181</v>
      </c>
      <c r="E53" s="47" t="s">
        <v>252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268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272</v>
      </c>
      <c r="D54" s="47" t="s">
        <v>175</v>
      </c>
      <c r="E54" s="47" t="s">
        <v>252</v>
      </c>
      <c r="F54" s="47" t="n">
        <v>7</v>
      </c>
      <c r="G54" s="48" t="n">
        <v>30</v>
      </c>
      <c r="H54" s="48" t="n">
        <f aca="false">F54*G54</f>
        <v>210</v>
      </c>
      <c r="I54" s="47" t="s">
        <v>269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273</v>
      </c>
      <c r="D55" s="47" t="s">
        <v>182</v>
      </c>
      <c r="E55" s="47" t="s">
        <v>252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274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265</v>
      </c>
      <c r="D56" s="47" t="s">
        <v>216</v>
      </c>
      <c r="E56" s="47" t="s">
        <v>253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277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265</v>
      </c>
      <c r="D57" s="47" t="s">
        <v>267</v>
      </c>
      <c r="E57" s="47" t="s">
        <v>253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268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265</v>
      </c>
      <c r="D58" s="47" t="s">
        <v>176</v>
      </c>
      <c r="E58" s="47" t="s">
        <v>253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269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265</v>
      </c>
      <c r="D59" s="47" t="s">
        <v>177</v>
      </c>
      <c r="E59" s="47" t="s">
        <v>253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269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178</v>
      </c>
      <c r="E60" s="47" t="s">
        <v>253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269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217</v>
      </c>
      <c r="E61" s="47" t="s">
        <v>253</v>
      </c>
      <c r="F61" s="47" t="n">
        <v>1</v>
      </c>
      <c r="G61" s="48" t="n">
        <v>38.69</v>
      </c>
      <c r="H61" s="48" t="n">
        <f aca="false">F61*G61</f>
        <v>38.69</v>
      </c>
      <c r="I61" s="47" t="s">
        <v>268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270</v>
      </c>
      <c r="D62" s="47" t="s">
        <v>153</v>
      </c>
      <c r="E62" s="47" t="s">
        <v>253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269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270</v>
      </c>
      <c r="D63" s="47" t="s">
        <v>154</v>
      </c>
      <c r="E63" s="47" t="s">
        <v>253</v>
      </c>
      <c r="F63" s="47" t="n">
        <v>11</v>
      </c>
      <c r="G63" s="48" t="n">
        <v>2.07</v>
      </c>
      <c r="H63" s="48" t="n">
        <f aca="false">F63*G63</f>
        <v>22.77</v>
      </c>
      <c r="I63" s="47" t="s">
        <v>269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271</v>
      </c>
      <c r="D64" s="47" t="s">
        <v>179</v>
      </c>
      <c r="E64" s="47" t="s">
        <v>253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268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271</v>
      </c>
      <c r="D65" s="47" t="s">
        <v>181</v>
      </c>
      <c r="E65" s="47" t="s">
        <v>253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268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272</v>
      </c>
      <c r="D66" s="47" t="s">
        <v>175</v>
      </c>
      <c r="E66" s="47" t="s">
        <v>253</v>
      </c>
      <c r="F66" s="47" t="n">
        <v>11</v>
      </c>
      <c r="G66" s="48" t="n">
        <v>30</v>
      </c>
      <c r="H66" s="48" t="n">
        <f aca="false">F66*G66</f>
        <v>330</v>
      </c>
      <c r="I66" s="47" t="s">
        <v>269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273</v>
      </c>
      <c r="D67" s="47" t="s">
        <v>182</v>
      </c>
      <c r="E67" s="47" t="s">
        <v>253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274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265</v>
      </c>
      <c r="D68" s="47" t="s">
        <v>216</v>
      </c>
      <c r="E68" s="47" t="s">
        <v>253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278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265</v>
      </c>
      <c r="D69" s="47" t="s">
        <v>176</v>
      </c>
      <c r="E69" s="47" t="s">
        <v>253</v>
      </c>
      <c r="F69" s="47" t="n">
        <v>2</v>
      </c>
      <c r="G69" s="48" t="n">
        <v>28.31</v>
      </c>
      <c r="H69" s="48" t="n">
        <f aca="false">F69*G69</f>
        <v>56.62</v>
      </c>
      <c r="I69" s="47" t="s">
        <v>269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265</v>
      </c>
      <c r="D70" s="47" t="s">
        <v>177</v>
      </c>
      <c r="E70" s="47" t="s">
        <v>253</v>
      </c>
      <c r="F70" s="47" t="n">
        <v>2</v>
      </c>
      <c r="G70" s="48" t="n">
        <v>47.79</v>
      </c>
      <c r="H70" s="48" t="n">
        <f aca="false">F70*G70</f>
        <v>95.58</v>
      </c>
      <c r="I70" s="47" t="s">
        <v>269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178</v>
      </c>
      <c r="E71" s="47" t="s">
        <v>253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269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270</v>
      </c>
      <c r="D72" s="47" t="s">
        <v>153</v>
      </c>
      <c r="E72" s="47" t="s">
        <v>253</v>
      </c>
      <c r="F72" s="47" t="n">
        <v>2</v>
      </c>
      <c r="G72" s="48" t="n">
        <v>10.05</v>
      </c>
      <c r="H72" s="48" t="n">
        <f aca="false">F72*G72</f>
        <v>20.1</v>
      </c>
      <c r="I72" s="47" t="s">
        <v>269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270</v>
      </c>
      <c r="D73" s="47" t="s">
        <v>154</v>
      </c>
      <c r="E73" s="47" t="s">
        <v>253</v>
      </c>
      <c r="F73" s="47" t="n">
        <v>2</v>
      </c>
      <c r="G73" s="48" t="n">
        <v>2.07</v>
      </c>
      <c r="H73" s="48" t="n">
        <f aca="false">F73*G73</f>
        <v>4.14</v>
      </c>
      <c r="I73" s="47" t="s">
        <v>269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272</v>
      </c>
      <c r="D74" s="47" t="s">
        <v>175</v>
      </c>
      <c r="E74" s="47" t="s">
        <v>253</v>
      </c>
      <c r="F74" s="47" t="n">
        <v>2</v>
      </c>
      <c r="G74" s="48" t="n">
        <v>30</v>
      </c>
      <c r="H74" s="48" t="n">
        <f aca="false">F74*G74</f>
        <v>60</v>
      </c>
      <c r="I74" s="47" t="s">
        <v>269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273</v>
      </c>
      <c r="D75" s="47" t="s">
        <v>182</v>
      </c>
      <c r="E75" s="47" t="s">
        <v>253</v>
      </c>
      <c r="F75" s="47" t="n">
        <v>1</v>
      </c>
      <c r="G75" s="48" t="n">
        <v>696.8</v>
      </c>
      <c r="H75" s="48" t="n">
        <f aca="false">F75*G75</f>
        <v>696.8</v>
      </c>
      <c r="I75" s="47" t="s">
        <v>274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265</v>
      </c>
      <c r="D76" s="47" t="s">
        <v>216</v>
      </c>
      <c r="E76" s="47" t="s">
        <v>255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279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265</v>
      </c>
      <c r="D77" s="47" t="s">
        <v>267</v>
      </c>
      <c r="E77" s="47" t="s">
        <v>255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268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265</v>
      </c>
      <c r="D78" s="47" t="s">
        <v>176</v>
      </c>
      <c r="E78" s="47" t="s">
        <v>255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269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265</v>
      </c>
      <c r="D79" s="47" t="s">
        <v>177</v>
      </c>
      <c r="E79" s="47" t="s">
        <v>255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269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178</v>
      </c>
      <c r="E80" s="47" t="s">
        <v>255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269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217</v>
      </c>
      <c r="E81" s="47" t="s">
        <v>255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268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270</v>
      </c>
      <c r="D82" s="47" t="s">
        <v>153</v>
      </c>
      <c r="E82" s="47" t="s">
        <v>255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269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270</v>
      </c>
      <c r="D83" s="47" t="s">
        <v>154</v>
      </c>
      <c r="E83" s="47" t="s">
        <v>255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269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271</v>
      </c>
      <c r="D84" s="47" t="s">
        <v>179</v>
      </c>
      <c r="E84" s="47" t="s">
        <v>255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268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271</v>
      </c>
      <c r="D85" s="47" t="s">
        <v>181</v>
      </c>
      <c r="E85" s="47" t="s">
        <v>255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268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272</v>
      </c>
      <c r="D86" s="47" t="s">
        <v>175</v>
      </c>
      <c r="E86" s="47" t="s">
        <v>255</v>
      </c>
      <c r="F86" s="47" t="n">
        <v>18</v>
      </c>
      <c r="G86" s="48" t="n">
        <v>30</v>
      </c>
      <c r="H86" s="48" t="n">
        <f aca="false">F86*G86</f>
        <v>540</v>
      </c>
      <c r="I86" s="47" t="s">
        <v>269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273</v>
      </c>
      <c r="D87" s="47" t="s">
        <v>182</v>
      </c>
      <c r="E87" s="47" t="s">
        <v>255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274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265</v>
      </c>
      <c r="D88" s="47" t="s">
        <v>216</v>
      </c>
      <c r="E88" s="47" t="s">
        <v>255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278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265</v>
      </c>
      <c r="D89" s="47" t="s">
        <v>176</v>
      </c>
      <c r="E89" s="47" t="s">
        <v>255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269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265</v>
      </c>
      <c r="D90" s="47" t="s">
        <v>177</v>
      </c>
      <c r="E90" s="47" t="s">
        <v>255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269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178</v>
      </c>
      <c r="E91" s="47" t="s">
        <v>255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269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270</v>
      </c>
      <c r="D92" s="47" t="s">
        <v>153</v>
      </c>
      <c r="E92" s="47" t="s">
        <v>255</v>
      </c>
      <c r="F92" s="47" t="n">
        <v>2</v>
      </c>
      <c r="G92" s="48" t="n">
        <v>10.05</v>
      </c>
      <c r="H92" s="48" t="n">
        <f aca="false">F92*G92</f>
        <v>20.1</v>
      </c>
      <c r="I92" s="47" t="s">
        <v>269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270</v>
      </c>
      <c r="D93" s="47" t="s">
        <v>154</v>
      </c>
      <c r="E93" s="47" t="s">
        <v>255</v>
      </c>
      <c r="F93" s="47" t="n">
        <v>2</v>
      </c>
      <c r="G93" s="48" t="n">
        <v>2.07</v>
      </c>
      <c r="H93" s="48" t="n">
        <f aca="false">F93*G93</f>
        <v>4.14</v>
      </c>
      <c r="I93" s="47" t="s">
        <v>269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272</v>
      </c>
      <c r="D94" s="47" t="s">
        <v>175</v>
      </c>
      <c r="E94" s="47" t="s">
        <v>255</v>
      </c>
      <c r="F94" s="47" t="n">
        <v>2</v>
      </c>
      <c r="G94" s="48" t="n">
        <v>30</v>
      </c>
      <c r="H94" s="48" t="n">
        <f aca="false">F94*G94</f>
        <v>60</v>
      </c>
      <c r="I94" s="47" t="s">
        <v>269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273</v>
      </c>
      <c r="D95" s="47" t="s">
        <v>182</v>
      </c>
      <c r="E95" s="47" t="s">
        <v>255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274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265</v>
      </c>
      <c r="D96" s="47" t="s">
        <v>216</v>
      </c>
      <c r="E96" s="47" t="s">
        <v>255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280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265</v>
      </c>
      <c r="D97" s="47" t="s">
        <v>176</v>
      </c>
      <c r="E97" s="47" t="s">
        <v>255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269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265</v>
      </c>
      <c r="D98" s="47" t="s">
        <v>177</v>
      </c>
      <c r="E98" s="47" t="s">
        <v>255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269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178</v>
      </c>
      <c r="E99" s="47" t="s">
        <v>255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269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270</v>
      </c>
      <c r="D100" s="47" t="s">
        <v>153</v>
      </c>
      <c r="E100" s="47" t="s">
        <v>255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269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270</v>
      </c>
      <c r="D101" s="47" t="s">
        <v>154</v>
      </c>
      <c r="E101" s="47" t="s">
        <v>255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269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271</v>
      </c>
      <c r="D102" s="47" t="s">
        <v>181</v>
      </c>
      <c r="E102" s="47" t="s">
        <v>255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268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272</v>
      </c>
      <c r="D103" s="47" t="s">
        <v>175</v>
      </c>
      <c r="E103" s="47" t="s">
        <v>255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269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273</v>
      </c>
      <c r="D104" s="47" t="s">
        <v>182</v>
      </c>
      <c r="E104" s="47" t="s">
        <v>255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274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265</v>
      </c>
      <c r="D105" s="47" t="s">
        <v>216</v>
      </c>
      <c r="E105" s="47" t="s">
        <v>256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281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265</v>
      </c>
      <c r="D106" s="47" t="s">
        <v>176</v>
      </c>
      <c r="E106" s="47" t="s">
        <v>256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269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265</v>
      </c>
      <c r="D107" s="47" t="s">
        <v>177</v>
      </c>
      <c r="E107" s="47" t="s">
        <v>256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269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178</v>
      </c>
      <c r="E108" s="47" t="s">
        <v>256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269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217</v>
      </c>
      <c r="E109" s="47" t="s">
        <v>256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268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270</v>
      </c>
      <c r="D110" s="47" t="s">
        <v>153</v>
      </c>
      <c r="E110" s="47" t="s">
        <v>256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269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270</v>
      </c>
      <c r="D111" s="47" t="s">
        <v>154</v>
      </c>
      <c r="E111" s="47" t="s">
        <v>256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269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271</v>
      </c>
      <c r="D112" s="47" t="s">
        <v>179</v>
      </c>
      <c r="E112" s="47" t="s">
        <v>256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268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271</v>
      </c>
      <c r="D113" s="47" t="s">
        <v>181</v>
      </c>
      <c r="E113" s="47" t="s">
        <v>256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268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272</v>
      </c>
      <c r="D114" s="47" t="s">
        <v>175</v>
      </c>
      <c r="E114" s="47" t="s">
        <v>256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269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265</v>
      </c>
      <c r="D115" s="47" t="s">
        <v>216</v>
      </c>
      <c r="E115" s="47" t="s">
        <v>256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282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265</v>
      </c>
      <c r="D116" s="47" t="s">
        <v>267</v>
      </c>
      <c r="E116" s="47" t="s">
        <v>256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268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265</v>
      </c>
      <c r="D117" s="47" t="s">
        <v>176</v>
      </c>
      <c r="E117" s="47" t="s">
        <v>256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269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265</v>
      </c>
      <c r="D118" s="47" t="s">
        <v>177</v>
      </c>
      <c r="E118" s="47" t="s">
        <v>256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269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178</v>
      </c>
      <c r="E119" s="47" t="s">
        <v>256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269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217</v>
      </c>
      <c r="E120" s="47" t="s">
        <v>256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268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270</v>
      </c>
      <c r="D121" s="47" t="s">
        <v>153</v>
      </c>
      <c r="E121" s="47" t="s">
        <v>256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269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270</v>
      </c>
      <c r="D122" s="47" t="s">
        <v>154</v>
      </c>
      <c r="E122" s="47" t="s">
        <v>256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269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272</v>
      </c>
      <c r="D123" s="47" t="s">
        <v>175</v>
      </c>
      <c r="E123" s="47" t="s">
        <v>256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269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273</v>
      </c>
      <c r="D124" s="47" t="s">
        <v>182</v>
      </c>
      <c r="E124" s="47" t="s">
        <v>256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274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265</v>
      </c>
      <c r="D125" s="47" t="s">
        <v>216</v>
      </c>
      <c r="E125" s="47" t="s">
        <v>259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283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265</v>
      </c>
      <c r="D126" s="47" t="s">
        <v>176</v>
      </c>
      <c r="E126" s="47" t="s">
        <v>259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269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265</v>
      </c>
      <c r="D127" s="47" t="s">
        <v>177</v>
      </c>
      <c r="E127" s="47" t="s">
        <v>259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269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178</v>
      </c>
      <c r="E128" s="47" t="s">
        <v>259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269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270</v>
      </c>
      <c r="D129" s="47" t="s">
        <v>153</v>
      </c>
      <c r="E129" s="47" t="s">
        <v>259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269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270</v>
      </c>
      <c r="D130" s="47" t="s">
        <v>154</v>
      </c>
      <c r="E130" s="47" t="s">
        <v>259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269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272</v>
      </c>
      <c r="D131" s="47" t="s">
        <v>175</v>
      </c>
      <c r="E131" s="47" t="s">
        <v>259</v>
      </c>
      <c r="F131" s="47" t="n">
        <v>1</v>
      </c>
      <c r="G131" s="48" t="n">
        <v>30</v>
      </c>
      <c r="H131" s="48" t="n">
        <f aca="false">F131*G131</f>
        <v>30</v>
      </c>
      <c r="I131" s="47" t="s">
        <v>269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265</v>
      </c>
      <c r="D132" s="47" t="s">
        <v>216</v>
      </c>
      <c r="E132" s="47" t="s">
        <v>248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284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265</v>
      </c>
      <c r="D133" s="47" t="s">
        <v>267</v>
      </c>
      <c r="E133" s="47" t="s">
        <v>248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268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265</v>
      </c>
      <c r="D134" s="47" t="s">
        <v>176</v>
      </c>
      <c r="E134" s="47" t="s">
        <v>248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269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265</v>
      </c>
      <c r="D135" s="47" t="s">
        <v>177</v>
      </c>
      <c r="E135" s="47" t="s">
        <v>248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269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217</v>
      </c>
      <c r="E136" s="47" t="s">
        <v>248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268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178</v>
      </c>
      <c r="E137" s="47" t="s">
        <v>248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269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270</v>
      </c>
      <c r="D138" s="47" t="s">
        <v>153</v>
      </c>
      <c r="E138" s="47" t="s">
        <v>248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269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270</v>
      </c>
      <c r="D139" s="47" t="s">
        <v>154</v>
      </c>
      <c r="E139" s="47" t="s">
        <v>248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269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271</v>
      </c>
      <c r="D140" s="47" t="s">
        <v>179</v>
      </c>
      <c r="E140" s="47" t="s">
        <v>248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268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271</v>
      </c>
      <c r="D141" s="47" t="s">
        <v>180</v>
      </c>
      <c r="E141" s="47" t="s">
        <v>248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268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271</v>
      </c>
      <c r="D142" s="47" t="s">
        <v>181</v>
      </c>
      <c r="E142" s="47" t="s">
        <v>248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268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272</v>
      </c>
      <c r="D143" s="47" t="s">
        <v>175</v>
      </c>
      <c r="E143" s="47" t="s">
        <v>248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269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285</v>
      </c>
      <c r="D144" s="47" t="s">
        <v>286</v>
      </c>
      <c r="E144" s="47" t="s">
        <v>248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287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273</v>
      </c>
      <c r="D145" s="47" t="s">
        <v>182</v>
      </c>
      <c r="E145" s="47" t="s">
        <v>248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274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265</v>
      </c>
      <c r="D146" s="47" t="s">
        <v>216</v>
      </c>
      <c r="E146" s="47" t="s">
        <v>250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275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265</v>
      </c>
      <c r="D147" s="47" t="s">
        <v>267</v>
      </c>
      <c r="E147" s="47" t="s">
        <v>250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268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265</v>
      </c>
      <c r="D148" s="47" t="s">
        <v>176</v>
      </c>
      <c r="E148" s="47" t="s">
        <v>250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269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265</v>
      </c>
      <c r="D149" s="47" t="s">
        <v>177</v>
      </c>
      <c r="E149" s="47" t="s">
        <v>250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269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217</v>
      </c>
      <c r="E150" s="47" t="s">
        <v>250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268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178</v>
      </c>
      <c r="E151" s="47" t="s">
        <v>250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269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270</v>
      </c>
      <c r="D152" s="47" t="s">
        <v>153</v>
      </c>
      <c r="E152" s="47" t="s">
        <v>250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269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270</v>
      </c>
      <c r="D153" s="47" t="s">
        <v>154</v>
      </c>
      <c r="E153" s="47" t="s">
        <v>250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269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271</v>
      </c>
      <c r="D154" s="47" t="s">
        <v>179</v>
      </c>
      <c r="E154" s="47" t="s">
        <v>250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268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271</v>
      </c>
      <c r="D155" s="47" t="s">
        <v>180</v>
      </c>
      <c r="E155" s="47" t="s">
        <v>250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268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271</v>
      </c>
      <c r="D156" s="47" t="s">
        <v>181</v>
      </c>
      <c r="E156" s="47" t="s">
        <v>250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268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272</v>
      </c>
      <c r="D157" s="47" t="s">
        <v>175</v>
      </c>
      <c r="E157" s="47" t="s">
        <v>250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269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265</v>
      </c>
      <c r="D158" s="47" t="s">
        <v>216</v>
      </c>
      <c r="E158" s="47" t="s">
        <v>252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276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265</v>
      </c>
      <c r="D159" s="47" t="s">
        <v>288</v>
      </c>
      <c r="E159" s="47" t="s">
        <v>252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289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265</v>
      </c>
      <c r="D160" s="47" t="s">
        <v>267</v>
      </c>
      <c r="E160" s="47" t="s">
        <v>252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268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265</v>
      </c>
      <c r="D161" s="47" t="s">
        <v>176</v>
      </c>
      <c r="E161" s="47" t="s">
        <v>252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269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265</v>
      </c>
      <c r="D162" s="47" t="s">
        <v>177</v>
      </c>
      <c r="E162" s="47" t="s">
        <v>252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269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217</v>
      </c>
      <c r="E163" s="47" t="s">
        <v>252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268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178</v>
      </c>
      <c r="E164" s="47" t="s">
        <v>252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269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270</v>
      </c>
      <c r="D165" s="47" t="s">
        <v>153</v>
      </c>
      <c r="E165" s="47" t="s">
        <v>252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269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270</v>
      </c>
      <c r="D166" s="47" t="s">
        <v>154</v>
      </c>
      <c r="E166" s="47" t="s">
        <v>252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269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271</v>
      </c>
      <c r="D167" s="47" t="s">
        <v>179</v>
      </c>
      <c r="E167" s="47" t="s">
        <v>252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268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271</v>
      </c>
      <c r="D168" s="47" t="s">
        <v>180</v>
      </c>
      <c r="E168" s="47" t="s">
        <v>252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268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271</v>
      </c>
      <c r="D169" s="47" t="s">
        <v>181</v>
      </c>
      <c r="E169" s="47" t="s">
        <v>252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268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272</v>
      </c>
      <c r="D170" s="47" t="s">
        <v>175</v>
      </c>
      <c r="E170" s="47" t="s">
        <v>252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269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285</v>
      </c>
      <c r="D171" s="47" t="s">
        <v>286</v>
      </c>
      <c r="E171" s="47" t="s">
        <v>252</v>
      </c>
      <c r="F171" s="47" t="n">
        <v>1</v>
      </c>
      <c r="G171" s="48" t="n">
        <v>50</v>
      </c>
      <c r="H171" s="48" t="n">
        <f aca="false">F171*G171</f>
        <v>50</v>
      </c>
      <c r="I171" s="47" t="s">
        <v>287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273</v>
      </c>
      <c r="D172" s="47" t="s">
        <v>182</v>
      </c>
      <c r="E172" s="47" t="s">
        <v>252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274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265</v>
      </c>
      <c r="D173" s="47" t="s">
        <v>216</v>
      </c>
      <c r="E173" s="47" t="s">
        <v>253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265</v>
      </c>
      <c r="D174" s="47" t="s">
        <v>267</v>
      </c>
      <c r="E174" s="47" t="s">
        <v>253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268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265</v>
      </c>
      <c r="D175" s="47" t="s">
        <v>176</v>
      </c>
      <c r="E175" s="47" t="s">
        <v>253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269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265</v>
      </c>
      <c r="D176" s="47" t="s">
        <v>177</v>
      </c>
      <c r="E176" s="47" t="s">
        <v>253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269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217</v>
      </c>
      <c r="E177" s="47" t="s">
        <v>253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268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178</v>
      </c>
      <c r="E178" s="47" t="s">
        <v>253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269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270</v>
      </c>
      <c r="D179" s="47" t="s">
        <v>153</v>
      </c>
      <c r="E179" s="47" t="s">
        <v>253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269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270</v>
      </c>
      <c r="D180" s="47" t="s">
        <v>154</v>
      </c>
      <c r="E180" s="47" t="s">
        <v>253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269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271</v>
      </c>
      <c r="D181" s="47" t="s">
        <v>179</v>
      </c>
      <c r="E181" s="47" t="s">
        <v>253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268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271</v>
      </c>
      <c r="D182" s="47" t="s">
        <v>180</v>
      </c>
      <c r="E182" s="47" t="s">
        <v>253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268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271</v>
      </c>
      <c r="D183" s="47" t="s">
        <v>181</v>
      </c>
      <c r="E183" s="47" t="s">
        <v>253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268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272</v>
      </c>
      <c r="D184" s="47" t="s">
        <v>175</v>
      </c>
      <c r="E184" s="47" t="s">
        <v>253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269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285</v>
      </c>
      <c r="D185" s="47" t="s">
        <v>286</v>
      </c>
      <c r="E185" s="47" t="s">
        <v>253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287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273</v>
      </c>
      <c r="D186" s="47" t="s">
        <v>182</v>
      </c>
      <c r="E186" s="47" t="s">
        <v>253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274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265</v>
      </c>
      <c r="D187" s="47" t="s">
        <v>216</v>
      </c>
      <c r="E187" s="47" t="s">
        <v>253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278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265</v>
      </c>
      <c r="D188" s="47" t="s">
        <v>288</v>
      </c>
      <c r="E188" s="47" t="s">
        <v>253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289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265</v>
      </c>
      <c r="D189" s="47" t="s">
        <v>176</v>
      </c>
      <c r="E189" s="47" t="s">
        <v>253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269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265</v>
      </c>
      <c r="D190" s="47" t="s">
        <v>177</v>
      </c>
      <c r="E190" s="47" t="s">
        <v>253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269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178</v>
      </c>
      <c r="E191" s="47" t="s">
        <v>253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269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270</v>
      </c>
      <c r="D192" s="47" t="s">
        <v>153</v>
      </c>
      <c r="E192" s="47" t="s">
        <v>253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269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270</v>
      </c>
      <c r="D193" s="47" t="s">
        <v>154</v>
      </c>
      <c r="E193" s="47" t="s">
        <v>253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269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271</v>
      </c>
      <c r="D194" s="47" t="s">
        <v>291</v>
      </c>
      <c r="E194" s="47" t="s">
        <v>253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268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272</v>
      </c>
      <c r="D195" s="47" t="s">
        <v>175</v>
      </c>
      <c r="E195" s="47" t="s">
        <v>253</v>
      </c>
      <c r="F195" s="47" t="n">
        <v>2</v>
      </c>
      <c r="G195" s="48" t="n">
        <v>30</v>
      </c>
      <c r="H195" s="48" t="n">
        <f aca="false">F195*G195</f>
        <v>60</v>
      </c>
      <c r="I195" s="47" t="s">
        <v>269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285</v>
      </c>
      <c r="D196" s="47" t="s">
        <v>292</v>
      </c>
      <c r="E196" s="47" t="s">
        <v>253</v>
      </c>
      <c r="F196" s="47" t="n">
        <v>1</v>
      </c>
      <c r="G196" s="48" t="n">
        <v>50</v>
      </c>
      <c r="H196" s="48" t="n">
        <f aca="false">F196*G196</f>
        <v>50</v>
      </c>
      <c r="I196" s="47" t="s">
        <v>287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273</v>
      </c>
      <c r="D197" s="47" t="s">
        <v>182</v>
      </c>
      <c r="E197" s="47" t="s">
        <v>253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274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265</v>
      </c>
      <c r="D198" s="47" t="s">
        <v>216</v>
      </c>
      <c r="E198" s="47" t="s">
        <v>255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279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265</v>
      </c>
      <c r="D199" s="47" t="s">
        <v>288</v>
      </c>
      <c r="E199" s="47" t="s">
        <v>255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289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265</v>
      </c>
      <c r="D200" s="47" t="s">
        <v>267</v>
      </c>
      <c r="E200" s="47" t="s">
        <v>255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268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265</v>
      </c>
      <c r="D201" s="47" t="s">
        <v>176</v>
      </c>
      <c r="E201" s="47" t="s">
        <v>255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269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265</v>
      </c>
      <c r="D202" s="47" t="s">
        <v>177</v>
      </c>
      <c r="E202" s="47" t="s">
        <v>255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269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217</v>
      </c>
      <c r="E203" s="47" t="s">
        <v>255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268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178</v>
      </c>
      <c r="E204" s="47" t="s">
        <v>255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269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270</v>
      </c>
      <c r="D205" s="47" t="s">
        <v>153</v>
      </c>
      <c r="E205" s="47" t="s">
        <v>255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269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270</v>
      </c>
      <c r="D206" s="47" t="s">
        <v>154</v>
      </c>
      <c r="E206" s="47" t="s">
        <v>255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269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271</v>
      </c>
      <c r="D207" s="47" t="s">
        <v>179</v>
      </c>
      <c r="E207" s="47" t="s">
        <v>255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268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271</v>
      </c>
      <c r="D208" s="47" t="s">
        <v>180</v>
      </c>
      <c r="E208" s="47" t="s">
        <v>255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268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271</v>
      </c>
      <c r="D209" s="47" t="s">
        <v>181</v>
      </c>
      <c r="E209" s="47" t="s">
        <v>255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268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272</v>
      </c>
      <c r="D210" s="47" t="s">
        <v>175</v>
      </c>
      <c r="E210" s="47" t="s">
        <v>255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269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285</v>
      </c>
      <c r="D211" s="47" t="s">
        <v>286</v>
      </c>
      <c r="E211" s="47" t="s">
        <v>255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287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273</v>
      </c>
      <c r="D212" s="47" t="s">
        <v>182</v>
      </c>
      <c r="E212" s="47" t="s">
        <v>255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274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265</v>
      </c>
      <c r="D213" s="47" t="s">
        <v>216</v>
      </c>
      <c r="E213" s="47" t="s">
        <v>255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278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265</v>
      </c>
      <c r="D214" s="47" t="s">
        <v>288</v>
      </c>
      <c r="E214" s="47" t="s">
        <v>255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289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265</v>
      </c>
      <c r="D215" s="47" t="s">
        <v>176</v>
      </c>
      <c r="E215" s="47" t="s">
        <v>255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269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265</v>
      </c>
      <c r="D216" s="47" t="s">
        <v>177</v>
      </c>
      <c r="E216" s="47" t="s">
        <v>255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269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178</v>
      </c>
      <c r="E217" s="47" t="s">
        <v>255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269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270</v>
      </c>
      <c r="D218" s="47" t="s">
        <v>153</v>
      </c>
      <c r="E218" s="47" t="s">
        <v>255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269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270</v>
      </c>
      <c r="D219" s="47" t="s">
        <v>154</v>
      </c>
      <c r="E219" s="47" t="s">
        <v>255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269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272</v>
      </c>
      <c r="D220" s="47" t="s">
        <v>175</v>
      </c>
      <c r="E220" s="47" t="s">
        <v>255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269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273</v>
      </c>
      <c r="D221" s="47" t="s">
        <v>182</v>
      </c>
      <c r="E221" s="47" t="s">
        <v>255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274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265</v>
      </c>
      <c r="D222" s="47" t="s">
        <v>216</v>
      </c>
      <c r="E222" s="47" t="s">
        <v>255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280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265</v>
      </c>
      <c r="D223" s="47" t="s">
        <v>176</v>
      </c>
      <c r="E223" s="47" t="s">
        <v>255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269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265</v>
      </c>
      <c r="D224" s="47" t="s">
        <v>177</v>
      </c>
      <c r="E224" s="47" t="s">
        <v>255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269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178</v>
      </c>
      <c r="E225" s="47" t="s">
        <v>255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269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270</v>
      </c>
      <c r="D226" s="47" t="s">
        <v>153</v>
      </c>
      <c r="E226" s="47" t="s">
        <v>255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269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270</v>
      </c>
      <c r="D227" s="47" t="s">
        <v>154</v>
      </c>
      <c r="E227" s="47" t="s">
        <v>255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269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272</v>
      </c>
      <c r="D228" s="47" t="s">
        <v>175</v>
      </c>
      <c r="E228" s="47" t="s">
        <v>255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269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273</v>
      </c>
      <c r="D229" s="47" t="s">
        <v>182</v>
      </c>
      <c r="E229" s="47" t="s">
        <v>255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274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265</v>
      </c>
      <c r="D230" s="47" t="s">
        <v>216</v>
      </c>
      <c r="E230" s="47" t="s">
        <v>256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281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265</v>
      </c>
      <c r="D231" s="47" t="s">
        <v>176</v>
      </c>
      <c r="E231" s="47" t="s">
        <v>256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269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265</v>
      </c>
      <c r="D232" s="47" t="s">
        <v>177</v>
      </c>
      <c r="E232" s="47" t="s">
        <v>256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269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178</v>
      </c>
      <c r="E233" s="47" t="s">
        <v>256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269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270</v>
      </c>
      <c r="D234" s="47" t="s">
        <v>153</v>
      </c>
      <c r="E234" s="47" t="s">
        <v>256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269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270</v>
      </c>
      <c r="D235" s="47" t="s">
        <v>154</v>
      </c>
      <c r="E235" s="47" t="s">
        <v>256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269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271</v>
      </c>
      <c r="D236" s="47" t="s">
        <v>179</v>
      </c>
      <c r="E236" s="47" t="s">
        <v>256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268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271</v>
      </c>
      <c r="D237" s="47" t="s">
        <v>181</v>
      </c>
      <c r="E237" s="47" t="s">
        <v>256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268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272</v>
      </c>
      <c r="D238" s="47" t="s">
        <v>175</v>
      </c>
      <c r="E238" s="47" t="s">
        <v>256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269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265</v>
      </c>
      <c r="D239" s="47" t="s">
        <v>216</v>
      </c>
      <c r="E239" s="47" t="s">
        <v>256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282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265</v>
      </c>
      <c r="D240" s="47" t="s">
        <v>288</v>
      </c>
      <c r="E240" s="47" t="s">
        <v>256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289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265</v>
      </c>
      <c r="D241" s="47" t="s">
        <v>267</v>
      </c>
      <c r="E241" s="47" t="s">
        <v>256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268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265</v>
      </c>
      <c r="D242" s="47" t="s">
        <v>176</v>
      </c>
      <c r="E242" s="47" t="s">
        <v>256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269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265</v>
      </c>
      <c r="D243" s="47" t="s">
        <v>177</v>
      </c>
      <c r="E243" s="47" t="s">
        <v>256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269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178</v>
      </c>
      <c r="E244" s="47" t="s">
        <v>256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269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270</v>
      </c>
      <c r="D245" s="47" t="s">
        <v>153</v>
      </c>
      <c r="E245" s="47" t="s">
        <v>256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269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270</v>
      </c>
      <c r="D246" s="47" t="s">
        <v>154</v>
      </c>
      <c r="E246" s="47" t="s">
        <v>256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269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271</v>
      </c>
      <c r="D247" s="47" t="s">
        <v>291</v>
      </c>
      <c r="E247" s="47" t="s">
        <v>256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268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272</v>
      </c>
      <c r="D248" s="47" t="s">
        <v>175</v>
      </c>
      <c r="E248" s="47" t="s">
        <v>256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269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285</v>
      </c>
      <c r="D249" s="47" t="s">
        <v>293</v>
      </c>
      <c r="E249" s="47" t="s">
        <v>256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287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273</v>
      </c>
      <c r="D250" s="47" t="s">
        <v>182</v>
      </c>
      <c r="E250" s="47" t="s">
        <v>256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274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265</v>
      </c>
      <c r="D251" s="47" t="s">
        <v>216</v>
      </c>
      <c r="E251" s="47" t="s">
        <v>259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283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265</v>
      </c>
      <c r="D252" s="47" t="s">
        <v>176</v>
      </c>
      <c r="E252" s="47" t="s">
        <v>259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269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265</v>
      </c>
      <c r="D253" s="47" t="s">
        <v>177</v>
      </c>
      <c r="E253" s="47" t="s">
        <v>259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269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178</v>
      </c>
      <c r="E254" s="47" t="s">
        <v>259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269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270</v>
      </c>
      <c r="D255" s="47" t="s">
        <v>153</v>
      </c>
      <c r="E255" s="47" t="s">
        <v>259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269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270</v>
      </c>
      <c r="D256" s="47" t="s">
        <v>154</v>
      </c>
      <c r="E256" s="47" t="s">
        <v>259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269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272</v>
      </c>
      <c r="D257" s="47" t="s">
        <v>175</v>
      </c>
      <c r="E257" s="47" t="s">
        <v>259</v>
      </c>
      <c r="F257" s="47" t="n">
        <v>1</v>
      </c>
      <c r="G257" s="48" t="n">
        <v>30</v>
      </c>
      <c r="H257" s="48" t="n">
        <f aca="false">F257*G257</f>
        <v>30</v>
      </c>
      <c r="I257" s="47" t="s">
        <v>269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265</v>
      </c>
      <c r="D258" s="47" t="s">
        <v>216</v>
      </c>
      <c r="E258" s="47" t="s">
        <v>248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294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265</v>
      </c>
      <c r="D259" s="47" t="s">
        <v>267</v>
      </c>
      <c r="E259" s="47" t="s">
        <v>248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295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265</v>
      </c>
      <c r="D260" s="47" t="s">
        <v>176</v>
      </c>
      <c r="E260" s="47" t="s">
        <v>248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296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265</v>
      </c>
      <c r="D261" s="47" t="s">
        <v>177</v>
      </c>
      <c r="E261" s="47" t="s">
        <v>248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296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178</v>
      </c>
      <c r="E262" s="47" t="s">
        <v>248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296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217</v>
      </c>
      <c r="E263" s="47" t="s">
        <v>248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295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271</v>
      </c>
      <c r="D264" s="47" t="s">
        <v>179</v>
      </c>
      <c r="E264" s="47" t="s">
        <v>248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295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271</v>
      </c>
      <c r="D265" s="47" t="s">
        <v>181</v>
      </c>
      <c r="E265" s="47" t="s">
        <v>248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295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272</v>
      </c>
      <c r="D266" s="47" t="s">
        <v>175</v>
      </c>
      <c r="E266" s="47" t="s">
        <v>248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296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270</v>
      </c>
      <c r="D267" s="47" t="s">
        <v>153</v>
      </c>
      <c r="E267" s="47" t="s">
        <v>248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296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270</v>
      </c>
      <c r="D268" s="47" t="s">
        <v>154</v>
      </c>
      <c r="E268" s="47" t="s">
        <v>248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296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273</v>
      </c>
      <c r="D269" s="47" t="s">
        <v>182</v>
      </c>
      <c r="E269" s="47" t="s">
        <v>248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274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265</v>
      </c>
      <c r="D270" s="47" t="s">
        <v>288</v>
      </c>
      <c r="E270" s="47" t="s">
        <v>248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297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265</v>
      </c>
      <c r="D271" s="47" t="s">
        <v>216</v>
      </c>
      <c r="E271" s="47" t="s">
        <v>250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298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265</v>
      </c>
      <c r="D272" s="47" t="s">
        <v>267</v>
      </c>
      <c r="E272" s="47" t="s">
        <v>250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295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265</v>
      </c>
      <c r="D273" s="47" t="s">
        <v>176</v>
      </c>
      <c r="E273" s="47" t="s">
        <v>250</v>
      </c>
      <c r="F273" s="47" t="n">
        <v>5</v>
      </c>
      <c r="G273" s="48" t="n">
        <v>26</v>
      </c>
      <c r="H273" s="48" t="n">
        <f aca="false">G273*F273</f>
        <v>130</v>
      </c>
      <c r="I273" s="47" t="s">
        <v>296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265</v>
      </c>
      <c r="D274" s="47" t="s">
        <v>177</v>
      </c>
      <c r="E274" s="47" t="s">
        <v>250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296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178</v>
      </c>
      <c r="E275" s="47" t="s">
        <v>250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296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217</v>
      </c>
      <c r="E276" s="47" t="s">
        <v>250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295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271</v>
      </c>
      <c r="D277" s="47" t="s">
        <v>179</v>
      </c>
      <c r="E277" s="47" t="s">
        <v>250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295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271</v>
      </c>
      <c r="D278" s="47" t="s">
        <v>181</v>
      </c>
      <c r="E278" s="47" t="s">
        <v>250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295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272</v>
      </c>
      <c r="D279" s="47" t="s">
        <v>175</v>
      </c>
      <c r="E279" s="47" t="s">
        <v>250</v>
      </c>
      <c r="F279" s="47" t="n">
        <v>5</v>
      </c>
      <c r="G279" s="48" t="n">
        <v>30</v>
      </c>
      <c r="H279" s="48" t="n">
        <f aca="false">G279*F279</f>
        <v>150</v>
      </c>
      <c r="I279" s="47" t="s">
        <v>296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270</v>
      </c>
      <c r="D280" s="47" t="s">
        <v>153</v>
      </c>
      <c r="E280" s="47" t="s">
        <v>250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296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270</v>
      </c>
      <c r="D281" s="47" t="s">
        <v>154</v>
      </c>
      <c r="E281" s="47" t="s">
        <v>250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296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265</v>
      </c>
      <c r="D282" s="47" t="s">
        <v>216</v>
      </c>
      <c r="E282" s="47" t="s">
        <v>252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299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265</v>
      </c>
      <c r="D283" s="47" t="s">
        <v>267</v>
      </c>
      <c r="E283" s="47" t="s">
        <v>252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295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265</v>
      </c>
      <c r="D284" s="47" t="s">
        <v>176</v>
      </c>
      <c r="E284" s="47" t="s">
        <v>252</v>
      </c>
      <c r="F284" s="47" t="n">
        <v>6</v>
      </c>
      <c r="G284" s="48" t="n">
        <v>26</v>
      </c>
      <c r="H284" s="48" t="n">
        <f aca="false">G284*F284</f>
        <v>156</v>
      </c>
      <c r="I284" s="47" t="s">
        <v>296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265</v>
      </c>
      <c r="D285" s="47" t="s">
        <v>177</v>
      </c>
      <c r="E285" s="47" t="s">
        <v>252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296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178</v>
      </c>
      <c r="E286" s="47" t="s">
        <v>252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296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217</v>
      </c>
      <c r="E287" s="47" t="s">
        <v>252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295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271</v>
      </c>
      <c r="D288" s="47" t="s">
        <v>179</v>
      </c>
      <c r="E288" s="47" t="s">
        <v>252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295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271</v>
      </c>
      <c r="D289" s="47" t="s">
        <v>181</v>
      </c>
      <c r="E289" s="47" t="s">
        <v>252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295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272</v>
      </c>
      <c r="D290" s="47" t="s">
        <v>175</v>
      </c>
      <c r="E290" s="47" t="s">
        <v>252</v>
      </c>
      <c r="F290" s="47" t="n">
        <v>6</v>
      </c>
      <c r="G290" s="48" t="n">
        <v>30</v>
      </c>
      <c r="H290" s="48" t="n">
        <f aca="false">G290*F290</f>
        <v>180</v>
      </c>
      <c r="I290" s="47" t="s">
        <v>296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270</v>
      </c>
      <c r="D291" s="47" t="s">
        <v>153</v>
      </c>
      <c r="E291" s="47" t="s">
        <v>252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296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270</v>
      </c>
      <c r="D292" s="47" t="s">
        <v>154</v>
      </c>
      <c r="E292" s="47" t="s">
        <v>252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296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273</v>
      </c>
      <c r="D293" s="47" t="s">
        <v>182</v>
      </c>
      <c r="E293" s="47" t="s">
        <v>252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274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265</v>
      </c>
      <c r="D294" s="47" t="s">
        <v>216</v>
      </c>
      <c r="E294" s="47" t="s">
        <v>253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300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265</v>
      </c>
      <c r="D295" s="47" t="s">
        <v>267</v>
      </c>
      <c r="E295" s="47" t="s">
        <v>253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295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265</v>
      </c>
      <c r="D296" s="47" t="s">
        <v>176</v>
      </c>
      <c r="E296" s="47" t="s">
        <v>253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296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265</v>
      </c>
      <c r="D297" s="47" t="s">
        <v>177</v>
      </c>
      <c r="E297" s="47" t="s">
        <v>253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296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178</v>
      </c>
      <c r="E298" s="47" t="s">
        <v>253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296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217</v>
      </c>
      <c r="E299" s="47" t="s">
        <v>253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295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271</v>
      </c>
      <c r="D300" s="47" t="s">
        <v>179</v>
      </c>
      <c r="E300" s="47" t="s">
        <v>253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295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271</v>
      </c>
      <c r="D301" s="47" t="s">
        <v>181</v>
      </c>
      <c r="E301" s="47" t="s">
        <v>253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295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272</v>
      </c>
      <c r="D302" s="47" t="s">
        <v>175</v>
      </c>
      <c r="E302" s="47" t="s">
        <v>253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296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270</v>
      </c>
      <c r="D303" s="47" t="s">
        <v>153</v>
      </c>
      <c r="E303" s="47" t="s">
        <v>253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296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270</v>
      </c>
      <c r="D304" s="47" t="s">
        <v>154</v>
      </c>
      <c r="E304" s="47" t="s">
        <v>253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296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265</v>
      </c>
      <c r="D305" s="47" t="s">
        <v>288</v>
      </c>
      <c r="E305" s="47" t="s">
        <v>253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297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265</v>
      </c>
      <c r="D306" s="47" t="s">
        <v>216</v>
      </c>
      <c r="E306" s="47" t="s">
        <v>255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301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265</v>
      </c>
      <c r="D307" s="1" t="s">
        <v>267</v>
      </c>
      <c r="E307" s="1" t="s">
        <v>255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295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265</v>
      </c>
      <c r="D308" s="47" t="s">
        <v>176</v>
      </c>
      <c r="E308" s="47" t="s">
        <v>255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296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265</v>
      </c>
      <c r="D309" s="1" t="s">
        <v>177</v>
      </c>
      <c r="E309" s="1" t="s">
        <v>255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296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178</v>
      </c>
      <c r="E310" s="47" t="s">
        <v>255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296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217</v>
      </c>
      <c r="E311" s="47" t="s">
        <v>255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295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271</v>
      </c>
      <c r="D312" s="47" t="s">
        <v>179</v>
      </c>
      <c r="E312" s="47" t="s">
        <v>255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295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271</v>
      </c>
      <c r="D313" s="47" t="s">
        <v>181</v>
      </c>
      <c r="E313" s="47" t="s">
        <v>255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295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272</v>
      </c>
      <c r="D314" s="47" t="s">
        <v>175</v>
      </c>
      <c r="E314" s="47" t="s">
        <v>255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296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270</v>
      </c>
      <c r="D315" s="47" t="s">
        <v>153</v>
      </c>
      <c r="E315" s="47" t="s">
        <v>255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296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270</v>
      </c>
      <c r="D316" s="47" t="s">
        <v>154</v>
      </c>
      <c r="E316" s="47" t="s">
        <v>255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296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273</v>
      </c>
      <c r="D317" s="47" t="s">
        <v>182</v>
      </c>
      <c r="E317" s="47" t="s">
        <v>255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274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265</v>
      </c>
      <c r="D318" s="47" t="s">
        <v>216</v>
      </c>
      <c r="E318" s="47" t="s">
        <v>256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302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265</v>
      </c>
      <c r="D319" s="47" t="s">
        <v>176</v>
      </c>
      <c r="E319" s="47" t="s">
        <v>256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296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265</v>
      </c>
      <c r="D320" s="47" t="s">
        <v>177</v>
      </c>
      <c r="E320" s="47" t="s">
        <v>256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296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178</v>
      </c>
      <c r="E321" s="47" t="s">
        <v>256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296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217</v>
      </c>
      <c r="E322" s="47" t="s">
        <v>256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303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272</v>
      </c>
      <c r="D323" s="47" t="s">
        <v>175</v>
      </c>
      <c r="E323" s="47" t="s">
        <v>256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296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270</v>
      </c>
      <c r="D324" s="47" t="s">
        <v>153</v>
      </c>
      <c r="E324" s="47" t="s">
        <v>256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296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270</v>
      </c>
      <c r="D325" s="47" t="s">
        <v>154</v>
      </c>
      <c r="E325" s="47" t="s">
        <v>256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296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273</v>
      </c>
      <c r="D326" s="47" t="s">
        <v>182</v>
      </c>
      <c r="E326" s="47" t="s">
        <v>256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274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265</v>
      </c>
      <c r="D327" s="47" t="s">
        <v>288</v>
      </c>
      <c r="E327" s="47" t="s">
        <v>256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297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265</v>
      </c>
      <c r="D328" s="47" t="s">
        <v>216</v>
      </c>
      <c r="E328" s="47" t="s">
        <v>253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304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265</v>
      </c>
      <c r="D329" s="47" t="s">
        <v>176</v>
      </c>
      <c r="E329" s="47" t="s">
        <v>253</v>
      </c>
      <c r="F329" s="47" t="n">
        <v>2</v>
      </c>
      <c r="G329" s="48" t="n">
        <v>26</v>
      </c>
      <c r="H329" s="48" t="n">
        <f aca="false">G329*F329</f>
        <v>52</v>
      </c>
      <c r="I329" s="47" t="s">
        <v>296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265</v>
      </c>
      <c r="D330" s="47" t="s">
        <v>177</v>
      </c>
      <c r="E330" s="47" t="s">
        <v>253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296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178</v>
      </c>
      <c r="E331" s="47" t="s">
        <v>253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296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272</v>
      </c>
      <c r="D332" s="47" t="s">
        <v>175</v>
      </c>
      <c r="E332" s="47" t="s">
        <v>253</v>
      </c>
      <c r="F332" s="47" t="n">
        <v>2</v>
      </c>
      <c r="G332" s="48" t="n">
        <v>30</v>
      </c>
      <c r="H332" s="48" t="n">
        <f aca="false">G332*F332</f>
        <v>60</v>
      </c>
      <c r="I332" s="47" t="s">
        <v>296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270</v>
      </c>
      <c r="D333" s="47" t="s">
        <v>153</v>
      </c>
      <c r="E333" s="47" t="s">
        <v>253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296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270</v>
      </c>
      <c r="D334" s="47" t="s">
        <v>154</v>
      </c>
      <c r="E334" s="47" t="s">
        <v>253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296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273</v>
      </c>
      <c r="D335" s="47" t="s">
        <v>182</v>
      </c>
      <c r="E335" s="47" t="s">
        <v>253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274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265</v>
      </c>
      <c r="D336" s="47" t="s">
        <v>216</v>
      </c>
      <c r="E336" s="47" t="s">
        <v>256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305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265</v>
      </c>
      <c r="D337" s="47" t="s">
        <v>267</v>
      </c>
      <c r="E337" s="47" t="s">
        <v>256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303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265</v>
      </c>
      <c r="D338" s="47" t="s">
        <v>176</v>
      </c>
      <c r="E338" s="47" t="s">
        <v>256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296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265</v>
      </c>
      <c r="D339" s="47" t="s">
        <v>177</v>
      </c>
      <c r="E339" s="47" t="s">
        <v>256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296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178</v>
      </c>
      <c r="E340" s="47" t="s">
        <v>256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296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272</v>
      </c>
      <c r="D341" s="47" t="s">
        <v>175</v>
      </c>
      <c r="E341" s="47" t="s">
        <v>256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296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270</v>
      </c>
      <c r="D342" s="47" t="s">
        <v>153</v>
      </c>
      <c r="E342" s="47" t="s">
        <v>256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296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270</v>
      </c>
      <c r="D343" s="47" t="s">
        <v>154</v>
      </c>
      <c r="E343" s="47" t="s">
        <v>256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296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273</v>
      </c>
      <c r="D344" s="47" t="s">
        <v>182</v>
      </c>
      <c r="E344" s="47" t="s">
        <v>256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274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265</v>
      </c>
      <c r="D345" s="47" t="s">
        <v>288</v>
      </c>
      <c r="E345" s="47" t="s">
        <v>256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297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265</v>
      </c>
      <c r="D346" s="47" t="s">
        <v>216</v>
      </c>
      <c r="E346" s="47" t="s">
        <v>255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306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265</v>
      </c>
      <c r="D347" s="47" t="s">
        <v>176</v>
      </c>
      <c r="E347" s="47" t="s">
        <v>255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296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265</v>
      </c>
      <c r="D348" s="47" t="s">
        <v>177</v>
      </c>
      <c r="E348" s="47" t="s">
        <v>255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296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178</v>
      </c>
      <c r="E349" s="47" t="s">
        <v>255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296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272</v>
      </c>
      <c r="D350" s="47" t="s">
        <v>175</v>
      </c>
      <c r="E350" s="47" t="s">
        <v>255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296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270</v>
      </c>
      <c r="D351" s="47" t="s">
        <v>153</v>
      </c>
      <c r="E351" s="47" t="s">
        <v>255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296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270</v>
      </c>
      <c r="D352" s="47" t="s">
        <v>154</v>
      </c>
      <c r="E352" s="47" t="s">
        <v>255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296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273</v>
      </c>
      <c r="D353" s="47" t="s">
        <v>182</v>
      </c>
      <c r="E353" s="47" t="s">
        <v>255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274</v>
      </c>
    </row>
    <row r="354" customFormat="false" ht="14.25" hidden="false" customHeight="true" outlineLevel="0" collapsed="false">
      <c r="A354" s="49" t="s">
        <v>307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308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243</v>
      </c>
      <c r="C357" s="46" t="s">
        <v>3</v>
      </c>
      <c r="D357" s="46" t="s">
        <v>309</v>
      </c>
      <c r="E357" s="46" t="s">
        <v>310</v>
      </c>
      <c r="F357" s="46" t="s">
        <v>311</v>
      </c>
      <c r="G357" s="46" t="s">
        <v>312</v>
      </c>
      <c r="H357" s="46" t="s">
        <v>313</v>
      </c>
      <c r="I357" s="46" t="s">
        <v>314</v>
      </c>
      <c r="J357" s="46" t="s">
        <v>315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248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250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252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253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253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255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255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255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256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256</v>
      </c>
      <c r="C367" s="47" t="s">
        <v>12</v>
      </c>
      <c r="D367" s="47" t="s">
        <v>316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317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256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259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248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250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317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252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253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253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255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255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255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256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256</v>
      </c>
      <c r="C379" s="47" t="s">
        <v>12</v>
      </c>
      <c r="D379" s="47" t="s">
        <v>316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317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256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259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248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250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252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253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255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318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256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253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256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259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255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fals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fals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fals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fals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fals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319</v>
      </c>
      <c r="B1" s="54"/>
      <c r="C1" s="54"/>
      <c r="D1" s="54"/>
    </row>
    <row r="2" customFormat="false" ht="15" hidden="false" customHeight="true" outlineLevel="0" collapsed="false">
      <c r="A2" s="55" t="s">
        <v>320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136</v>
      </c>
      <c r="C4" s="56" t="s">
        <v>261</v>
      </c>
      <c r="D4" s="56" t="s">
        <v>263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172</v>
      </c>
      <c r="D5" s="57" t="n">
        <f aca="false">'CUSTOS MENSAIS'!F271</f>
        <v>9704.52</v>
      </c>
    </row>
    <row r="6" customFormat="false" ht="15" hidden="false" customHeight="true" outlineLevel="0" collapsed="false">
      <c r="A6" s="41" t="s">
        <v>11</v>
      </c>
      <c r="B6" s="41" t="s">
        <v>285</v>
      </c>
      <c r="C6" s="41" t="s">
        <v>174</v>
      </c>
      <c r="D6" s="58" t="n">
        <f aca="false">'CUSTOS MENSAIS'!F273</f>
        <v>4.85</v>
      </c>
    </row>
    <row r="7" customFormat="false" ht="15" hidden="false" customHeight="true" outlineLevel="0" collapsed="false">
      <c r="A7" s="40" t="s">
        <v>11</v>
      </c>
      <c r="B7" s="40" t="s">
        <v>265</v>
      </c>
      <c r="C7" s="40" t="s">
        <v>216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272</v>
      </c>
      <c r="C8" s="41" t="s">
        <v>175</v>
      </c>
      <c r="D8" s="58" t="n">
        <f aca="false">'CUSTOS MENSAIS'!F275</f>
        <v>460518.72</v>
      </c>
    </row>
    <row r="9" customFormat="false" ht="15" hidden="false" customHeight="true" outlineLevel="0" collapsed="false">
      <c r="A9" s="40" t="s">
        <v>11</v>
      </c>
      <c r="B9" s="40" t="s">
        <v>265</v>
      </c>
      <c r="C9" s="40" t="s">
        <v>176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265</v>
      </c>
      <c r="C10" s="41" t="s">
        <v>177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178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217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271</v>
      </c>
      <c r="C13" s="40" t="s">
        <v>179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271</v>
      </c>
      <c r="C14" s="41" t="s">
        <v>180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271</v>
      </c>
      <c r="C15" s="40" t="s">
        <v>181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273</v>
      </c>
      <c r="C16" s="41" t="s">
        <v>182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270</v>
      </c>
      <c r="C17" s="40" t="s">
        <v>153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270</v>
      </c>
      <c r="C18" s="41" t="s">
        <v>154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265</v>
      </c>
      <c r="C19" s="40" t="s">
        <v>183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285</v>
      </c>
      <c r="C20" s="41" t="s">
        <v>184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285</v>
      </c>
      <c r="C21" s="40" t="s">
        <v>185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285</v>
      </c>
      <c r="C22" s="41" t="s">
        <v>186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285</v>
      </c>
      <c r="C23" s="40" t="s">
        <v>187</v>
      </c>
      <c r="D23" s="57" t="n">
        <f aca="false">'CUSTOS MENSAIS'!F305</f>
        <v>1058.31</v>
      </c>
    </row>
    <row r="24" customFormat="false" ht="15" hidden="false" customHeight="true" outlineLevel="0" collapsed="false">
      <c r="A24" s="59" t="s">
        <v>11</v>
      </c>
      <c r="B24" s="59"/>
      <c r="C24" s="59" t="s">
        <v>321</v>
      </c>
      <c r="D24" s="60" t="n">
        <f aca="false">SUM(D5:D23)</f>
        <v>496414.739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172</v>
      </c>
      <c r="D26" s="57" t="n">
        <f aca="false">'CUSTOS MENSAIS'!F306</f>
        <v>9704.52</v>
      </c>
    </row>
    <row r="27" customFormat="false" ht="15" hidden="false" customHeight="true" outlineLevel="0" collapsed="false">
      <c r="A27" s="41" t="s">
        <v>20</v>
      </c>
      <c r="B27" s="41" t="s">
        <v>285</v>
      </c>
      <c r="C27" s="41" t="s">
        <v>174</v>
      </c>
      <c r="D27" s="58" t="n">
        <f aca="false">'CUSTOS MENSAIS'!F308</f>
        <v>4.85</v>
      </c>
    </row>
    <row r="28" customFormat="false" ht="15" hidden="false" customHeight="true" outlineLevel="0" collapsed="false">
      <c r="A28" s="40" t="s">
        <v>20</v>
      </c>
      <c r="B28" s="40" t="s">
        <v>265</v>
      </c>
      <c r="C28" s="40" t="s">
        <v>216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272</v>
      </c>
      <c r="C29" s="41" t="s">
        <v>175</v>
      </c>
      <c r="D29" s="58" t="n">
        <f aca="false">'CUSTOS MENSAIS'!F310</f>
        <v>210439.6</v>
      </c>
    </row>
    <row r="30" customFormat="false" ht="15" hidden="false" customHeight="true" outlineLevel="0" collapsed="false">
      <c r="A30" s="40" t="s">
        <v>20</v>
      </c>
      <c r="B30" s="40" t="s">
        <v>265</v>
      </c>
      <c r="C30" s="40" t="s">
        <v>176</v>
      </c>
      <c r="D30" s="57" t="n">
        <f aca="false">'CUSTOS MENSAIS'!F329</f>
        <v>1654.6</v>
      </c>
    </row>
    <row r="31" customFormat="false" ht="15" hidden="false" customHeight="true" outlineLevel="0" collapsed="false">
      <c r="A31" s="41" t="s">
        <v>20</v>
      </c>
      <c r="B31" s="41" t="s">
        <v>265</v>
      </c>
      <c r="C31" s="41" t="s">
        <v>177</v>
      </c>
      <c r="D31" s="58" t="n">
        <f aca="false">'CUSTOS MENSAIS'!F330</f>
        <v>4.85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178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217</v>
      </c>
      <c r="D33" s="58" t="n">
        <f aca="false">'CUSTOS MENSAIS'!F332</f>
        <v>1037241.6</v>
      </c>
    </row>
    <row r="34" customFormat="false" ht="15" hidden="false" customHeight="true" outlineLevel="0" collapsed="false">
      <c r="A34" s="40" t="s">
        <v>20</v>
      </c>
      <c r="B34" s="40" t="s">
        <v>271</v>
      </c>
      <c r="C34" s="40" t="s">
        <v>179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271</v>
      </c>
      <c r="C35" s="41" t="s">
        <v>180</v>
      </c>
      <c r="D35" s="58" t="n">
        <f aca="false">'CUSTOS MENSAIS'!F334</f>
        <v>138.88</v>
      </c>
    </row>
    <row r="36" customFormat="false" ht="15" hidden="false" customHeight="true" outlineLevel="0" collapsed="false">
      <c r="A36" s="40" t="s">
        <v>20</v>
      </c>
      <c r="B36" s="40" t="s">
        <v>271</v>
      </c>
      <c r="C36" s="40" t="s">
        <v>181</v>
      </c>
      <c r="D36" s="57" t="n">
        <f aca="false">'CUSTOS MENSAIS'!F335</f>
        <v>28.7</v>
      </c>
    </row>
    <row r="37" customFormat="false" ht="15" hidden="false" customHeight="true" outlineLevel="0" collapsed="false">
      <c r="A37" s="41" t="s">
        <v>20</v>
      </c>
      <c r="B37" s="41" t="s">
        <v>273</v>
      </c>
      <c r="C37" s="41" t="s">
        <v>182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270</v>
      </c>
      <c r="C38" s="40" t="s">
        <v>153</v>
      </c>
      <c r="D38" s="57" t="n">
        <f aca="false">'CUSTOS MENSAIS'!F337</f>
        <v>267.66</v>
      </c>
    </row>
    <row r="39" customFormat="false" ht="15" hidden="false" customHeight="true" outlineLevel="0" collapsed="false">
      <c r="A39" s="41" t="s">
        <v>20</v>
      </c>
      <c r="B39" s="41" t="s">
        <v>270</v>
      </c>
      <c r="C39" s="41" t="s">
        <v>154</v>
      </c>
      <c r="D39" s="58" t="n">
        <f aca="false">'CUSTOS MENSAIS'!F338</f>
        <v>391.86</v>
      </c>
    </row>
    <row r="40" customFormat="false" ht="15" hidden="false" customHeight="true" outlineLevel="0" collapsed="false">
      <c r="A40" s="40" t="s">
        <v>20</v>
      </c>
      <c r="B40" s="40" t="s">
        <v>265</v>
      </c>
      <c r="C40" s="40" t="s">
        <v>183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285</v>
      </c>
      <c r="C41" s="41" t="s">
        <v>184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285</v>
      </c>
      <c r="C42" s="40" t="s">
        <v>185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285</v>
      </c>
      <c r="C43" s="41" t="s">
        <v>186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285</v>
      </c>
      <c r="C44" s="40" t="s">
        <v>187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322</v>
      </c>
      <c r="D45" s="60" t="n">
        <f aca="false">SUM(D26:D44)</f>
        <v>1283161.84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323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324</v>
      </c>
      <c r="C49" s="62" t="s">
        <v>325</v>
      </c>
      <c r="D49" s="62" t="s">
        <v>326</v>
      </c>
      <c r="E49" s="62" t="s">
        <v>327</v>
      </c>
      <c r="F49" s="62" t="s">
        <v>328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1302598.37</v>
      </c>
      <c r="F50" s="57" t="n">
        <f aca="false">IFERROR(E50/C50,0)</f>
        <v>7079.33896739131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244568.67</v>
      </c>
      <c r="F51" s="58" t="n">
        <f aca="false">IFERROR(E51/C51,0)</f>
        <v>1698.39354166667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329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330</v>
      </c>
      <c r="C54" s="62" t="s">
        <v>331</v>
      </c>
      <c r="D54" s="62" t="s">
        <v>332</v>
      </c>
      <c r="E54" s="62" t="s">
        <v>333</v>
      </c>
      <c r="F54" s="62" t="s">
        <v>334</v>
      </c>
      <c r="G54" s="63" t="s">
        <v>335</v>
      </c>
      <c r="H54" s="63" t="s">
        <v>336</v>
      </c>
      <c r="I54" s="62" t="s">
        <v>337</v>
      </c>
      <c r="J54" s="62" t="s">
        <v>338</v>
      </c>
      <c r="K54" s="62" t="s">
        <v>339</v>
      </c>
      <c r="L54" s="62" t="s">
        <v>340</v>
      </c>
      <c r="M54" s="62" t="s">
        <v>315</v>
      </c>
      <c r="O54" s="1" t="s">
        <v>341</v>
      </c>
    </row>
    <row r="55" customFormat="false" ht="14.25" hidden="false" customHeight="true" outlineLevel="0" collapsed="false">
      <c r="A55" s="40" t="s">
        <v>11</v>
      </c>
      <c r="B55" s="40" t="s">
        <v>342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343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344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342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343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344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2026-08-21T13:58:46Z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