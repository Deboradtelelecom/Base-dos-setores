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<sst xmlns="http://schemas.openxmlformats.org/spreadsheetml/2006/main" count="12162" uniqueCount="353">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</sst>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2532981.78116174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2170422.13097778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2981601.73017778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8448.65</v>
      </c>
      <c r="E114" s="1" t="n">
        <f aca="false">IFERROR(D114/IF(B114="Clientes",SUMIFS(PARÂMETROS!$B$8:$B$33,PARÂMETROS!$G$8:$G$33,F114),SUMIFS(PARÂMETROS!$C$8:$C$33,PARÂMETROS!$G$8:$G$33,F114)),0)</f>
        <v>0.0433613216795061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7438.77</v>
      </c>
      <c r="E115" s="1" t="n">
        <f aca="false">IFERROR(D115/IF(B115="Clientes",SUMIFS(PARÂMETROS!$B$8:$B$33,PARÂMETROS!$G$8:$G$33,F115),SUMIFS(PARÂMETROS!$C$8:$C$33,PARÂMETROS!$G$8:$G$33,F115)),0)</f>
        <v>0.0388798758147047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7396.14</v>
      </c>
      <c r="E116" s="1" t="n">
        <f aca="false">IFERROR(D116/IF(B116="Clientes",SUMIFS(PARÂMETROS!$B$8:$B$33,PARÂMETROS!$G$8:$G$33,F116),SUMIFS(PARÂMETROS!$C$8:$C$33,PARÂMETROS!$G$8:$G$33,F116)),0)</f>
        <v>0.0367070489500772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6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fals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fals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fals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fals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fals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fals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fals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fals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fals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fals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fals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fals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fals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fals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fals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fals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fals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fals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fals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fals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fals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fals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fals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fals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fals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82226.9347623517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103266.464762352</v>
      </c>
      <c r="F4" s="11" t="n">
        <f aca="false">IFERROR(B4/B$12,0)</f>
        <v>0.0330221326309882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163480.19451918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163480.19451918</v>
      </c>
      <c r="F5" s="16" t="n">
        <f aca="false">IFERROR(B5/B$12,0)</f>
        <v>0.0656532397997628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177446.953832371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182014.943832371</v>
      </c>
      <c r="F6" s="11" t="n">
        <f aca="false">IFERROR(B6/B$12,0)</f>
        <v>0.0712622556264899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45558.9041175483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49262.5241175483</v>
      </c>
      <c r="F7" s="16" t="n">
        <f aca="false">IFERROR(B7/B$12,0)</f>
        <v>0.0182963426599842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83688.4246252449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108074.844625245</v>
      </c>
      <c r="F8" s="11" t="n">
        <f aca="false">IFERROR(B8/B$12,0)</f>
        <v>0.0336090633274904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59186.9133008539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73120.9733008539</v>
      </c>
      <c r="F9" s="16" t="n">
        <f aca="false">IFERROR(B9/B$12,0)</f>
        <v>0.0237693172764902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59526.7666415988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63352.2266415988</v>
      </c>
      <c r="F10" s="11" t="n">
        <f aca="false">IFERROR(B10/B$12,0)</f>
        <v>0.0239058015334505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1818940.15936259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2098021.01936259</v>
      </c>
      <c r="F11" s="16" t="n">
        <f aca="false">IFERROR(B11/B$12,0)</f>
        <v>0.730481847145344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2490055.25116174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2840593.19116174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70501.7035382318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88410.3035382318</v>
      </c>
      <c r="F14" s="11" t="n">
        <f aca="false">IFERROR(B14/B$22,0)</f>
        <v>0.0328598871702179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143342.364958978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143342.364958978</v>
      </c>
      <c r="F15" s="16" t="n">
        <f aca="false">IFERROR(B15/B$22,0)</f>
        <v>0.0668099308651451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154098.294506194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159731.904506194</v>
      </c>
      <c r="F16" s="11" t="n">
        <f aca="false">IFERROR(B16/B$22,0)</f>
        <v>0.0718231236476524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39301.9860558725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43014.1460558725</v>
      </c>
      <c r="F17" s="16" t="n">
        <f aca="false">IFERROR(B17/B$22,0)</f>
        <v>0.0183181222941814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72942.6291911673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96716.6291911673</v>
      </c>
      <c r="F18" s="11" t="n">
        <f aca="false">IFERROR(B18/B$22,0)</f>
        <v>0.033997569488814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51602.2767199846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65731.1767199846</v>
      </c>
      <c r="F19" s="16" t="n">
        <f aca="false">IFERROR(B19/B$22,0)</f>
        <v>0.0240511208332085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52492.5465540591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81002.5765540591</v>
      </c>
      <c r="F20" s="11" t="n">
        <f aca="false">IFERROR(B20/B$22,0)</f>
        <v>0.0244660635201306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1561243.01945329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1841067.89945329</v>
      </c>
      <c r="F21" s="16" t="n">
        <f aca="false">IFERROR(B21/B$22,0)</f>
        <v>0.72767418218065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2145524.82097778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2519017.00097778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95886.6512245011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138752.271224501</v>
      </c>
      <c r="F24" s="11" t="n">
        <f aca="false">IFERROR(B24/B$32,0)</f>
        <v>0.0325566894160096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179413.247164649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179413.247164649</v>
      </c>
      <c r="F25" s="16" t="n">
        <f aca="false">IFERROR(B25/B$32,0)</f>
        <v>0.0609167312703556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206569.541671126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206569.541671126</v>
      </c>
      <c r="F26" s="11" t="n">
        <f aca="false">IFERROR(B26/B$32,0)</f>
        <v>0.070137191414146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52684.1895477619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52684.1895477619</v>
      </c>
      <c r="F27" s="16" t="n">
        <f aca="false">IFERROR(B27/B$32,0)</f>
        <v>0.0178880248119708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99634.2050088511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159031.405008851</v>
      </c>
      <c r="F28" s="11" t="n">
        <f aca="false">IFERROR(B28/B$32,0)</f>
        <v>0.0338291078712252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68230.5915541302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79455.2115541302</v>
      </c>
      <c r="F29" s="16" t="n">
        <f aca="false">IFERROR(B29/B$32,0)</f>
        <v>0.0231665424699994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69748.6376453531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76378.6976453531</v>
      </c>
      <c r="F30" s="11" t="n">
        <f aca="false">IFERROR(B30/B$32,0)</f>
        <v>0.023681969325354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2173054.11636141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2445175.99636141</v>
      </c>
      <c r="F31" s="16" t="n">
        <f aca="false">IFERROR(B31/B$32,0)</f>
        <v>0.73782374342094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2945221.18017778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3337460.56017778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64491.8854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2026-08-24T13:01:01Z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