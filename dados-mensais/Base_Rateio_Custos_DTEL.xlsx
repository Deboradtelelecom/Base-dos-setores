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<sst xmlns="http://schemas.openxmlformats.org/spreadsheetml/2006/main" count="12498" uniqueCount="386">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</sst>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58437.36</v>
      </c>
      <c r="F79" s="21" t="n">
        <f aca="false">IFERROR(D79*E79,0)</f>
        <v>1932.98596921624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1932.98596921624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58437.36</v>
      </c>
      <c r="F80" s="22" t="n">
        <f aca="false">IFERROR(D80*E80,0)</f>
        <v>4024.32982698891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4024.32982698891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58437.36</v>
      </c>
      <c r="F81" s="21" t="n">
        <f aca="false">IFERROR(D81*E81,0)</f>
        <v>4331.14823606699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4331.14823606699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58437.36</v>
      </c>
      <c r="F82" s="22" t="n">
        <f aca="false">IFERROR(D82*E82,0)</f>
        <v>1110.90458184282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1110.90458184282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58437.36</v>
      </c>
      <c r="F83" s="21" t="n">
        <f aca="false">IFERROR(D83*E83,0)</f>
        <v>1929.68684653798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1929.68684653798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58437.36</v>
      </c>
      <c r="F84" s="22" t="n">
        <f aca="false">IFERROR(D84*E84,0)</f>
        <v>1424.32123627741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1424.32123627741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58437.36</v>
      </c>
      <c r="F85" s="21" t="n">
        <f aca="false">IFERROR(D85*E85,0)</f>
        <v>1438.11756747741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1438.11756747741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58437.36</v>
      </c>
      <c r="F86" s="22" t="n">
        <f aca="false">IFERROR(D86*E86,0)</f>
        <v>42245.8657355923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42245.8657355923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58374.15</v>
      </c>
      <c r="F279" s="21" t="n">
        <f aca="false">IFERROR(D279*E279,0)</f>
        <v>1916.03726604191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1916.03726604191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58374.15</v>
      </c>
      <c r="F280" s="22" t="n">
        <f aca="false">IFERROR(D280*E280,0)</f>
        <v>4088.96997444166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4088.96997444166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58374.15</v>
      </c>
      <c r="F281" s="21" t="n">
        <f aca="false">IFERROR(D281*E281,0)</f>
        <v>4372.40924516665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4372.40924516665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58374.15</v>
      </c>
      <c r="F282" s="22" t="n">
        <f aca="false">IFERROR(D282*E282,0)</f>
        <v>1113.62038551799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1113.62038551799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58374.15</v>
      </c>
      <c r="F283" s="21" t="n">
        <f aca="false">IFERROR(D283*E283,0)</f>
        <v>1951.4290371981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1951.4290371981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58374.15</v>
      </c>
      <c r="F284" s="22" t="n">
        <f aca="false">IFERROR(D284*E284,0)</f>
        <v>1443.12997904112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1443.12997904112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58374.15</v>
      </c>
      <c r="F285" s="21" t="n">
        <f aca="false">IFERROR(D285*E285,0)</f>
        <v>1458.99525576631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1458.99525576631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58374.15</v>
      </c>
      <c r="F286" s="22" t="n">
        <f aca="false">IFERROR(D286*E286,0)</f>
        <v>42029.5588568263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42029.5588568263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63432.31</v>
      </c>
      <c r="F479" s="21" t="n">
        <f aca="false">IFERROR(D479*E479,0)</f>
        <v>2073.99863160141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2073.99863160141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63432.31</v>
      </c>
      <c r="F480" s="22" t="n">
        <f aca="false">IFERROR(D480*E480,0)</f>
        <v>4259.44163411765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4259.44163411765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63432.31</v>
      </c>
      <c r="F481" s="21" t="n">
        <f aca="false">IFERROR(D481*E481,0)</f>
        <v>4624.31176375123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4624.31176375123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63432.31</v>
      </c>
      <c r="F482" s="22" t="n">
        <f aca="false">IFERROR(D482*E482,0)</f>
        <v>1185.27699574671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1185.27699574671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63432.31</v>
      </c>
      <c r="F483" s="21" t="n">
        <f aca="false">IFERROR(D483*E483,0)</f>
        <v>2067.70233945933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2067.70233945933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63432.31</v>
      </c>
      <c r="F484" s="22" t="n">
        <f aca="false">IFERROR(D484*E484,0)</f>
        <v>1512.68418713491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1512.68418713491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63432.31</v>
      </c>
      <c r="F485" s="21" t="n">
        <f aca="false">IFERROR(D485*E485,0)</f>
        <v>1512.99900174201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1512.99900174201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63432.31</v>
      </c>
      <c r="F486" s="22" t="n">
        <f aca="false">IFERROR(D486*E486,0)</f>
        <v>46195.8954464467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46195.8954464467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69254.39</v>
      </c>
      <c r="F543" s="21" t="n">
        <f aca="false">IFERROR(D543*E543,0)</f>
        <v>2160.22867889908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2160.22867889908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69254.39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69254.39</v>
      </c>
      <c r="F545" s="21" t="n">
        <f aca="false">IFERROR(D545*E545,0)</f>
        <v>2986.19846788991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2986.19846788991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69254.39</v>
      </c>
      <c r="F546" s="22" t="n">
        <f aca="false">IFERROR(D546*E546,0)</f>
        <v>698.897513761468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698.897513761468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69254.39</v>
      </c>
      <c r="F547" s="21" t="n">
        <f aca="false">IFERROR(D547*E547,0)</f>
        <v>3176.80688073395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3176.80688073395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69254.39</v>
      </c>
      <c r="F548" s="22" t="n">
        <f aca="false">IFERROR(D548*E548,0)</f>
        <v>1143.65047706422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1143.65047706422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69254.39</v>
      </c>
      <c r="F549" s="21" t="n">
        <f aca="false">IFERROR(D549*E549,0)</f>
        <v>1524.86730275229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1524.86730275229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69254.39</v>
      </c>
      <c r="F550" s="22" t="n">
        <f aca="false">IFERROR(D550*E550,0)</f>
        <v>57563.7406788991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57563.7406788991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87292.4</v>
      </c>
      <c r="F551" s="21" t="n">
        <f aca="false">IFERROR(D551*E551,0)</f>
        <v>2854.13408638599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2854.13408638599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87292.4</v>
      </c>
      <c r="F552" s="22" t="n">
        <f aca="false">IFERROR(D552*E552,0)</f>
        <v>5861.63239052861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5861.63239052861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87292.4</v>
      </c>
      <c r="F553" s="21" t="n">
        <f aca="false">IFERROR(D553*E553,0)</f>
        <v>6363.74857239281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6363.74857239281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87292.4</v>
      </c>
      <c r="F554" s="22" t="n">
        <f aca="false">IFERROR(D554*E554,0)</f>
        <v>1631.11943461495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1631.11943461495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87292.4</v>
      </c>
      <c r="F555" s="21" t="n">
        <f aca="false">IFERROR(D555*E555,0)</f>
        <v>2845.469441315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2845.469441315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87292.4</v>
      </c>
      <c r="F556" s="22" t="n">
        <f aca="false">IFERROR(D556*E556,0)</f>
        <v>2081.68097830672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2081.68097830672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87292.4</v>
      </c>
      <c r="F557" s="21" t="n">
        <f aca="false">IFERROR(D557*E557,0)</f>
        <v>2082.11421056027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2082.11421056027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87292.4</v>
      </c>
      <c r="F558" s="22" t="n">
        <f aca="false">IFERROR(D558*E558,0)</f>
        <v>63572.5008858957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63572.5008858957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124229.39</v>
      </c>
      <c r="F575" s="21" t="n">
        <f aca="false">IFERROR(D575*E575,0)</f>
        <v>4061.83512573763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4061.83512573763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124229.39</v>
      </c>
      <c r="F576" s="22" t="n">
        <f aca="false">IFERROR(D576*E576,0)</f>
        <v>8341.92915167427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8341.92915167427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124229.39</v>
      </c>
      <c r="F577" s="21" t="n">
        <f aca="false">IFERROR(D577*E577,0)</f>
        <v>9056.51125712811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9056.51125712811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124229.39</v>
      </c>
      <c r="F578" s="22" t="n">
        <f aca="false">IFERROR(D578*E578,0)</f>
        <v>2321.3128792353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2321.3128792353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124229.39</v>
      </c>
      <c r="F579" s="21" t="n">
        <f aca="false">IFERROR(D579*E579,0)</f>
        <v>4049.50411442695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4049.50411442695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124229.39</v>
      </c>
      <c r="F580" s="22" t="n">
        <f aca="false">IFERROR(D580*E580,0)</f>
        <v>2962.5254673906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2962.5254673906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124229.39</v>
      </c>
      <c r="F581" s="21" t="n">
        <f aca="false">IFERROR(D581*E581,0)</f>
        <v>2963.14201795614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2963.14201795614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124229.39</v>
      </c>
      <c r="F582" s="22" t="n">
        <f aca="false">IFERROR(D582*E582,0)</f>
        <v>90472.629986451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90472.629986451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14501.07</v>
      </c>
      <c r="F748" s="1" t="n">
        <f aca="false">IFERROR(D748*E748,0)</f>
        <v>474.130602160891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474.130602160891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14501.07</v>
      </c>
      <c r="F749" s="1" t="n">
        <f aca="false">IFERROR(D749*E749,0)</f>
        <v>973.738167461574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973.738167461574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14501.07</v>
      </c>
      <c r="F750" s="1" t="n">
        <f aca="false">IFERROR(D750*E750,0)</f>
        <v>1057.15003265655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1057.15003265655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14501.07</v>
      </c>
      <c r="F751" s="1" t="n">
        <f aca="false">IFERROR(D751*E751,0)</f>
        <v>270.962616444407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270.962616444407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14501.07</v>
      </c>
      <c r="F752" s="1" t="n">
        <f aca="false">IFERROR(D752*E752,0)</f>
        <v>472.691225712315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472.691225712315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14501.07</v>
      </c>
      <c r="F753" s="1" t="n">
        <f aca="false">IFERROR(D753*E753,0)</f>
        <v>345.810191770352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345.810191770352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14501.07</v>
      </c>
      <c r="F754" s="1" t="n">
        <f aca="false">IFERROR(D754*E754,0)</f>
        <v>345.882160592781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345.882160592781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14501.07</v>
      </c>
      <c r="F755" s="1" t="n">
        <f aca="false">IFERROR(D755*E755,0)</f>
        <v>10560.7050032011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10560.7050032011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58437.36</v>
      </c>
      <c r="E10" s="21" t="n">
        <f aca="false">IFERROR(D10/IF(B10="Clientes",SUMIFS(PARÂMETROS!$B$8:$B$33,PARÂMETROS!$G$8:$G$33,F10),SUMIFS(PARÂMETROS!$C$8:$C$33,PARÂMETROS!$G$8:$G$33,F10)),0)</f>
        <v>0.299920243478082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2476590.77416174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58374.15</v>
      </c>
      <c r="E47" s="21" t="n">
        <f aca="false">IFERROR(D47/IF(B47="Clientes",SUMIFS(PARÂMETROS!$B$8:$B$33,PARÂMETROS!$G$8:$G$33,F47),SUMIFS(PARÂMETROS!$C$8:$C$33,PARÂMETROS!$G$8:$G$33,F47)),0)</f>
        <v>0.30510147548438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2123933.14397778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63432.31</v>
      </c>
      <c r="E83" s="21" t="n">
        <f aca="false">IFERROR(D83/IF(B83="Clientes",SUMIFS(PARÂMETROS!$B$8:$B$33,PARÂMETROS!$G$8:$G$33,F83),SUMIFS(PARÂMETROS!$C$8:$C$33,PARÂMETROS!$G$8:$G$33,F83)),0)</f>
        <v>0.314814607104039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69254.39</v>
      </c>
      <c r="E91" s="21" t="n">
        <f aca="false">IFERROR(D91/IF(B91="Clientes",SUMIFS(PARÂMETROS!$B$8:$B$33,PARÂMETROS!$G$8:$G$33,F91),SUMIFS(PARÂMETROS!$C$8:$C$33,PARÂMETROS!$G$8:$G$33,F91)),0)</f>
        <v>63.5361376146789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87292.4</v>
      </c>
      <c r="E92" s="21" t="n">
        <f aca="false">IFERROR(D92/IF(B92="Clientes",SUMIFS(PARÂMETROS!$B$8:$B$33,PARÂMETROS!$G$8:$G$33,F92),SUMIFS(PARÂMETROS!$C$8:$C$33,PARÂMETROS!$G$8:$G$33,F92)),0)</f>
        <v>0.433232253549786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124229.39</v>
      </c>
      <c r="E95" s="21" t="n">
        <f aca="false">IFERROR(D95/IF(B95="Clientes",SUMIFS(PARÂMETROS!$B$8:$B$33,PARÂMETROS!$G$8:$G$33,F95),SUMIFS(PARÂMETROS!$C$8:$C$33,PARÂMETROS!$G$8:$G$33,F95)),0)</f>
        <v>0.616550565533945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14501.07</v>
      </c>
      <c r="E108" s="21" t="n">
        <f aca="false">IFERROR(D108/IF(B108="Clientes",SUMIFS(PARÂMETROS!$B$8:$B$33,PARÂMETROS!$G$8:$G$33,F108),SUMIFS(PARÂMETROS!$C$8:$C$33,PARÂMETROS!$G$8:$G$33,F108)),0)</f>
        <v>0.0719688224287934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3069738.92317778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80356.7396003529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80356.7396003529</v>
      </c>
      <c r="F4" s="11" t="n">
        <f aca="false">IFERROR(B4/B$12,0)</f>
        <v>0.0330205250462257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159544.427785828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159544.427785828</v>
      </c>
      <c r="F5" s="16" t="n">
        <f aca="false">IFERROR(B5/B$12,0)</f>
        <v>0.0655606586316072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173219.339409803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173219.339409803</v>
      </c>
      <c r="F6" s="11" t="n">
        <f aca="false">IFERROR(B6/B$12,0)</f>
        <v>0.0711800100889976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44474.802257621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44474.802257621</v>
      </c>
      <c r="F7" s="16" t="n">
        <f aca="false">IFERROR(B7/B$12,0)</f>
        <v>0.0182757703856275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81830.1810872811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81830.1810872811</v>
      </c>
      <c r="F8" s="11" t="n">
        <f aca="false">IFERROR(B8/B$12,0)</f>
        <v>0.0336259977391851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57801.1924578825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57801.1924578825</v>
      </c>
      <c r="F9" s="16" t="n">
        <f aca="false">IFERROR(B9/B$12,0)</f>
        <v>0.0237519059726614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58126.3467531134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58126.3467531134</v>
      </c>
      <c r="F10" s="11" t="n">
        <f aca="false">IFERROR(B10/B$12,0)</f>
        <v>0.0238855197255707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1778186.09480986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1778186.09480986</v>
      </c>
      <c r="F11" s="16" t="n">
        <f aca="false">IFERROR(B11/B$12,0)</f>
        <v>0.730699612410125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2433539.12416174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2433539.12416174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68940.5027469592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68940.5027469592</v>
      </c>
      <c r="F14" s="11" t="n">
        <f aca="false">IFERROR(B14/B$22,0)</f>
        <v>0.0328611038458341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139936.568996747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139936.568996747</v>
      </c>
      <c r="F15" s="16" t="n">
        <f aca="false">IFERROR(B15/B$22,0)</f>
        <v>0.0667020103191032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150464.951255816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150464.951255816</v>
      </c>
      <c r="F16" s="11" t="n">
        <f aca="false">IFERROR(B16/B$22,0)</f>
        <v>0.0717204573706683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38377.1656159078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38377.1656159078</v>
      </c>
      <c r="F17" s="16" t="n">
        <f aca="false">IFERROR(B17/B$22,0)</f>
        <v>0.0182928173477636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71364.4477888029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71364.4477888029</v>
      </c>
      <c r="F18" s="11" t="n">
        <f aca="false">IFERROR(B18/B$22,0)</f>
        <v>0.0340164988105181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50410.8000518536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50410.8000518536</v>
      </c>
      <c r="F19" s="16" t="n">
        <f aca="false">IFERROR(B19/B$22,0)</f>
        <v>0.0240287562383436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51291.3342902495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51291.3342902495</v>
      </c>
      <c r="F20" s="11" t="n">
        <f aca="false">IFERROR(B20/B$22,0)</f>
        <v>0.0244484707152448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1527150.53323144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1527150.53323144</v>
      </c>
      <c r="F21" s="16" t="n">
        <f aca="false">IFERROR(B21/B$22,0)</f>
        <v>0.727929885352524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2097936.30397778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2097936.30397778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98730.2012868496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98730.2012868496</v>
      </c>
      <c r="F24" s="11" t="n">
        <f aca="false">IFERROR(B24/B$32,0)</f>
        <v>0.0325609583426007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185287.661645147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185287.661645147</v>
      </c>
      <c r="F25" s="16" t="n">
        <f aca="false">IFERROR(B25/B$32,0)</f>
        <v>0.0611073790348801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212923.932881077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212923.932881077</v>
      </c>
      <c r="F26" s="11" t="n">
        <f aca="false">IFERROR(B26/B$32,0)</f>
        <v>0.0702217479385094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54313.4280262088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54313.4280262088</v>
      </c>
      <c r="F27" s="16" t="n">
        <f aca="false">IFERROR(B27/B$32,0)</f>
        <v>0.0179124244086878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102461.161953705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102461.161953705</v>
      </c>
      <c r="F28" s="11" t="n">
        <f aca="false">IFERROR(B28/B$32,0)</f>
        <v>0.0337914192681123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70307.9136468826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70307.9136468826</v>
      </c>
      <c r="F29" s="16" t="n">
        <f aca="false">IFERROR(B29/B$32,0)</f>
        <v>0.0231873633151018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71823.4278233379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71823.4278233379</v>
      </c>
      <c r="F30" s="11" t="n">
        <f aca="false">IFERROR(B30/B$32,0)</f>
        <v>0.0236871758681403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2236317.36591457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2236317.36591457</v>
      </c>
      <c r="F31" s="16" t="n">
        <f aca="false">IFERROR(B31/B$32,0)</f>
        <v>0.737531531823968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3032165.09317778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3032165.09317778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55131.84</v>
      </c>
      <c r="F51" s="58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2026-08-25T16:58:24Z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