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<sst xmlns="http://schemas.openxmlformats.org/spreadsheetml/2006/main" count="12442" uniqueCount="386">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</sst>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73093.93</v>
      </c>
      <c r="F39" s="21" t="n">
        <f aca="false">IFERROR(D39*E39,0)</f>
        <v>2417.79473139913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2417.79473139913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73093.93</v>
      </c>
      <c r="F40" s="22" t="n">
        <f aca="false">IFERROR(D40*E40,0)</f>
        <v>5033.66481084771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5033.66481084771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73093.93</v>
      </c>
      <c r="F41" s="21" t="n">
        <f aca="false">IFERROR(D41*E41,0)</f>
        <v>5417.43579769353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5417.43579769353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73093.93</v>
      </c>
      <c r="F42" s="22" t="n">
        <f aca="false">IFERROR(D42*E42,0)</f>
        <v>1389.5285779833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1389.5285779833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73093.93</v>
      </c>
      <c r="F43" s="21" t="n">
        <f aca="false">IFERROR(D43*E43,0)</f>
        <v>2413.6681616481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2413.6681616481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73093.93</v>
      </c>
      <c r="F44" s="22" t="n">
        <f aca="false">IFERROR(D44*E44,0)</f>
        <v>1781.55270433118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1781.55270433118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73093.93</v>
      </c>
      <c r="F45" s="21" t="n">
        <f aca="false">IFERROR(D45*E45,0)</f>
        <v>1798.80926874458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1798.80926874458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73093.93</v>
      </c>
      <c r="F46" s="22" t="n">
        <f aca="false">IFERROR(D46*E46,0)</f>
        <v>52841.4759473525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52841.4759473525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29156.86</v>
      </c>
      <c r="F47" s="21" t="n">
        <f aca="false">IFERROR(D47*E47,0)</f>
        <v>945.026920877026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945.026920877026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29156.86</v>
      </c>
      <c r="F48" s="22" t="n">
        <f aca="false">IFERROR(D48*E48,0)</f>
        <v>889.437102001907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889.437102001907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29156.86</v>
      </c>
      <c r="F49" s="21" t="n">
        <f aca="false">IFERROR(D49*E49,0)</f>
        <v>1167.3861963775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1167.3861963775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29156.86</v>
      </c>
      <c r="F50" s="22" t="n">
        <f aca="false">IFERROR(D50*E50,0)</f>
        <v>305.744003813155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305.744003813155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29156.86</v>
      </c>
      <c r="F51" s="21" t="n">
        <f aca="false">IFERROR(D51*E51,0)</f>
        <v>1167.3861963775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1167.3861963775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29156.86</v>
      </c>
      <c r="F52" s="22" t="n">
        <f aca="false">IFERROR(D52*E52,0)</f>
        <v>500.308369876072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500.308369876072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29156.86</v>
      </c>
      <c r="F53" s="21" t="n">
        <f aca="false">IFERROR(D53*E53,0)</f>
        <v>472.513460438513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472.513460438513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29156.86</v>
      </c>
      <c r="F54" s="22" t="n">
        <f aca="false">IFERROR(D54*E54,0)</f>
        <v>23709.0577502383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23709.0577502383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43178.9397</v>
      </c>
      <c r="F55" s="21" t="n">
        <f aca="false">IFERROR(D55*E55,0)</f>
        <v>1399.5080551001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1399.5080551001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43178.9397</v>
      </c>
      <c r="F56" s="22" t="n">
        <f aca="false">IFERROR(D56*E56,0)</f>
        <v>1317.18405185891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1317.18405185891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43178.9397</v>
      </c>
      <c r="F57" s="21" t="n">
        <f aca="false">IFERROR(D57*E57,0)</f>
        <v>1728.80406806482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1728.80406806482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43178.9397</v>
      </c>
      <c r="F58" s="22" t="n">
        <f aca="false">IFERROR(D58*E58,0)</f>
        <v>452.782017826501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452.782017826501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43178.9397</v>
      </c>
      <c r="F59" s="21" t="n">
        <f aca="false">IFERROR(D59*E59,0)</f>
        <v>1728.80406806482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1728.80406806482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43178.9397</v>
      </c>
      <c r="F60" s="22" t="n">
        <f aca="false">IFERROR(D60*E60,0)</f>
        <v>740.916029170639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740.916029170639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43178.9397</v>
      </c>
      <c r="F61" s="21" t="n">
        <f aca="false">IFERROR(D61*E61,0)</f>
        <v>699.754027550048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699.754027550048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43178.9397</v>
      </c>
      <c r="F62" s="22" t="n">
        <f aca="false">IFERROR(D62*E62,0)</f>
        <v>35111.1873823642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35111.1873823642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24488.6</v>
      </c>
      <c r="F63" s="21" t="n">
        <f aca="false">IFERROR(D63*E63,0)</f>
        <v>810.031805094358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810.031805094358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24488.6</v>
      </c>
      <c r="F64" s="22" t="n">
        <f aca="false">IFERROR(D64*E64,0)</f>
        <v>1686.42463316619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1686.42463316619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24488.6</v>
      </c>
      <c r="F65" s="21" t="n">
        <f aca="false">IFERROR(D65*E65,0)</f>
        <v>1814.99911518505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1814.99911518505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24488.6</v>
      </c>
      <c r="F66" s="22" t="n">
        <f aca="false">IFERROR(D66*E66,0)</f>
        <v>465.532630887432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465.532630887432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24488.6</v>
      </c>
      <c r="F67" s="21" t="n">
        <f aca="false">IFERROR(D67*E67,0)</f>
        <v>808.649283782327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808.649283782327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24488.6</v>
      </c>
      <c r="F68" s="22" t="n">
        <f aca="false">IFERROR(D68*E68,0)</f>
        <v>596.87215553035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596.87215553035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24488.6</v>
      </c>
      <c r="F69" s="21" t="n">
        <f aca="false">IFERROR(D69*E69,0)</f>
        <v>602.653608289751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602.653608289751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24488.6</v>
      </c>
      <c r="F70" s="22" t="n">
        <f aca="false">IFERROR(D70*E70,0)</f>
        <v>17703.4367680645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17703.4367680645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16812.38</v>
      </c>
      <c r="F71" s="21" t="n">
        <f aca="false">IFERROR(D71*E71,0)</f>
        <v>556.118459990865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556.118459990865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16812.38</v>
      </c>
      <c r="F72" s="22" t="n">
        <f aca="false">IFERROR(D72*E72,0)</f>
        <v>1157.7963531664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1157.7963531664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16812.38</v>
      </c>
      <c r="F73" s="21" t="n">
        <f aca="false">IFERROR(D73*E73,0)</f>
        <v>1246.06775496169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1246.06775496169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16812.38</v>
      </c>
      <c r="F74" s="22" t="n">
        <f aca="false">IFERROR(D74*E74,0)</f>
        <v>319.606326734858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319.606326734858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16812.38</v>
      </c>
      <c r="F75" s="21" t="n">
        <f aca="false">IFERROR(D75*E75,0)</f>
        <v>555.169305132851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555.169305132851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16812.38</v>
      </c>
      <c r="F76" s="22" t="n">
        <f aca="false">IFERROR(D76*E76,0)</f>
        <v>409.776038246178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409.776038246178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16812.38</v>
      </c>
      <c r="F77" s="21" t="n">
        <f aca="false">IFERROR(D77*E77,0)</f>
        <v>413.745231288781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413.745231288781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16812.38</v>
      </c>
      <c r="F78" s="22" t="n">
        <f aca="false">IFERROR(D78*E78,0)</f>
        <v>12154.1005304784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12154.1005304784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58638.4</v>
      </c>
      <c r="F79" s="21" t="n">
        <f aca="false">IFERROR(D79*E79,0)</f>
        <v>1939.63595304938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1939.63595304938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58638.4</v>
      </c>
      <c r="F80" s="22" t="n">
        <f aca="false">IFERROR(D80*E80,0)</f>
        <v>4038.17458774501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4038.17458774501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58638.4</v>
      </c>
      <c r="F81" s="21" t="n">
        <f aca="false">IFERROR(D81*E81,0)</f>
        <v>4346.04853343461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4346.04853343461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58638.4</v>
      </c>
      <c r="F82" s="22" t="n">
        <f aca="false">IFERROR(D82*E82,0)</f>
        <v>1114.72638791232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1114.72638791232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58638.4</v>
      </c>
      <c r="F83" s="21" t="n">
        <f aca="false">IFERROR(D83*E83,0)</f>
        <v>1936.32548051508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1936.32548051508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58638.4</v>
      </c>
      <c r="F84" s="22" t="n">
        <f aca="false">IFERROR(D84*E84,0)</f>
        <v>1429.22127867052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1429.22127867052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58638.4</v>
      </c>
      <c r="F85" s="21" t="n">
        <f aca="false">IFERROR(D85*E85,0)</f>
        <v>1443.06507290485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1443.06507290485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58638.4</v>
      </c>
      <c r="F86" s="22" t="n">
        <f aca="false">IFERROR(D86*E86,0)</f>
        <v>42391.2027057682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42391.2027057682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188165.5646</v>
      </c>
      <c r="F87" s="21" t="n">
        <f aca="false">IFERROR(D87*E87,0)</f>
        <v>6224.12436601264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6224.12436601264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188165.5646</v>
      </c>
      <c r="F88" s="22" t="n">
        <f aca="false">IFERROR(D88*E88,0)</f>
        <v>12958.1537227552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12958.1537227552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188165.5646</v>
      </c>
      <c r="F89" s="21" t="n">
        <f aca="false">IFERROR(D89*E89,0)</f>
        <v>13946.0946422946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13946.0946422946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188165.5646</v>
      </c>
      <c r="F90" s="22" t="n">
        <f aca="false">IFERROR(D90*E90,0)</f>
        <v>3577.06076830268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3577.06076830268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188165.5646</v>
      </c>
      <c r="F91" s="21" t="n">
        <f aca="false">IFERROR(D91*E91,0)</f>
        <v>6213.50134537243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6213.50134537243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188165.5646</v>
      </c>
      <c r="F92" s="22" t="n">
        <f aca="false">IFERROR(D92*E92,0)</f>
        <v>4586.24772912242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4586.24772912242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188165.5646</v>
      </c>
      <c r="F93" s="21" t="n">
        <f aca="false">IFERROR(D93*E93,0)</f>
        <v>4630.67126998147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4630.67126998147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188165.5646</v>
      </c>
      <c r="F94" s="22" t="n">
        <f aca="false">IFERROR(D94*E94,0)</f>
        <v>136029.710756159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136029.710756159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51557.6429</v>
      </c>
      <c r="F95" s="21" t="n">
        <f aca="false">IFERROR(D95*E95,0)</f>
        <v>1705.41927854991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1705.41927854991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51557.6429</v>
      </c>
      <c r="F96" s="22" t="n">
        <f aca="false">IFERROR(D96*E96,0)</f>
        <v>3550.55327844572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3550.55327844572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51557.6429</v>
      </c>
      <c r="F97" s="21" t="n">
        <f aca="false">IFERROR(D97*E97,0)</f>
        <v>3821.25055105341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3821.25055105341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51557.6429</v>
      </c>
      <c r="F98" s="22" t="n">
        <f aca="false">IFERROR(D98*E98,0)</f>
        <v>980.119939138691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980.119939138691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51557.6429</v>
      </c>
      <c r="F99" s="21" t="n">
        <f aca="false">IFERROR(D99*E99,0)</f>
        <v>1702.50855518854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1702.50855518854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51557.6429</v>
      </c>
      <c r="F100" s="22" t="n">
        <f aca="false">IFERROR(D100*E100,0)</f>
        <v>1256.63865846913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1256.63865846913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51557.6429</v>
      </c>
      <c r="F101" s="21" t="n">
        <f aca="false">IFERROR(D101*E101,0)</f>
        <v>1268.81077434396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1268.81077434396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51557.6429</v>
      </c>
      <c r="F102" s="22" t="n">
        <f aca="false">IFERROR(D102*E102,0)</f>
        <v>37272.3418648106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37272.3418648106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60448.1676</v>
      </c>
      <c r="F103" s="21" t="n">
        <f aca="false">IFERROR(D103*E103,0)</f>
        <v>1999.49929010537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1999.49929010537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60448.1676</v>
      </c>
      <c r="F104" s="22" t="n">
        <f aca="false">IFERROR(D104*E104,0)</f>
        <v>4162.80550421006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4162.80550421006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60448.1676</v>
      </c>
      <c r="F105" s="21" t="n">
        <f aca="false">IFERROR(D105*E105,0)</f>
        <v>4480.18141945874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4480.18141945874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60448.1676</v>
      </c>
      <c r="F106" s="22" t="n">
        <f aca="false">IFERROR(D106*E106,0)</f>
        <v>1149.13039108616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1149.13039108616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60448.1676</v>
      </c>
      <c r="F107" s="21" t="n">
        <f aca="false">IFERROR(D107*E107,0)</f>
        <v>1996.08664585538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1996.08664585538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60448.1676</v>
      </c>
      <c r="F108" s="22" t="n">
        <f aca="false">IFERROR(D108*E108,0)</f>
        <v>1473.33159483482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1473.33159483482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60448.1676</v>
      </c>
      <c r="F109" s="21" t="n">
        <f aca="false">IFERROR(D109*E109,0)</f>
        <v>1487.60265260748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1487.60265260748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60448.1676</v>
      </c>
      <c r="F110" s="22" t="n">
        <f aca="false">IFERROR(D110*E110,0)</f>
        <v>43699.530101842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43699.530101842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35533.06</v>
      </c>
      <c r="F111" s="21" t="n">
        <f aca="false">IFERROR(D111*E111,0)</f>
        <v>1175.35950329239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1175.35950329239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35533.06</v>
      </c>
      <c r="F112" s="22" t="n">
        <f aca="false">IFERROR(D112*E112,0)</f>
        <v>2447.00912570634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2447.00912570634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35533.06</v>
      </c>
      <c r="F113" s="21" t="n">
        <f aca="false">IFERROR(D113*E113,0)</f>
        <v>2633.57123150434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2633.57123150434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35533.06</v>
      </c>
      <c r="F114" s="22" t="n">
        <f aca="false">IFERROR(D114*E114,0)</f>
        <v>675.489775049655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675.489775049655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35533.06</v>
      </c>
      <c r="F115" s="21" t="n">
        <f aca="false">IFERROR(D115*E115,0)</f>
        <v>1173.35345914403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1173.35345914403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35533.06</v>
      </c>
      <c r="F116" s="22" t="n">
        <f aca="false">IFERROR(D116*E116,0)</f>
        <v>866.063969144388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866.063969144388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35533.06</v>
      </c>
      <c r="F117" s="21" t="n">
        <f aca="false">IFERROR(D117*E117,0)</f>
        <v>874.452881037553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874.452881037553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35533.06</v>
      </c>
      <c r="F118" s="22" t="n">
        <f aca="false">IFERROR(D118*E118,0)</f>
        <v>25687.7600551213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25687.7600551213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18101.05</v>
      </c>
      <c r="F119" s="21" t="n">
        <f aca="false">IFERROR(D119*E119,0)</f>
        <v>598.744975441766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598.744975441766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18101.05</v>
      </c>
      <c r="F120" s="22" t="n">
        <f aca="false">IFERROR(D120*E120,0)</f>
        <v>1246.5415175295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1246.5415175295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18101.05</v>
      </c>
      <c r="F121" s="21" t="n">
        <f aca="false">IFERROR(D121*E121,0)</f>
        <v>1341.57892790606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1341.57892790606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18101.05</v>
      </c>
      <c r="F122" s="22" t="n">
        <f aca="false">IFERROR(D122*E122,0)</f>
        <v>344.104172077006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344.104172077006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18101.05</v>
      </c>
      <c r="F123" s="21" t="n">
        <f aca="false">IFERROR(D123*E123,0)</f>
        <v>597.723067803308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597.723067803308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18101.05</v>
      </c>
      <c r="F124" s="22" t="n">
        <f aca="false">IFERROR(D124*E124,0)</f>
        <v>441.18539773048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441.18539773048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18101.05</v>
      </c>
      <c r="F125" s="21" t="n">
        <f aca="false">IFERROR(D125*E125,0)</f>
        <v>445.458829673121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445.458829673121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18101.05</v>
      </c>
      <c r="F126" s="22" t="n">
        <f aca="false">IFERROR(D126*E126,0)</f>
        <v>13085.7131118388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13085.7131118388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29002.0106607408</v>
      </c>
      <c r="F127" s="21" t="n">
        <f aca="false">IFERROR(D127*E127,0)</f>
        <v>959.32601483489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959.32601483489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29002.0106607408</v>
      </c>
      <c r="F128" s="22" t="n">
        <f aca="false">IFERROR(D128*E128,0)</f>
        <v>1997.24382731646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1997.24382731646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29002.0106607408</v>
      </c>
      <c r="F129" s="21" t="n">
        <f aca="false">IFERROR(D129*E129,0)</f>
        <v>2149.51543525689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2149.51543525689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29002.0106607408</v>
      </c>
      <c r="F130" s="22" t="n">
        <f aca="false">IFERROR(D130*E130,0)</f>
        <v>551.333368339555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551.333368339555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29002.0106607408</v>
      </c>
      <c r="F131" s="21" t="n">
        <f aca="false">IFERROR(D131*E131,0)</f>
        <v>957.688685717251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957.688685717251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29002.0106607408</v>
      </c>
      <c r="F132" s="22" t="n">
        <f aca="false">IFERROR(D132*E132,0)</f>
        <v>706.879634515267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706.879634515267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29002.0106607408</v>
      </c>
      <c r="F133" s="21" t="n">
        <f aca="false">IFERROR(D133*E133,0)</f>
        <v>713.72664718903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713.72664718903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29002.0106607408</v>
      </c>
      <c r="F134" s="22" t="n">
        <f aca="false">IFERROR(D134*E134,0)</f>
        <v>20966.2970475715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20966.2970475715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25534.92</v>
      </c>
      <c r="F135" s="21" t="n">
        <f aca="false">IFERROR(D135*E135,0)</f>
        <v>844.641888084252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844.641888084252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25534.92</v>
      </c>
      <c r="F136" s="22" t="n">
        <f aca="false">IFERROR(D136*E136,0)</f>
        <v>1758.48019461823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1758.48019461823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25534.92</v>
      </c>
      <c r="F137" s="21" t="n">
        <f aca="false">IFERROR(D137*E137,0)</f>
        <v>1892.54825536458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1892.54825536458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25534.92</v>
      </c>
      <c r="F138" s="22" t="n">
        <f aca="false">IFERROR(D138*E138,0)</f>
        <v>485.423359730655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485.423359730655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25534.92</v>
      </c>
      <c r="F139" s="21" t="n">
        <f aca="false">IFERROR(D139*E139,0)</f>
        <v>843.200296033216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843.200296033216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25534.92</v>
      </c>
      <c r="F140" s="22" t="n">
        <f aca="false">IFERROR(D140*E140,0)</f>
        <v>622.374604579071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622.374604579071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25534.92</v>
      </c>
      <c r="F141" s="21" t="n">
        <f aca="false">IFERROR(D141*E141,0)</f>
        <v>628.403080428858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628.403080428858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25534.92</v>
      </c>
      <c r="F142" s="22" t="n">
        <f aca="false">IFERROR(D142*E142,0)</f>
        <v>18459.8483211611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18459.8483211611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53201.41</v>
      </c>
      <c r="F143" s="21" t="n">
        <f aca="false">IFERROR(D143*E143,0)</f>
        <v>1724.35456625357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1724.35456625357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53201.41</v>
      </c>
      <c r="F144" s="22" t="n">
        <f aca="false">IFERROR(D144*E144,0)</f>
        <v>1622.92194470925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1622.92194470925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53201.41</v>
      </c>
      <c r="F145" s="21" t="n">
        <f aca="false">IFERROR(D145*E145,0)</f>
        <v>2130.08505243089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2130.08505243089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53201.41</v>
      </c>
      <c r="F146" s="22" t="n">
        <f aca="false">IFERROR(D146*E146,0)</f>
        <v>557.879418493804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557.879418493804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53201.41</v>
      </c>
      <c r="F147" s="21" t="n">
        <f aca="false">IFERROR(D147*E147,0)</f>
        <v>2130.08505243089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2130.08505243089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53201.41</v>
      </c>
      <c r="F148" s="22" t="n">
        <f aca="false">IFERROR(D148*E148,0)</f>
        <v>912.893593898952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912.893593898952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53201.41</v>
      </c>
      <c r="F149" s="21" t="n">
        <f aca="false">IFERROR(D149*E149,0)</f>
        <v>862.177283126787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862.177283126787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53201.41</v>
      </c>
      <c r="F150" s="22" t="n">
        <f aca="false">IFERROR(D150*E150,0)</f>
        <v>43261.0130886559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43261.0130886559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66925.37</v>
      </c>
      <c r="F151" s="21" t="n">
        <f aca="false">IFERROR(D151*E151,0)</f>
        <v>2213.7516341362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2213.7516341362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66925.37</v>
      </c>
      <c r="F152" s="22" t="n">
        <f aca="false">IFERROR(D152*E152,0)</f>
        <v>4608.86259532034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4608.86259532034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66925.37</v>
      </c>
      <c r="F153" s="21" t="n">
        <f aca="false">IFERROR(D153*E153,0)</f>
        <v>4960.2462914757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4960.2462914757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66925.37</v>
      </c>
      <c r="F154" s="22" t="n">
        <f aca="false">IFERROR(D154*E154,0)</f>
        <v>1272.26315792715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1272.26315792715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66925.37</v>
      </c>
      <c r="F155" s="21" t="n">
        <f aca="false">IFERROR(D155*E155,0)</f>
        <v>2209.9733148227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2209.9733148227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66925.37</v>
      </c>
      <c r="F156" s="22" t="n">
        <f aca="false">IFERROR(D156*E156,0)</f>
        <v>1631.20349270951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1631.20349270951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66925.37</v>
      </c>
      <c r="F157" s="21" t="n">
        <f aca="false">IFERROR(D157*E157,0)</f>
        <v>1647.00373711142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1647.00373711142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66925.37</v>
      </c>
      <c r="F158" s="22" t="n">
        <f aca="false">IFERROR(D158*E158,0)</f>
        <v>48382.065776497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48382.065776497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185396.9</v>
      </c>
      <c r="F159" s="21" t="n">
        <f aca="false">IFERROR(D159*E159,0)</f>
        <v>6132.5427164435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6132.5427164435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185396.9</v>
      </c>
      <c r="F160" s="22" t="n">
        <f aca="false">IFERROR(D160*E160,0)</f>
        <v>12767.4876911154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12767.4876911154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185396.9</v>
      </c>
      <c r="F161" s="21" t="n">
        <f aca="false">IFERROR(D161*E161,0)</f>
        <v>13740.892066433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13740.892066433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185396.9</v>
      </c>
      <c r="F162" s="22" t="n">
        <f aca="false">IFERROR(D162*E162,0)</f>
        <v>3524.42796302664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3524.42796302664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185396.9</v>
      </c>
      <c r="F163" s="21" t="n">
        <f aca="false">IFERROR(D163*E163,0)</f>
        <v>6122.0760027304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6122.0760027304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185396.9</v>
      </c>
      <c r="F164" s="22" t="n">
        <f aca="false">IFERROR(D164*E164,0)</f>
        <v>4518.76576577039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4518.76576577039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185396.9</v>
      </c>
      <c r="F165" s="21" t="n">
        <f aca="false">IFERROR(D165*E165,0)</f>
        <v>4562.53565947968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4562.53565947968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185396.9</v>
      </c>
      <c r="F166" s="22" t="n">
        <f aca="false">IFERROR(D166*E166,0)</f>
        <v>134028.172135001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134028.172135001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128128.96</v>
      </c>
      <c r="F167" s="21" t="n">
        <f aca="false">IFERROR(D167*E167,0)</f>
        <v>4238.23872143213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4238.23872143213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128128.96</v>
      </c>
      <c r="F168" s="22" t="n">
        <f aca="false">IFERROR(D168*E168,0)</f>
        <v>8823.69079351067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8823.69079351067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128128.96</v>
      </c>
      <c r="F169" s="21" t="n">
        <f aca="false">IFERROR(D169*E169,0)</f>
        <v>9496.41666038811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9496.41666038811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128128.96</v>
      </c>
      <c r="F170" s="22" t="n">
        <f aca="false">IFERROR(D170*E170,0)</f>
        <v>2435.75426286805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2435.75426286805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128128.96</v>
      </c>
      <c r="F171" s="21" t="n">
        <f aca="false">IFERROR(D171*E171,0)</f>
        <v>4231.00510996033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4231.00510996033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128128.96</v>
      </c>
      <c r="F172" s="22" t="n">
        <f aca="false">IFERROR(D172*E172,0)</f>
        <v>3122.94735268909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3122.94735268909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128128.96</v>
      </c>
      <c r="F173" s="21" t="n">
        <f aca="false">IFERROR(D173*E173,0)</f>
        <v>3153.19700066207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3153.19700066207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128128.96</v>
      </c>
      <c r="F174" s="22" t="n">
        <f aca="false">IFERROR(D174*E174,0)</f>
        <v>92627.7100984895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92627.7100984895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135741.66</v>
      </c>
      <c r="F175" s="21" t="n">
        <f aca="false">IFERROR(D175*E175,0)</f>
        <v>4490.05095743753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4490.05095743753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135741.66</v>
      </c>
      <c r="F176" s="22" t="n">
        <f aca="false">IFERROR(D176*E176,0)</f>
        <v>9347.94472411121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9347.94472411121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135741.66</v>
      </c>
      <c r="F177" s="21" t="n">
        <f aca="false">IFERROR(D177*E177,0)</f>
        <v>10060.6401670063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10060.6401670063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135741.66</v>
      </c>
      <c r="F178" s="22" t="n">
        <f aca="false">IFERROR(D178*E178,0)</f>
        <v>2580.4730405506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2580.4730405506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135741.66</v>
      </c>
      <c r="F179" s="21" t="n">
        <f aca="false">IFERROR(D179*E179,0)</f>
        <v>4482.38756557844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4482.38756557844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135741.66</v>
      </c>
      <c r="F180" s="22" t="n">
        <f aca="false">IFERROR(D180*E180,0)</f>
        <v>3308.49526716382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3308.49526716382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135741.66</v>
      </c>
      <c r="F181" s="21" t="n">
        <f aca="false">IFERROR(D181*E181,0)</f>
        <v>3340.54217857455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3340.54217857455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135741.66</v>
      </c>
      <c r="F182" s="22" t="n">
        <f aca="false">IFERROR(D182*E182,0)</f>
        <v>98131.1260995776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98131.1260995776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78459.66</v>
      </c>
      <c r="F191" s="21" t="n">
        <f aca="false">IFERROR(D191*E191,0)</f>
        <v>2595.28188695514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2595.28188695514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78459.66</v>
      </c>
      <c r="F192" s="22" t="n">
        <f aca="false">IFERROR(D192*E192,0)</f>
        <v>5403.17957473453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5403.17957473453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78459.66</v>
      </c>
      <c r="F193" s="21" t="n">
        <f aca="false">IFERROR(D193*E193,0)</f>
        <v>5815.12268883152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5815.12268883152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78459.66</v>
      </c>
      <c r="F194" s="22" t="n">
        <f aca="false">IFERROR(D194*E194,0)</f>
        <v>1491.53205729741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1491.53205729741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78459.66</v>
      </c>
      <c r="F195" s="21" t="n">
        <f aca="false">IFERROR(D195*E195,0)</f>
        <v>2590.85239110463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2590.85239110463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78459.66</v>
      </c>
      <c r="F196" s="22" t="n">
        <f aca="false">IFERROR(D196*E196,0)</f>
        <v>1912.33416309542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1912.33416309542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78459.66</v>
      </c>
      <c r="F197" s="21" t="n">
        <f aca="false">IFERROR(D197*E197,0)</f>
        <v>1930.85750937935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1930.85750937935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78459.66</v>
      </c>
      <c r="F198" s="22" t="n">
        <f aca="false">IFERROR(D198*E198,0)</f>
        <v>56720.499728602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56720.499728602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126268.959</v>
      </c>
      <c r="F199" s="21" t="n">
        <f aca="false">IFERROR(D199*E199,0)</f>
        <v>4176.71376829037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4176.71376829037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126268.959</v>
      </c>
      <c r="F200" s="22" t="n">
        <f aca="false">IFERROR(D200*E200,0)</f>
        <v>8695.60051868427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8695.60051868427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126268.959</v>
      </c>
      <c r="F201" s="21" t="n">
        <f aca="false">IFERROR(D201*E201,0)</f>
        <v>9358.56067150988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9358.56067150988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126268.959</v>
      </c>
      <c r="F202" s="22" t="n">
        <f aca="false">IFERROR(D202*E202,0)</f>
        <v>2400.39531384756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2400.39531384756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126268.959</v>
      </c>
      <c r="F203" s="21" t="n">
        <f aca="false">IFERROR(D203*E203,0)</f>
        <v>4169.58516449654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4169.58516449654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126268.959</v>
      </c>
      <c r="F204" s="22" t="n">
        <f aca="false">IFERROR(D204*E204,0)</f>
        <v>3077.61267426082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3077.61267426082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126268.959</v>
      </c>
      <c r="F205" s="21" t="n">
        <f aca="false">IFERROR(D205*E205,0)</f>
        <v>3107.42319921681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3107.42319921681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126268.959</v>
      </c>
      <c r="F206" s="22" t="n">
        <f aca="false">IFERROR(D206*E206,0)</f>
        <v>91283.0676896938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91283.0676896938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43422.4992</v>
      </c>
      <c r="F207" s="21" t="n">
        <f aca="false">IFERROR(D207*E207,0)</f>
        <v>1436.32569475937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1436.32569475937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43422.4992</v>
      </c>
      <c r="F208" s="22" t="n">
        <f aca="false">IFERROR(D208*E208,0)</f>
        <v>2990.3208956216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2990.3208956216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43422.4992</v>
      </c>
      <c r="F209" s="21" t="n">
        <f aca="false">IFERROR(D209*E209,0)</f>
        <v>3218.3055636959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3218.3055636959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43422.4992</v>
      </c>
      <c r="F210" s="22" t="n">
        <f aca="false">IFERROR(D210*E210,0)</f>
        <v>825.469414024625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825.469414024625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43422.4992</v>
      </c>
      <c r="F211" s="21" t="n">
        <f aca="false">IFERROR(D211*E211,0)</f>
        <v>1433.87424671556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1433.87424671556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43422.4992</v>
      </c>
      <c r="F212" s="22" t="n">
        <f aca="false">IFERROR(D212*E212,0)</f>
        <v>1058.35697818654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1058.35697818654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43422.4992</v>
      </c>
      <c r="F213" s="21" t="n">
        <f aca="false">IFERROR(D213*E213,0)</f>
        <v>1068.60848818793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1068.60848818793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43422.4992</v>
      </c>
      <c r="F214" s="22" t="n">
        <f aca="false">IFERROR(D214*E214,0)</f>
        <v>31391.2379188085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31391.2379188085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139584.1668</v>
      </c>
      <c r="F215" s="21" t="n">
        <f aca="false">IFERROR(D215*E215,0)</f>
        <v>4617.15306696161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4617.15306696161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139584.1668</v>
      </c>
      <c r="F216" s="22" t="n">
        <f aca="false">IFERROR(D216*E216,0)</f>
        <v>9612.56165283023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9612.56165283023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139584.1668</v>
      </c>
      <c r="F217" s="21" t="n">
        <f aca="false">IFERROR(D217*E217,0)</f>
        <v>10345.4317207126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10345.4317207126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139584.1668</v>
      </c>
      <c r="F218" s="22" t="n">
        <f aca="false">IFERROR(D218*E218,0)</f>
        <v>2653.51977657499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2653.51977657499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139584.1668</v>
      </c>
      <c r="F219" s="21" t="n">
        <f aca="false">IFERROR(D219*E219,0)</f>
        <v>4609.27274365104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4609.27274365104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139584.1668</v>
      </c>
      <c r="F220" s="22" t="n">
        <f aca="false">IFERROR(D220*E220,0)</f>
        <v>3402.15049107846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3402.15049107846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139584.1668</v>
      </c>
      <c r="F221" s="21" t="n">
        <f aca="false">IFERROR(D221*E221,0)</f>
        <v>3435.10457037718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3435.10457037718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139584.1668</v>
      </c>
      <c r="F222" s="22" t="n">
        <f aca="false">IFERROR(D222*E222,0)</f>
        <v>100908.972777814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100908.972777814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145737.2604</v>
      </c>
      <c r="F223" s="21" t="n">
        <f aca="false">IFERROR(D223*E223,0)</f>
        <v>4820.68456797524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4820.68456797524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145737.2604</v>
      </c>
      <c r="F224" s="22" t="n">
        <f aca="false">IFERROR(D224*E224,0)</f>
        <v>10036.2987638622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10036.2987638622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145737.2604</v>
      </c>
      <c r="F225" s="21" t="n">
        <f aca="false">IFERROR(D225*E225,0)</f>
        <v>10801.4749179411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10801.4749179411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145737.2604</v>
      </c>
      <c r="F226" s="22" t="n">
        <f aca="false">IFERROR(D226*E226,0)</f>
        <v>2770.49117762301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2770.49117762301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145737.2604</v>
      </c>
      <c r="F227" s="21" t="n">
        <f aca="false">IFERROR(D227*E227,0)</f>
        <v>4812.45686739375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4812.45686739375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145737.2604</v>
      </c>
      <c r="F228" s="22" t="n">
        <f aca="false">IFERROR(D228*E228,0)</f>
        <v>3552.12273286492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3552.12273286492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145737.2604</v>
      </c>
      <c r="F229" s="21" t="n">
        <f aca="false">IFERROR(D229*E229,0)</f>
        <v>3586.52948075117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3586.52948075117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145737.2604</v>
      </c>
      <c r="F230" s="22" t="n">
        <f aca="false">IFERROR(D230*E230,0)</f>
        <v>105357.201891589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105357.201891589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47779.6</v>
      </c>
      <c r="F231" s="21" t="n">
        <f aca="false">IFERROR(D231*E231,0)</f>
        <v>1548.62383222116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1548.62383222116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47779.6</v>
      </c>
      <c r="F232" s="22" t="n">
        <f aca="false">IFERROR(D232*E232,0)</f>
        <v>1457.52831267874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1457.52831267874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47779.6</v>
      </c>
      <c r="F233" s="21" t="n">
        <f aca="false">IFERROR(D233*E233,0)</f>
        <v>1913.00591039085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1913.00591039085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47779.6</v>
      </c>
      <c r="F234" s="22" t="n">
        <f aca="false">IFERROR(D234*E234,0)</f>
        <v>501.025357483317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501.025357483317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47779.6</v>
      </c>
      <c r="F235" s="21" t="n">
        <f aca="false">IFERROR(D235*E235,0)</f>
        <v>1913.00591039085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1913.00591039085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47779.6</v>
      </c>
      <c r="F236" s="22" t="n">
        <f aca="false">IFERROR(D236*E236,0)</f>
        <v>819.859675881792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819.859675881792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47779.6</v>
      </c>
      <c r="F237" s="21" t="n">
        <f aca="false">IFERROR(D237*E237,0)</f>
        <v>774.311916110582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774.311916110582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47779.6</v>
      </c>
      <c r="F238" s="22" t="n">
        <f aca="false">IFERROR(D238*E238,0)</f>
        <v>38852.2390848427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38852.2390848427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50447.35</v>
      </c>
      <c r="F239" s="21" t="n">
        <f aca="false">IFERROR(D239*E239,0)</f>
        <v>1655.85284878768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1655.85284878768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50447.35</v>
      </c>
      <c r="F240" s="22" t="n">
        <f aca="false">IFERROR(D240*E240,0)</f>
        <v>3533.71654131409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3533.71654131409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50447.35</v>
      </c>
      <c r="F241" s="21" t="n">
        <f aca="false">IFERROR(D241*E241,0)</f>
        <v>3778.66674776691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3778.66674776691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50447.35</v>
      </c>
      <c r="F242" s="22" t="n">
        <f aca="false">IFERROR(D242*E242,0)</f>
        <v>962.398550648889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962.398550648889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50447.35</v>
      </c>
      <c r="F243" s="21" t="n">
        <f aca="false">IFERROR(D243*E243,0)</f>
        <v>1686.43866573981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1686.43866573981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50447.35</v>
      </c>
      <c r="F244" s="22" t="n">
        <f aca="false">IFERROR(D244*E244,0)</f>
        <v>1247.16305330664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1247.16305330664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50447.35</v>
      </c>
      <c r="F245" s="21" t="n">
        <f aca="false">IFERROR(D245*E245,0)</f>
        <v>1260.87393676794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1260.87393676794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50447.35</v>
      </c>
      <c r="F246" s="22" t="n">
        <f aca="false">IFERROR(D246*E246,0)</f>
        <v>36322.2396556681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36322.2396556681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22965.57</v>
      </c>
      <c r="F247" s="21" t="n">
        <f aca="false">IFERROR(D247*E247,0)</f>
        <v>763.338034188034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763.338034188034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22965.57</v>
      </c>
      <c r="F248" s="22" t="n">
        <f aca="false">IFERROR(D248*E248,0)</f>
        <v>763.338034188034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763.338034188034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22965.57</v>
      </c>
      <c r="F249" s="21" t="n">
        <f aca="false">IFERROR(D249*E249,0)</f>
        <v>916.005641025641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916.005641025641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22965.57</v>
      </c>
      <c r="F250" s="22" t="n">
        <f aca="false">IFERROR(D250*E250,0)</f>
        <v>239.906239316239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239.906239316239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22965.57</v>
      </c>
      <c r="F251" s="21" t="n">
        <f aca="false">IFERROR(D251*E251,0)</f>
        <v>916.005641025641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916.005641025641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22965.57</v>
      </c>
      <c r="F252" s="22" t="n">
        <f aca="false">IFERROR(D252*E252,0)</f>
        <v>392.573846153846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392.573846153846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22965.57</v>
      </c>
      <c r="F253" s="21" t="n">
        <f aca="false">IFERROR(D253*E253,0)</f>
        <v>436.193162393162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436.193162393162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22965.57</v>
      </c>
      <c r="F254" s="22" t="n">
        <f aca="false">IFERROR(D254*E254,0)</f>
        <v>18538.2094017094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18538.2094017094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38522.9303</v>
      </c>
      <c r="F255" s="21" t="n">
        <f aca="false">IFERROR(D255*E255,0)</f>
        <v>1280.43927872745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1280.43927872745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38522.9303</v>
      </c>
      <c r="F256" s="22" t="n">
        <f aca="false">IFERROR(D256*E256,0)</f>
        <v>1280.43927872745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1280.43927872745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38522.9303</v>
      </c>
      <c r="F257" s="21" t="n">
        <f aca="false">IFERROR(D257*E257,0)</f>
        <v>1536.52713447293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1536.52713447293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38522.9303</v>
      </c>
      <c r="F258" s="22" t="n">
        <f aca="false">IFERROR(D258*E258,0)</f>
        <v>402.42377331434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402.42377331434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38522.9303</v>
      </c>
      <c r="F259" s="21" t="n">
        <f aca="false">IFERROR(D259*E259,0)</f>
        <v>1536.52713447293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1536.52713447293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38522.9303</v>
      </c>
      <c r="F260" s="22" t="n">
        <f aca="false">IFERROR(D260*E260,0)</f>
        <v>658.511629059829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658.511629059829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38522.9303</v>
      </c>
      <c r="F261" s="21" t="n">
        <f aca="false">IFERROR(D261*E261,0)</f>
        <v>731.679587844255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731.679587844255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38522.9303</v>
      </c>
      <c r="F262" s="22" t="n">
        <f aca="false">IFERROR(D262*E262,0)</f>
        <v>31096.3824833808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31096.3824833808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20915.83</v>
      </c>
      <c r="F263" s="21" t="n">
        <f aca="false">IFERROR(D263*E263,0)</f>
        <v>686.528364527746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686.528364527746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20915.83</v>
      </c>
      <c r="F264" s="22" t="n">
        <f aca="false">IFERROR(D264*E264,0)</f>
        <v>1465.10400340778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1465.10400340778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20915.83</v>
      </c>
      <c r="F265" s="21" t="n">
        <f aca="false">IFERROR(D265*E265,0)</f>
        <v>1566.66210064445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1566.66210064445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20915.83</v>
      </c>
      <c r="F266" s="22" t="n">
        <f aca="false">IFERROR(D266*E266,0)</f>
        <v>399.017281930935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399.017281930935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20915.83</v>
      </c>
      <c r="F267" s="21" t="n">
        <f aca="false">IFERROR(D267*E267,0)</f>
        <v>699.209461706921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699.209461706921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20915.83</v>
      </c>
      <c r="F268" s="22" t="n">
        <f aca="false">IFERROR(D268*E268,0)</f>
        <v>517.082669461184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517.082669461184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20915.83</v>
      </c>
      <c r="F269" s="21" t="n">
        <f aca="false">IFERROR(D269*E269,0)</f>
        <v>522.767299231159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522.767299231159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20915.83</v>
      </c>
      <c r="F270" s="22" t="n">
        <f aca="false">IFERROR(D270*E270,0)</f>
        <v>15059.4588190898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15059.4588190898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16398.2</v>
      </c>
      <c r="F271" s="21" t="n">
        <f aca="false">IFERROR(D271*E271,0)</f>
        <v>538.244450600281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538.244450600281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16398.2</v>
      </c>
      <c r="F272" s="22" t="n">
        <f aca="false">IFERROR(D272*E272,0)</f>
        <v>1148.65479728423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1148.65479728423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16398.2</v>
      </c>
      <c r="F273" s="21" t="n">
        <f aca="false">IFERROR(D273*E273,0)</f>
        <v>1228.27726457844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1228.27726457844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16398.2</v>
      </c>
      <c r="F274" s="22" t="n">
        <f aca="false">IFERROR(D274*E274,0)</f>
        <v>312.833159982648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312.833159982648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16398.2</v>
      </c>
      <c r="F275" s="21" t="n">
        <f aca="false">IFERROR(D275*E275,0)</f>
        <v>548.186545547675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548.186545547675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16398.2</v>
      </c>
      <c r="F276" s="22" t="n">
        <f aca="false">IFERROR(D276*E276,0)</f>
        <v>405.397492251486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405.397492251486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16398.2</v>
      </c>
      <c r="F277" s="21" t="n">
        <f aca="false">IFERROR(D277*E277,0)</f>
        <v>409.8542934348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409.8542934348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16398.2</v>
      </c>
      <c r="F278" s="22" t="n">
        <f aca="false">IFERROR(D278*E278,0)</f>
        <v>11806.7519963204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11806.7519963204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58575.19</v>
      </c>
      <c r="F279" s="21" t="n">
        <f aca="false">IFERROR(D279*E279,0)</f>
        <v>1922.63607959149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1922.63607959149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58575.19</v>
      </c>
      <c r="F280" s="22" t="n">
        <f aca="false">IFERROR(D280*E280,0)</f>
        <v>4103.05234692438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4103.05234692438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58575.19</v>
      </c>
      <c r="F281" s="21" t="n">
        <f aca="false">IFERROR(D281*E281,0)</f>
        <v>4387.46777971745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4387.46777971745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58575.19</v>
      </c>
      <c r="F282" s="22" t="n">
        <f aca="false">IFERROR(D282*E282,0)</f>
        <v>1117.45568320206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1117.45568320206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58575.19</v>
      </c>
      <c r="F283" s="21" t="n">
        <f aca="false">IFERROR(D283*E283,0)</f>
        <v>1958.14973966037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1958.14973966037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58575.19</v>
      </c>
      <c r="F284" s="22" t="n">
        <f aca="false">IFERROR(D284*E284,0)</f>
        <v>1448.10010453308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1448.10010453308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58575.19</v>
      </c>
      <c r="F285" s="21" t="n">
        <f aca="false">IFERROR(D285*E285,0)</f>
        <v>1464.02002111568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1464.02002111568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58575.19</v>
      </c>
      <c r="F286" s="22" t="n">
        <f aca="false">IFERROR(D286*E286,0)</f>
        <v>42174.3082452555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42174.3082452555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161705.5361</v>
      </c>
      <c r="F287" s="21" t="n">
        <f aca="false">IFERROR(D287*E287,0)</f>
        <v>5307.72325237944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5307.72325237944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161705.5361</v>
      </c>
      <c r="F288" s="22" t="n">
        <f aca="false">IFERROR(D288*E288,0)</f>
        <v>11327.0871064314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11327.0871064314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161705.5361</v>
      </c>
      <c r="F289" s="21" t="n">
        <f aca="false">IFERROR(D289*E289,0)</f>
        <v>12112.2582690843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12112.2582690843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161705.5361</v>
      </c>
      <c r="F290" s="22" t="n">
        <f aca="false">IFERROR(D290*E290,0)</f>
        <v>3084.90284573009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3084.90284573009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161705.5361</v>
      </c>
      <c r="F291" s="21" t="n">
        <f aca="false">IFERROR(D291*E291,0)</f>
        <v>5405.76400035332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5405.76400035332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161705.5361</v>
      </c>
      <c r="F292" s="22" t="n">
        <f aca="false">IFERROR(D292*E292,0)</f>
        <v>3997.69601652145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3997.69601652145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161705.5361</v>
      </c>
      <c r="F293" s="21" t="n">
        <f aca="false">IFERROR(D293*E293,0)</f>
        <v>4041.64531733733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4041.64531733733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161705.5361</v>
      </c>
      <c r="F294" s="22" t="n">
        <f aca="false">IFERROR(D294*E294,0)</f>
        <v>116428.459292163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116428.459292163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52311.2762</v>
      </c>
      <c r="F295" s="21" t="n">
        <f aca="false">IFERROR(D295*E295,0)</f>
        <v>1717.03321818666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1717.03321818666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52311.2762</v>
      </c>
      <c r="F296" s="22" t="n">
        <f aca="false">IFERROR(D296*E296,0)</f>
        <v>3664.2801258181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3664.2801258181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52311.2762</v>
      </c>
      <c r="F297" s="21" t="n">
        <f aca="false">IFERROR(D297*E297,0)</f>
        <v>3918.28074041928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3918.28074041928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52311.2762</v>
      </c>
      <c r="F298" s="22" t="n">
        <f aca="false">IFERROR(D298*E298,0)</f>
        <v>997.957204837791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997.957204837791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52311.2762</v>
      </c>
      <c r="F299" s="21" t="n">
        <f aca="false">IFERROR(D299*E299,0)</f>
        <v>1748.74911839521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1748.74911839521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52311.2762</v>
      </c>
      <c r="F300" s="22" t="n">
        <f aca="false">IFERROR(D300*E300,0)</f>
        <v>1293.24317229664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1293.24317229664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52311.2762</v>
      </c>
      <c r="F301" s="21" t="n">
        <f aca="false">IFERROR(D301*E301,0)</f>
        <v>1307.46064480392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1307.46064480392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52311.2762</v>
      </c>
      <c r="F302" s="22" t="n">
        <f aca="false">IFERROR(D302*E302,0)</f>
        <v>37664.2719752424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37664.2719752424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46927.3</v>
      </c>
      <c r="F303" s="21" t="n">
        <f aca="false">IFERROR(D303*E303,0)</f>
        <v>1540.31288840571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1540.31288840571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46927.3</v>
      </c>
      <c r="F304" s="22" t="n">
        <f aca="false">IFERROR(D304*E304,0)</f>
        <v>3287.1454347792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3287.1454347792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46927.3</v>
      </c>
      <c r="F305" s="21" t="n">
        <f aca="false">IFERROR(D305*E305,0)</f>
        <v>3515.00382225196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3515.00382225196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46927.3</v>
      </c>
      <c r="F306" s="22" t="n">
        <f aca="false">IFERROR(D306*E306,0)</f>
        <v>895.245548197588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895.245548197588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46927.3</v>
      </c>
      <c r="F307" s="21" t="n">
        <f aca="false">IFERROR(D307*E307,0)</f>
        <v>1568.76452774569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1568.76452774569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46927.3</v>
      </c>
      <c r="F308" s="22" t="n">
        <f aca="false">IFERROR(D308*E308,0)</f>
        <v>1160.1401213629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1160.1401213629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46927.3</v>
      </c>
      <c r="F309" s="21" t="n">
        <f aca="false">IFERROR(D309*E309,0)</f>
        <v>1172.89430451531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1172.89430451531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46927.3</v>
      </c>
      <c r="F310" s="22" t="n">
        <f aca="false">IFERROR(D310*E310,0)</f>
        <v>33787.7933527416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33787.7933527416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24899.91</v>
      </c>
      <c r="F311" s="21" t="n">
        <f aca="false">IFERROR(D311*E311,0)</f>
        <v>817.299360780235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817.299360780235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24899.91</v>
      </c>
      <c r="F312" s="22" t="n">
        <f aca="false">IFERROR(D312*E312,0)</f>
        <v>1744.17930464597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1744.17930464597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24899.91</v>
      </c>
      <c r="F313" s="21" t="n">
        <f aca="false">IFERROR(D313*E313,0)</f>
        <v>1865.08234702891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1865.08234702891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24899.91</v>
      </c>
      <c r="F314" s="22" t="n">
        <f aca="false">IFERROR(D314*E314,0)</f>
        <v>475.022717650933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475.022717650933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24899.91</v>
      </c>
      <c r="F315" s="21" t="n">
        <f aca="false">IFERROR(D315*E315,0)</f>
        <v>832.395973176812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832.395973176812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24899.91</v>
      </c>
      <c r="F316" s="22" t="n">
        <f aca="false">IFERROR(D316*E316,0)</f>
        <v>615.577384791483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615.577384791483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24899.91</v>
      </c>
      <c r="F317" s="21" t="n">
        <f aca="false">IFERROR(D317*E317,0)</f>
        <v>622.34483172788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622.34483172788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24899.91</v>
      </c>
      <c r="F318" s="22" t="n">
        <f aca="false">IFERROR(D318*E318,0)</f>
        <v>17928.0080801978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17928.0080801978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18241.63</v>
      </c>
      <c r="F319" s="21" t="n">
        <f aca="false">IFERROR(D319*E319,0)</f>
        <v>598.752065312267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598.752065312267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18241.63</v>
      </c>
      <c r="F320" s="22" t="n">
        <f aca="false">IFERROR(D320*E320,0)</f>
        <v>1277.78267186545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1277.78267186545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18241.63</v>
      </c>
      <c r="F321" s="21" t="n">
        <f aca="false">IFERROR(D321*E321,0)</f>
        <v>1366.35602675001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1366.35602675001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18241.63</v>
      </c>
      <c r="F322" s="22" t="n">
        <f aca="false">IFERROR(D322*E322,0)</f>
        <v>348.000802291365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348.000802291365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18241.63</v>
      </c>
      <c r="F323" s="21" t="n">
        <f aca="false">IFERROR(D323*E323,0)</f>
        <v>609.811816837143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609.811816837143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18241.63</v>
      </c>
      <c r="F324" s="22" t="n">
        <f aca="false">IFERROR(D324*E324,0)</f>
        <v>450.970902695385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450.970902695385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18241.63</v>
      </c>
      <c r="F325" s="21" t="n">
        <f aca="false">IFERROR(D325*E325,0)</f>
        <v>455.928722344468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455.928722344468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18241.63</v>
      </c>
      <c r="F326" s="22" t="n">
        <f aca="false">IFERROR(D326*E326,0)</f>
        <v>13134.0269919039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13134.0269919039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27907.0633777778</v>
      </c>
      <c r="F327" s="21" t="n">
        <f aca="false">IFERROR(D327*E327,0)</f>
        <v>916.004317281119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916.004317281119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27907.0633777778</v>
      </c>
      <c r="F328" s="22" t="n">
        <f aca="false">IFERROR(D328*E328,0)</f>
        <v>1954.82322614674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1954.82322614674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27907.0633777778</v>
      </c>
      <c r="F329" s="21" t="n">
        <f aca="false">IFERROR(D329*E329,0)</f>
        <v>2090.32768645792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2090.32768645792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27907.0633777778</v>
      </c>
      <c r="F330" s="22" t="n">
        <f aca="false">IFERROR(D330*E330,0)</f>
        <v>532.391044279631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532.391044279631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27907.0633777778</v>
      </c>
      <c r="F331" s="21" t="n">
        <f aca="false">IFERROR(D331*E331,0)</f>
        <v>932.924142250005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932.924142250005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27907.0633777778</v>
      </c>
      <c r="F332" s="22" t="n">
        <f aca="false">IFERROR(D332*E332,0)</f>
        <v>689.920449162371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689.920449162371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27907.0633777778</v>
      </c>
      <c r="F333" s="21" t="n">
        <f aca="false">IFERROR(D333*E333,0)</f>
        <v>697.505198286355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697.505198286355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27907.0633777778</v>
      </c>
      <c r="F334" s="22" t="n">
        <f aca="false">IFERROR(D334*E334,0)</f>
        <v>20093.1673139137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20093.1673139137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23636.57</v>
      </c>
      <c r="F335" s="21" t="n">
        <f aca="false">IFERROR(D335*E335,0)</f>
        <v>775.832264134179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775.832264134179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23636.57</v>
      </c>
      <c r="F336" s="22" t="n">
        <f aca="false">IFERROR(D336*E336,0)</f>
        <v>1655.68535094367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1655.68535094367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23636.57</v>
      </c>
      <c r="F337" s="21" t="n">
        <f aca="false">IFERROR(D337*E337,0)</f>
        <v>1770.45416836097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1770.45416836097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23636.57</v>
      </c>
      <c r="F338" s="22" t="n">
        <f aca="false">IFERROR(D338*E338,0)</f>
        <v>450.921618485629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450.921618485629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23636.57</v>
      </c>
      <c r="F339" s="21" t="n">
        <f aca="false">IFERROR(D339*E339,0)</f>
        <v>790.16292379016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790.16292379016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23636.57</v>
      </c>
      <c r="F340" s="22" t="n">
        <f aca="false">IFERROR(D340*E340,0)</f>
        <v>584.345001489596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584.345001489596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23636.57</v>
      </c>
      <c r="F341" s="21" t="n">
        <f aca="false">IFERROR(D341*E341,0)</f>
        <v>590.769090300899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590.769090300899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23636.57</v>
      </c>
      <c r="F342" s="22" t="n">
        <f aca="false">IFERROR(D342*E342,0)</f>
        <v>17018.3995824949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17018.3995824949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55262.36</v>
      </c>
      <c r="F343" s="21" t="n">
        <f aca="false">IFERROR(D343*E343,0)</f>
        <v>1836.83057929725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1836.83057929725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55262.36</v>
      </c>
      <c r="F344" s="22" t="n">
        <f aca="false">IFERROR(D344*E344,0)</f>
        <v>1836.83057929725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1836.83057929725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55262.36</v>
      </c>
      <c r="F345" s="21" t="n">
        <f aca="false">IFERROR(D345*E345,0)</f>
        <v>2204.1966951567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2204.1966951567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55262.36</v>
      </c>
      <c r="F346" s="22" t="n">
        <f aca="false">IFERROR(D346*E346,0)</f>
        <v>577.289610636277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577.289610636277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55262.36</v>
      </c>
      <c r="F347" s="21" t="n">
        <f aca="false">IFERROR(D347*E347,0)</f>
        <v>2204.1966951567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2204.1966951567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55262.36</v>
      </c>
      <c r="F348" s="22" t="n">
        <f aca="false">IFERROR(D348*E348,0)</f>
        <v>944.655726495727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944.655726495727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55262.36</v>
      </c>
      <c r="F349" s="21" t="n">
        <f aca="false">IFERROR(D349*E349,0)</f>
        <v>1049.61747388414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1049.61747388414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55262.36</v>
      </c>
      <c r="F350" s="22" t="n">
        <f aca="false">IFERROR(D350*E350,0)</f>
        <v>44608.742640076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44608.742640076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59417.29</v>
      </c>
      <c r="F351" s="21" t="n">
        <f aca="false">IFERROR(D351*E351,0)</f>
        <v>1950.27665305994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1950.27665305994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59417.29</v>
      </c>
      <c r="F352" s="22" t="n">
        <f aca="false">IFERROR(D352*E352,0)</f>
        <v>4162.03944336137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4162.03944336137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59417.29</v>
      </c>
      <c r="F353" s="21" t="n">
        <f aca="false">IFERROR(D353*E353,0)</f>
        <v>4450.54374442708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4450.54374442708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59417.29</v>
      </c>
      <c r="F354" s="22" t="n">
        <f aca="false">IFERROR(D354*E354,0)</f>
        <v>1133.5206661893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1133.5206661893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59417.29</v>
      </c>
      <c r="F355" s="21" t="n">
        <f aca="false">IFERROR(D355*E355,0)</f>
        <v>1986.30087149226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1986.30087149226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59417.29</v>
      </c>
      <c r="F356" s="22" t="n">
        <f aca="false">IFERROR(D356*E356,0)</f>
        <v>1468.91856193846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1468.91856193846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59417.29</v>
      </c>
      <c r="F357" s="21" t="n">
        <f aca="false">IFERROR(D357*E357,0)</f>
        <v>1485.06734951157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1485.06734951157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59417.29</v>
      </c>
      <c r="F358" s="22" t="n">
        <f aca="false">IFERROR(D358*E358,0)</f>
        <v>42780.62271002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42780.62271002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185259.55</v>
      </c>
      <c r="F359" s="21" t="n">
        <f aca="false">IFERROR(D359*E359,0)</f>
        <v>6080.8457457651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6080.8457457651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185259.55</v>
      </c>
      <c r="F360" s="22" t="n">
        <f aca="false">IFERROR(D360*E360,0)</f>
        <v>12976.9895994815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12976.9895994815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185259.55</v>
      </c>
      <c r="F361" s="21" t="n">
        <f aca="false">IFERROR(D361*E361,0)</f>
        <v>13876.5287233375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13876.5287233375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185259.55</v>
      </c>
      <c r="F362" s="22" t="n">
        <f aca="false">IFERROR(D362*E362,0)</f>
        <v>3534.24951784118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3534.24951784118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185259.55</v>
      </c>
      <c r="F363" s="21" t="n">
        <f aca="false">IFERROR(D363*E363,0)</f>
        <v>6193.16710030471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6193.16710030471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185259.55</v>
      </c>
      <c r="F364" s="22" t="n">
        <f aca="false">IFERROR(D364*E364,0)</f>
        <v>4580.00006010652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4580.00006010652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185259.55</v>
      </c>
      <c r="F365" s="21" t="n">
        <f aca="false">IFERROR(D365*E365,0)</f>
        <v>4630.35101214152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4630.35101214152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185259.55</v>
      </c>
      <c r="F366" s="22" t="n">
        <f aca="false">IFERROR(D366*E366,0)</f>
        <v>133387.418241022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133387.418241022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137885.81</v>
      </c>
      <c r="F367" s="21" t="n">
        <f aca="false">IFERROR(D367*E367,0)</f>
        <v>4525.87918485107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4525.87918485107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137885.81</v>
      </c>
      <c r="F368" s="22" t="n">
        <f aca="false">IFERROR(D368*E368,0)</f>
        <v>9658.57210754363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9658.57210754363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137885.81</v>
      </c>
      <c r="F369" s="21" t="n">
        <f aca="false">IFERROR(D369*E369,0)</f>
        <v>10328.0851270861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10328.0851270861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137885.81</v>
      </c>
      <c r="F370" s="22" t="n">
        <f aca="false">IFERROR(D370*E370,0)</f>
        <v>2630.48710584497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2630.48710584497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137885.81</v>
      </c>
      <c r="F371" s="21" t="n">
        <f aca="false">IFERROR(D371*E371,0)</f>
        <v>4609.47822711902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4609.47822711902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137885.81</v>
      </c>
      <c r="F372" s="22" t="n">
        <f aca="false">IFERROR(D372*E372,0)</f>
        <v>3408.82301661553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3408.82301661553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137885.81</v>
      </c>
      <c r="F373" s="21" t="n">
        <f aca="false">IFERROR(D373*E373,0)</f>
        <v>3446.29844935634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3446.29844935634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137885.81</v>
      </c>
      <c r="F374" s="22" t="n">
        <f aca="false">IFERROR(D374*E374,0)</f>
        <v>99278.1867815834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99278.1867815834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122181.73</v>
      </c>
      <c r="F375" s="21" t="n">
        <f aca="false">IFERROR(D375*E375,0)</f>
        <v>4010.41810303825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4010.41810303825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122181.73</v>
      </c>
      <c r="F376" s="22" t="n">
        <f aca="false">IFERROR(D376*E376,0)</f>
        <v>8558.53876065584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8558.53876065584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122181.73</v>
      </c>
      <c r="F377" s="21" t="n">
        <f aca="false">IFERROR(D377*E377,0)</f>
        <v>9151.79965519765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9151.79965519765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122181.73</v>
      </c>
      <c r="F378" s="22" t="n">
        <f aca="false">IFERROR(D378*E378,0)</f>
        <v>2330.89587198879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2330.89587198879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122181.73</v>
      </c>
      <c r="F379" s="21" t="n">
        <f aca="false">IFERROR(D379*E379,0)</f>
        <v>4084.49588965488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4084.49588965488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122181.73</v>
      </c>
      <c r="F380" s="22" t="n">
        <f aca="false">IFERROR(D380*E380,0)</f>
        <v>3020.58560945397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3020.58560945397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122181.73</v>
      </c>
      <c r="F381" s="21" t="n">
        <f aca="false">IFERROR(D381*E381,0)</f>
        <v>3053.7928931097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3053.7928931097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122181.73</v>
      </c>
      <c r="F382" s="22" t="n">
        <f aca="false">IFERROR(D382*E382,0)</f>
        <v>87971.2032169009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87971.2032169009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59915.85</v>
      </c>
      <c r="F391" s="21" t="n">
        <f aca="false">IFERROR(D391*E391,0)</f>
        <v>1966.64108045388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1966.64108045388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59915.85</v>
      </c>
      <c r="F392" s="22" t="n">
        <f aca="false">IFERROR(D392*E392,0)</f>
        <v>4196.96238220429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4196.96238220429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59915.85</v>
      </c>
      <c r="F393" s="21" t="n">
        <f aca="false">IFERROR(D393*E393,0)</f>
        <v>4487.88747197207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4487.88747197207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59915.85</v>
      </c>
      <c r="F394" s="22" t="n">
        <f aca="false">IFERROR(D394*E394,0)</f>
        <v>1143.03183816189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1143.03183816189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59915.85</v>
      </c>
      <c r="F395" s="21" t="n">
        <f aca="false">IFERROR(D395*E395,0)</f>
        <v>2002.96757174889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2002.96757174889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59915.85</v>
      </c>
      <c r="F396" s="22" t="n">
        <f aca="false">IFERROR(D396*E396,0)</f>
        <v>1481.24399849472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1481.24399849472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59915.85</v>
      </c>
      <c r="F397" s="21" t="n">
        <f aca="false">IFERROR(D397*E397,0)</f>
        <v>1497.52828769593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1497.52828769593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59915.85</v>
      </c>
      <c r="F398" s="22" t="n">
        <f aca="false">IFERROR(D398*E398,0)</f>
        <v>43139.5873692683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43139.5873692683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56892.621</v>
      </c>
      <c r="F399" s="21" t="n">
        <f aca="false">IFERROR(D399*E399,0)</f>
        <v>1867.40846759736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1867.40846759736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56892.621</v>
      </c>
      <c r="F400" s="22" t="n">
        <f aca="false">IFERROR(D400*E400,0)</f>
        <v>3985.19240171016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3985.19240171016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56892.621</v>
      </c>
      <c r="F401" s="21" t="n">
        <f aca="false">IFERROR(D401*E401,0)</f>
        <v>4261.43801737862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4261.43801737862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56892.621</v>
      </c>
      <c r="F402" s="22" t="n">
        <f aca="false">IFERROR(D402*E402,0)</f>
        <v>1085.3568322819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1085.3568322819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56892.621</v>
      </c>
      <c r="F403" s="21" t="n">
        <f aca="false">IFERROR(D403*E403,0)</f>
        <v>1901.90199980139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1901.90199980139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56892.621</v>
      </c>
      <c r="F404" s="22" t="n">
        <f aca="false">IFERROR(D404*E404,0)</f>
        <v>1406.50351142285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1406.50351142285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56892.621</v>
      </c>
      <c r="F405" s="21" t="n">
        <f aca="false">IFERROR(D405*E405,0)</f>
        <v>1421.96612930742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1421.96612930742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56892.621</v>
      </c>
      <c r="F406" s="22" t="n">
        <f aca="false">IFERROR(D406*E406,0)</f>
        <v>40962.8536405003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40962.8536405003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44676.8079</v>
      </c>
      <c r="F407" s="21" t="n">
        <f aca="false">IFERROR(D407*E407,0)</f>
        <v>1466.44411720249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1466.44411720249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44676.8079</v>
      </c>
      <c r="F408" s="22" t="n">
        <f aca="false">IFERROR(D408*E408,0)</f>
        <v>3129.50383101078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3129.50383101078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44676.8079</v>
      </c>
      <c r="F409" s="21" t="n">
        <f aca="false">IFERROR(D409*E409,0)</f>
        <v>3346.43481586446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3346.43481586446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44676.8079</v>
      </c>
      <c r="F410" s="22" t="n">
        <f aca="false">IFERROR(D410*E410,0)</f>
        <v>852.312265571509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852.312265571509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44676.8079</v>
      </c>
      <c r="F411" s="21" t="n">
        <f aca="false">IFERROR(D411*E411,0)</f>
        <v>1493.53130153298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1493.53130153298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44676.8079</v>
      </c>
      <c r="F412" s="22" t="n">
        <f aca="false">IFERROR(D412*E412,0)</f>
        <v>1104.50329209678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1104.50329209678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44676.8079</v>
      </c>
      <c r="F413" s="21" t="n">
        <f aca="false">IFERROR(D413*E413,0)</f>
        <v>1116.64582300355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1116.64582300355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44676.8079</v>
      </c>
      <c r="F414" s="22" t="n">
        <f aca="false">IFERROR(D414*E414,0)</f>
        <v>32167.4324537175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32167.4324537175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124871.9361</v>
      </c>
      <c r="F415" s="21" t="n">
        <f aca="false">IFERROR(D415*E415,0)</f>
        <v>4098.71977665463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4098.71977665463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124871.9361</v>
      </c>
      <c r="F416" s="22" t="n">
        <f aca="false">IFERROR(D416*E416,0)</f>
        <v>8746.98128132569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8746.98128132569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124871.9361</v>
      </c>
      <c r="F417" s="21" t="n">
        <f aca="false">IFERROR(D417*E417,0)</f>
        <v>9353.30463682125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9353.30463682125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124871.9361</v>
      </c>
      <c r="F418" s="22" t="n">
        <f aca="false">IFERROR(D418*E418,0)</f>
        <v>2382.2177045843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2382.2177045843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124871.9361</v>
      </c>
      <c r="F419" s="21" t="n">
        <f aca="false">IFERROR(D419*E419,0)</f>
        <v>4174.42861329347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4174.42861329347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124871.9361</v>
      </c>
      <c r="F420" s="22" t="n">
        <f aca="false">IFERROR(D420*E420,0)</f>
        <v>3087.09308018732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3087.09308018732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124871.9361</v>
      </c>
      <c r="F421" s="21" t="n">
        <f aca="false">IFERROR(D421*E421,0)</f>
        <v>3121.03152419784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3121.03152419784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124871.9361</v>
      </c>
      <c r="F422" s="22" t="n">
        <f aca="false">IFERROR(D422*E422,0)</f>
        <v>89908.1594829355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89908.1594829355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116934.28</v>
      </c>
      <c r="F423" s="21" t="n">
        <f aca="false">IFERROR(D423*E423,0)</f>
        <v>3838.17902543812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3838.17902543812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116934.28</v>
      </c>
      <c r="F424" s="22" t="n">
        <f aca="false">IFERROR(D424*E424,0)</f>
        <v>8190.9674042869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8190.9674042869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116934.28</v>
      </c>
      <c r="F425" s="21" t="n">
        <f aca="false">IFERROR(D425*E425,0)</f>
        <v>8758.74898304996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8758.74898304996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116934.28</v>
      </c>
      <c r="F426" s="22" t="n">
        <f aca="false">IFERROR(D426*E426,0)</f>
        <v>2230.7887647849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2230.7887647849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116934.28</v>
      </c>
      <c r="F427" s="21" t="n">
        <f aca="false">IFERROR(D427*E427,0)</f>
        <v>3909.075325908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3909.075325908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116934.28</v>
      </c>
      <c r="F428" s="22" t="n">
        <f aca="false">IFERROR(D428*E428,0)</f>
        <v>2890.85776915961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2890.85776915961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116934.28</v>
      </c>
      <c r="F429" s="21" t="n">
        <f aca="false">IFERROR(D429*E429,0)</f>
        <v>2922.63886937024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2922.63886937024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116934.28</v>
      </c>
      <c r="F430" s="22" t="n">
        <f aca="false">IFERROR(D430*E430,0)</f>
        <v>84193.0238580023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84193.0238580023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47847.26</v>
      </c>
      <c r="F431" s="21" t="n">
        <f aca="false">IFERROR(D431*E431,0)</f>
        <v>1590.36476733143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1590.36476733143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47847.26</v>
      </c>
      <c r="F432" s="22" t="n">
        <f aca="false">IFERROR(D432*E432,0)</f>
        <v>1590.36476733143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1590.36476733143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47847.26</v>
      </c>
      <c r="F433" s="21" t="n">
        <f aca="false">IFERROR(D433*E433,0)</f>
        <v>1908.43772079772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1908.43772079772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47847.26</v>
      </c>
      <c r="F434" s="22" t="n">
        <f aca="false">IFERROR(D434*E434,0)</f>
        <v>499.828926875594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499.828926875594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47847.26</v>
      </c>
      <c r="F435" s="21" t="n">
        <f aca="false">IFERROR(D435*E435,0)</f>
        <v>1908.43772079772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1908.43772079772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47847.26</v>
      </c>
      <c r="F436" s="22" t="n">
        <f aca="false">IFERROR(D436*E436,0)</f>
        <v>817.90188034188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817.90188034188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47847.26</v>
      </c>
      <c r="F437" s="21" t="n">
        <f aca="false">IFERROR(D437*E437,0)</f>
        <v>908.779867046534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908.779867046534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47847.26</v>
      </c>
      <c r="F438" s="22" t="n">
        <f aca="false">IFERROR(D438*E438,0)</f>
        <v>38623.1443494777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38623.1443494777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77723.24</v>
      </c>
      <c r="F439" s="21" t="n">
        <f aca="false">IFERROR(D439*E439,0)</f>
        <v>2541.25844390072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2541.25844390072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77723.24</v>
      </c>
      <c r="F440" s="22" t="n">
        <f aca="false">IFERROR(D440*E440,0)</f>
        <v>5219.06902640813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5219.06902640813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77723.24</v>
      </c>
      <c r="F441" s="21" t="n">
        <f aca="false">IFERROR(D441*E441,0)</f>
        <v>5666.14227116844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5666.14227116844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77723.24</v>
      </c>
      <c r="F442" s="22" t="n">
        <f aca="false">IFERROR(D442*E442,0)</f>
        <v>1452.31299958807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1452.31299958807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77723.24</v>
      </c>
      <c r="F443" s="21" t="n">
        <f aca="false">IFERROR(D443*E443,0)</f>
        <v>2533.54363380995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2533.54363380995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77723.24</v>
      </c>
      <c r="F444" s="22" t="n">
        <f aca="false">IFERROR(D444*E444,0)</f>
        <v>1853.48312430828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1853.48312430828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77723.24</v>
      </c>
      <c r="F445" s="21" t="n">
        <f aca="false">IFERROR(D445*E445,0)</f>
        <v>1853.86886481282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1853.86886481282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77723.24</v>
      </c>
      <c r="F446" s="22" t="n">
        <f aca="false">IFERROR(D446*E446,0)</f>
        <v>56603.5616360036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56603.5616360036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31737.12</v>
      </c>
      <c r="F447" s="21" t="n">
        <f aca="false">IFERROR(D447*E447,0)</f>
        <v>989.965211009175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989.965211009175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31737.12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31737.12</v>
      </c>
      <c r="F449" s="21" t="n">
        <f aca="false">IFERROR(D449*E449,0)</f>
        <v>1368.48132110092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1368.48132110092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31737.12</v>
      </c>
      <c r="F450" s="22" t="n">
        <f aca="false">IFERROR(D450*E450,0)</f>
        <v>320.282862385321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320.282862385321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31737.12</v>
      </c>
      <c r="F451" s="21" t="n">
        <f aca="false">IFERROR(D451*E451,0)</f>
        <v>1455.83119266055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1455.83119266055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31737.12</v>
      </c>
      <c r="F452" s="22" t="n">
        <f aca="false">IFERROR(D452*E452,0)</f>
        <v>524.099229357798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524.099229357798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31737.12</v>
      </c>
      <c r="F453" s="21" t="n">
        <f aca="false">IFERROR(D453*E453,0)</f>
        <v>698.798972477064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698.798972477064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31737.12</v>
      </c>
      <c r="F454" s="22" t="n">
        <f aca="false">IFERROR(D454*E454,0)</f>
        <v>26379.6612110092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26379.6612110092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45681.1801</v>
      </c>
      <c r="F455" s="21" t="n">
        <f aca="false">IFERROR(D455*E455,0)</f>
        <v>1424.91754440367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1424.91754440367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45681.1801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45681.1801</v>
      </c>
      <c r="F457" s="21" t="n">
        <f aca="false">IFERROR(D457*E457,0)</f>
        <v>1969.73895844037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1969.73895844037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45681.1801</v>
      </c>
      <c r="F458" s="22" t="n">
        <f aca="false">IFERROR(D458*E458,0)</f>
        <v>461.002734954128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461.002734954128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45681.1801</v>
      </c>
      <c r="F459" s="21" t="n">
        <f aca="false">IFERROR(D459*E459,0)</f>
        <v>2095.46697706422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2095.46697706422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45681.1801</v>
      </c>
      <c r="F460" s="22" t="n">
        <f aca="false">IFERROR(D460*E460,0)</f>
        <v>754.368111743119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754.368111743119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45681.1801</v>
      </c>
      <c r="F461" s="21" t="n">
        <f aca="false">IFERROR(D461*E461,0)</f>
        <v>1005.82414899083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1005.82414899083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45681.1801</v>
      </c>
      <c r="F462" s="22" t="n">
        <f aca="false">IFERROR(D462*E462,0)</f>
        <v>37969.8616244037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37969.8616244037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28252.4898</v>
      </c>
      <c r="F463" s="21" t="n">
        <f aca="false">IFERROR(D463*E463,0)</f>
        <v>923.750454374637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923.750454374637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28252.4898</v>
      </c>
      <c r="F464" s="22" t="n">
        <f aca="false">IFERROR(D464*E464,0)</f>
        <v>1897.13777287323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1897.13777287323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28252.4898</v>
      </c>
      <c r="F465" s="21" t="n">
        <f aca="false">IFERROR(D465*E465,0)</f>
        <v>2059.64942688358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2059.64942688358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28252.4898</v>
      </c>
      <c r="F466" s="22" t="n">
        <f aca="false">IFERROR(D466*E466,0)</f>
        <v>527.917495555633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527.917495555633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28252.4898</v>
      </c>
      <c r="F467" s="21" t="n">
        <f aca="false">IFERROR(D467*E467,0)</f>
        <v>920.946111768764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920.946111768764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28252.4898</v>
      </c>
      <c r="F468" s="22" t="n">
        <f aca="false">IFERROR(D468*E468,0)</f>
        <v>673.74331106104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673.74331106104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28252.4898</v>
      </c>
      <c r="F469" s="21" t="n">
        <f aca="false">IFERROR(D469*E469,0)</f>
        <v>673.883528191334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673.883528191334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28252.4898</v>
      </c>
      <c r="F470" s="22" t="n">
        <f aca="false">IFERROR(D470*E470,0)</f>
        <v>20575.4616992918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20575.4616992918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11235.9601</v>
      </c>
      <c r="F471" s="21" t="n">
        <f aca="false">IFERROR(D471*E471,0)</f>
        <v>367.373754355281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367.373754355281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11235.9601</v>
      </c>
      <c r="F472" s="22" t="n">
        <f aca="false">IFERROR(D472*E472,0)</f>
        <v>754.487992778834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754.487992778834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11235.9601</v>
      </c>
      <c r="F473" s="21" t="n">
        <f aca="false">IFERROR(D473*E473,0)</f>
        <v>819.11856067467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819.11856067467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11235.9601</v>
      </c>
      <c r="F474" s="22" t="n">
        <f aca="false">IFERROR(D474*E474,0)</f>
        <v>209.951758522713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209.951758522713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11235.9601</v>
      </c>
      <c r="F475" s="21" t="n">
        <f aca="false">IFERROR(D475*E475,0)</f>
        <v>366.258472769503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366.258472769503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11235.9601</v>
      </c>
      <c r="F476" s="22" t="n">
        <f aca="false">IFERROR(D476*E476,0)</f>
        <v>267.94640098317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267.94640098317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11235.9601</v>
      </c>
      <c r="F477" s="21" t="n">
        <f aca="false">IFERROR(D477*E477,0)</f>
        <v>268.002165062459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268.002165062459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11235.9601</v>
      </c>
      <c r="F478" s="22" t="n">
        <f aca="false">IFERROR(D478*E478,0)</f>
        <v>8182.82099485337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8182.82099485337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63583.35</v>
      </c>
      <c r="F479" s="21" t="n">
        <f aca="false">IFERROR(D479*E479,0)</f>
        <v>2078.93707311989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2078.93707311989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63583.35</v>
      </c>
      <c r="F480" s="22" t="n">
        <f aca="false">IFERROR(D480*E480,0)</f>
        <v>4269.58387967701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4269.58387967701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63583.35</v>
      </c>
      <c r="F481" s="21" t="n">
        <f aca="false">IFERROR(D481*E481,0)</f>
        <v>4635.32280920736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4635.32280920736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63583.35</v>
      </c>
      <c r="F482" s="22" t="n">
        <f aca="false">IFERROR(D482*E482,0)</f>
        <v>1188.09928359083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1188.09928359083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63583.35</v>
      </c>
      <c r="F483" s="21" t="n">
        <f aca="false">IFERROR(D483*E483,0)</f>
        <v>2072.62578874491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2072.62578874491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63583.35</v>
      </c>
      <c r="F484" s="22" t="n">
        <f aca="false">IFERROR(D484*E484,0)</f>
        <v>1516.28607109002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1516.28607109002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63583.35</v>
      </c>
      <c r="F485" s="21" t="n">
        <f aca="false">IFERROR(D485*E485,0)</f>
        <v>1516.60163530877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1516.60163530877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63583.35</v>
      </c>
      <c r="F486" s="22" t="n">
        <f aca="false">IFERROR(D486*E486,0)</f>
        <v>46305.8934592612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46305.8934592612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169218.6905</v>
      </c>
      <c r="F487" s="21" t="n">
        <f aca="false">IFERROR(D487*E487,0)</f>
        <v>5532.81651792884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5532.81651792884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169218.6905</v>
      </c>
      <c r="F488" s="22" t="n">
        <f aca="false">IFERROR(D488*E488,0)</f>
        <v>11362.9337412837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11362.9337412837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169218.6905</v>
      </c>
      <c r="F489" s="21" t="n">
        <f aca="false">IFERROR(D489*E489,0)</f>
        <v>12336.2996101786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12336.2996101786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169218.6905</v>
      </c>
      <c r="F490" s="22" t="n">
        <f aca="false">IFERROR(D490*E490,0)</f>
        <v>3161.96936703128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3161.96936703128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169218.6905</v>
      </c>
      <c r="F491" s="21" t="n">
        <f aca="false">IFERROR(D491*E491,0)</f>
        <v>5516.01986790477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5516.01986790477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169218.6905</v>
      </c>
      <c r="F492" s="22" t="n">
        <f aca="false">IFERROR(D492*E492,0)</f>
        <v>4035.39516828295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4035.39516828295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169218.6905</v>
      </c>
      <c r="F493" s="21" t="n">
        <f aca="false">IFERROR(D493*E493,0)</f>
        <v>4036.23500078415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4036.23500078415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169218.6905</v>
      </c>
      <c r="F494" s="22" t="n">
        <f aca="false">IFERROR(D494*E494,0)</f>
        <v>123237.021226606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123237.021226606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49774.8755</v>
      </c>
      <c r="F495" s="21" t="n">
        <f aca="false">IFERROR(D495*E495,0)</f>
        <v>1627.45174620206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1627.45174620206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49774.8755</v>
      </c>
      <c r="F496" s="22" t="n">
        <f aca="false">IFERROR(D496*E496,0)</f>
        <v>3342.35308532391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3342.35308532391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49774.8755</v>
      </c>
      <c r="F497" s="21" t="n">
        <f aca="false">IFERROR(D497*E497,0)</f>
        <v>3628.66404067427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3628.66404067427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49774.8755</v>
      </c>
      <c r="F498" s="22" t="n">
        <f aca="false">IFERROR(D498*E498,0)</f>
        <v>930.078297579048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930.078297579048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49774.8755</v>
      </c>
      <c r="F499" s="21" t="n">
        <f aca="false">IFERROR(D499*E499,0)</f>
        <v>1622.51109123484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1622.51109123484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49774.8755</v>
      </c>
      <c r="F500" s="22" t="n">
        <f aca="false">IFERROR(D500*E500,0)</f>
        <v>1186.99235587446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1186.99235587446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49774.8755</v>
      </c>
      <c r="F501" s="21" t="n">
        <f aca="false">IFERROR(D501*E501,0)</f>
        <v>1187.23938862282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1187.23938862282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49774.8755</v>
      </c>
      <c r="F502" s="22" t="n">
        <f aca="false">IFERROR(D502*E502,0)</f>
        <v>36249.5854944886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36249.5854944886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59328.035</v>
      </c>
      <c r="F503" s="21" t="n">
        <f aca="false">IFERROR(D503*E503,0)</f>
        <v>1939.80423234785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1939.80423234785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59328.035</v>
      </c>
      <c r="F504" s="22" t="n">
        <f aca="false">IFERROR(D504*E504,0)</f>
        <v>3983.84202545027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3983.84202545027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59328.035</v>
      </c>
      <c r="F505" s="21" t="n">
        <f aca="false">IFERROR(D505*E505,0)</f>
        <v>4325.10388114109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4325.10388114109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59328.035</v>
      </c>
      <c r="F506" s="22" t="n">
        <f aca="false">IFERROR(D506*E506,0)</f>
        <v>1108.58575209315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1108.58575209315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59328.035</v>
      </c>
      <c r="F507" s="21" t="n">
        <f aca="false">IFERROR(D507*E507,0)</f>
        <v>1933.9153306103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1933.9153306103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59328.035</v>
      </c>
      <c r="F508" s="22" t="n">
        <f aca="false">IFERROR(D508*E508,0)</f>
        <v>1414.80864244557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1414.80864244557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59328.035</v>
      </c>
      <c r="F509" s="21" t="n">
        <f aca="false">IFERROR(D509*E509,0)</f>
        <v>1415.10308753245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1415.10308753245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59328.035</v>
      </c>
      <c r="F510" s="22" t="n">
        <f aca="false">IFERROR(D510*E510,0)</f>
        <v>43206.8720483793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43206.8720483793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34067.57</v>
      </c>
      <c r="F511" s="21" t="n">
        <f aca="false">IFERROR(D511*E511,0)</f>
        <v>1113.88176722534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1113.88176722534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34067.57</v>
      </c>
      <c r="F512" s="22" t="n">
        <f aca="false">IFERROR(D512*E512,0)</f>
        <v>2287.61692631433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2287.61692631433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34067.57</v>
      </c>
      <c r="F513" s="21" t="n">
        <f aca="false">IFERROR(D513*E513,0)</f>
        <v>2483.57760758545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2483.57760758545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34067.57</v>
      </c>
      <c r="F514" s="22" t="n">
        <f aca="false">IFERROR(D514*E514,0)</f>
        <v>636.576328719397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636.576328719397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34067.57</v>
      </c>
      <c r="F515" s="21" t="n">
        <f aca="false">IFERROR(D515*E515,0)</f>
        <v>1110.50021966242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1110.50021966242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34067.57</v>
      </c>
      <c r="F516" s="22" t="n">
        <f aca="false">IFERROR(D516*E516,0)</f>
        <v>812.416801991156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812.416801991156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34067.57</v>
      </c>
      <c r="F517" s="21" t="n">
        <f aca="false">IFERROR(D517*E517,0)</f>
        <v>812.585879369302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812.585879369302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34067.57</v>
      </c>
      <c r="F518" s="22" t="n">
        <f aca="false">IFERROR(D518*E518,0)</f>
        <v>24810.4144691326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24810.4144691326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20221.09</v>
      </c>
      <c r="F519" s="21" t="n">
        <f aca="false">IFERROR(D519*E519,0)</f>
        <v>661.153802998645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661.153802998645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20221.09</v>
      </c>
      <c r="F520" s="22" t="n">
        <f aca="false">IFERROR(D520*E520,0)</f>
        <v>1357.83408539339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1357.83408539339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20221.09</v>
      </c>
      <c r="F521" s="21" t="n">
        <f aca="false">IFERROR(D521*E521,0)</f>
        <v>1474.14818036538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1474.14818036538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20221.09</v>
      </c>
      <c r="F522" s="22" t="n">
        <f aca="false">IFERROR(D522*E522,0)</f>
        <v>377.845183407696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377.845183407696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20221.09</v>
      </c>
      <c r="F523" s="21" t="n">
        <f aca="false">IFERROR(D523*E523,0)</f>
        <v>659.146657270052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659.146657270052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20221.09</v>
      </c>
      <c r="F524" s="22" t="n">
        <f aca="false">IFERROR(D524*E524,0)</f>
        <v>482.216761294549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482.216761294549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20221.09</v>
      </c>
      <c r="F525" s="21" t="n">
        <f aca="false">IFERROR(D525*E525,0)</f>
        <v>482.317118580979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482.317118580979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20221.09</v>
      </c>
      <c r="F526" s="22" t="n">
        <f aca="false">IFERROR(D526*E526,0)</f>
        <v>14726.4282106893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14726.4282106893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28103.2633777778</v>
      </c>
      <c r="F527" s="21" t="n">
        <f aca="false">IFERROR(D527*E527,0)</f>
        <v>918.871310047596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918.871310047596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28103.2633777778</v>
      </c>
      <c r="F528" s="22" t="n">
        <f aca="false">IFERROR(D528*E528,0)</f>
        <v>1887.11730797571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1887.11730797571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28103.2633777778</v>
      </c>
      <c r="F529" s="21" t="n">
        <f aca="false">IFERROR(D529*E529,0)</f>
        <v>2048.7705940026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2048.7705940026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28103.2633777778</v>
      </c>
      <c r="F530" s="22" t="n">
        <f aca="false">IFERROR(D530*E530,0)</f>
        <v>525.129095678385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525.129095678385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28103.2633777778</v>
      </c>
      <c r="F531" s="21" t="n">
        <f aca="false">IFERROR(D531*E531,0)</f>
        <v>916.081779658866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916.081779658866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28103.2633777778</v>
      </c>
      <c r="F532" s="22" t="n">
        <f aca="false">IFERROR(D532*E532,0)</f>
        <v>670.184675892334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670.184675892334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28103.2633777778</v>
      </c>
      <c r="F533" s="21" t="n">
        <f aca="false">IFERROR(D533*E533,0)</f>
        <v>670.324152411771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670.324152411771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28103.2633777778</v>
      </c>
      <c r="F534" s="22" t="n">
        <f aca="false">IFERROR(D534*E534,0)</f>
        <v>20466.7844621105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20466.7844621105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29628.57</v>
      </c>
      <c r="F535" s="21" t="n">
        <f aca="false">IFERROR(D535*E535,0)</f>
        <v>968.74311587118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968.74311587118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29628.57</v>
      </c>
      <c r="F536" s="22" t="n">
        <f aca="false">IFERROR(D536*E536,0)</f>
        <v>1989.5407343256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1989.5407343256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29628.57</v>
      </c>
      <c r="F537" s="21" t="n">
        <f aca="false">IFERROR(D537*E537,0)</f>
        <v>2159.96776396961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2159.96776396961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29628.57</v>
      </c>
      <c r="F538" s="22" t="n">
        <f aca="false">IFERROR(D538*E538,0)</f>
        <v>553.630514762446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553.630514762446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29628.57</v>
      </c>
      <c r="F539" s="21" t="n">
        <f aca="false">IFERROR(D539*E539,0)</f>
        <v>965.802183521845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965.802183521845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29628.57</v>
      </c>
      <c r="F540" s="22" t="n">
        <f aca="false">IFERROR(D540*E540,0)</f>
        <v>706.558996927902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706.558996927902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29628.57</v>
      </c>
      <c r="F541" s="21" t="n">
        <f aca="false">IFERROR(D541*E541,0)</f>
        <v>706.706043545369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706.706043545369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29628.57</v>
      </c>
      <c r="F542" s="22" t="n">
        <f aca="false">IFERROR(D542*E542,0)</f>
        <v>21577.620647076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21577.620647076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69384.91</v>
      </c>
      <c r="F543" s="21" t="n">
        <f aca="false">IFERROR(D543*E543,0)</f>
        <v>2164.29994495413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2164.29994495413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69384.91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69384.91</v>
      </c>
      <c r="F545" s="21" t="n">
        <f aca="false">IFERROR(D545*E545,0)</f>
        <v>2991.82639449541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2991.82639449541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69384.91</v>
      </c>
      <c r="F546" s="22" t="n">
        <f aca="false">IFERROR(D546*E546,0)</f>
        <v>700.214688073395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700.214688073395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69384.91</v>
      </c>
      <c r="F547" s="21" t="n">
        <f aca="false">IFERROR(D547*E547,0)</f>
        <v>3182.79403669725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3182.79403669725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69384.91</v>
      </c>
      <c r="F548" s="22" t="n">
        <f aca="false">IFERROR(D548*E548,0)</f>
        <v>1145.80585321101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1145.80585321101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69384.91</v>
      </c>
      <c r="F549" s="21" t="n">
        <f aca="false">IFERROR(D549*E549,0)</f>
        <v>1527.74113761468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1527.74113761468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69384.91</v>
      </c>
      <c r="F550" s="22" t="n">
        <f aca="false">IFERROR(D550*E550,0)</f>
        <v>57672.2279449541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57672.2279449541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88582.37</v>
      </c>
      <c r="F551" s="21" t="n">
        <f aca="false">IFERROR(D551*E551,0)</f>
        <v>2896.31126730226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2896.31126730226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88582.37</v>
      </c>
      <c r="F552" s="22" t="n">
        <f aca="false">IFERROR(D552*E552,0)</f>
        <v>5948.25310361257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5948.25310361257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88582.37</v>
      </c>
      <c r="F553" s="21" t="n">
        <f aca="false">IFERROR(D553*E553,0)</f>
        <v>6457.78934508241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6457.78934508241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88582.37</v>
      </c>
      <c r="F554" s="22" t="n">
        <f aca="false">IFERROR(D554*E554,0)</f>
        <v>1655.22342461946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1655.22342461946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88582.37</v>
      </c>
      <c r="F555" s="21" t="n">
        <f aca="false">IFERROR(D555*E555,0)</f>
        <v>2887.51857978768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2887.51857978768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88582.37</v>
      </c>
      <c r="F556" s="22" t="n">
        <f aca="false">IFERROR(D556*E556,0)</f>
        <v>2112.44317537756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2112.44317537756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88582.37</v>
      </c>
      <c r="F557" s="21" t="n">
        <f aca="false">IFERROR(D557*E557,0)</f>
        <v>2112.88280975329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2112.88280975329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88582.37</v>
      </c>
      <c r="F558" s="22" t="n">
        <f aca="false">IFERROR(D558*E558,0)</f>
        <v>64511.9482944648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64511.9482944648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182930.41</v>
      </c>
      <c r="F559" s="21" t="n">
        <f aca="false">IFERROR(D559*E559,0)</f>
        <v>5981.13831923014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5981.13831923014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182930.41</v>
      </c>
      <c r="F560" s="22" t="n">
        <f aca="false">IFERROR(D560*E560,0)</f>
        <v>12283.6674953224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12283.6674953224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182930.41</v>
      </c>
      <c r="F561" s="21" t="n">
        <f aca="false">IFERROR(D561*E561,0)</f>
        <v>13335.904792224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13335.904792224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182930.41</v>
      </c>
      <c r="F562" s="22" t="n">
        <f aca="false">IFERROR(D562*E562,0)</f>
        <v>3418.18241832141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3418.18241832141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182930.41</v>
      </c>
      <c r="F563" s="21" t="n">
        <f aca="false">IFERROR(D563*E563,0)</f>
        <v>5962.98064370121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5962.98064370121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182930.41</v>
      </c>
      <c r="F564" s="22" t="n">
        <f aca="false">IFERROR(D564*E564,0)</f>
        <v>4362.38154582587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4362.38154582587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182930.41</v>
      </c>
      <c r="F565" s="21" t="n">
        <f aca="false">IFERROR(D565*E565,0)</f>
        <v>4363.28942960232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4363.28942960232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182930.41</v>
      </c>
      <c r="F566" s="22" t="n">
        <f aca="false">IFERROR(D566*E566,0)</f>
        <v>133222.865355773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133222.865355773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120400.34</v>
      </c>
      <c r="F567" s="21" t="n">
        <f aca="false">IFERROR(D567*E567,0)</f>
        <v>3936.63955174177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3936.63955174177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120400.34</v>
      </c>
      <c r="F568" s="22" t="n">
        <f aca="false">IFERROR(D568*E568,0)</f>
        <v>8084.81073695599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8084.81073695599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120400.34</v>
      </c>
      <c r="F569" s="21" t="n">
        <f aca="false">IFERROR(D569*E569,0)</f>
        <v>8777.36769513279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8777.36769513279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120400.34</v>
      </c>
      <c r="F570" s="22" t="n">
        <f aca="false">IFERROR(D570*E570,0)</f>
        <v>2249.76440684696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2249.76440684696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120400.34</v>
      </c>
      <c r="F571" s="21" t="n">
        <f aca="false">IFERROR(D571*E571,0)</f>
        <v>3924.68861199756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3924.68861199756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120400.34</v>
      </c>
      <c r="F572" s="22" t="n">
        <f aca="false">IFERROR(D572*E572,0)</f>
        <v>2871.21327354572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2871.21327354572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120400.34</v>
      </c>
      <c r="F573" s="21" t="n">
        <f aca="false">IFERROR(D573*E573,0)</f>
        <v>2871.81082053293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2871.81082053293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120400.34</v>
      </c>
      <c r="F574" s="22" t="n">
        <f aca="false">IFERROR(D574*E574,0)</f>
        <v>87684.0449032463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87684.0449032463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124279.91</v>
      </c>
      <c r="F575" s="21" t="n">
        <f aca="false">IFERROR(D575*E575,0)</f>
        <v>4063.48694026036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4063.48694026036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124279.91</v>
      </c>
      <c r="F576" s="22" t="n">
        <f aca="false">IFERROR(D576*E576,0)</f>
        <v>8345.3215394236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8345.3215394236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124279.91</v>
      </c>
      <c r="F577" s="21" t="n">
        <f aca="false">IFERROR(D577*E577,0)</f>
        <v>9060.19424187681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9060.19424187681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124279.91</v>
      </c>
      <c r="F578" s="22" t="n">
        <f aca="false">IFERROR(D578*E578,0)</f>
        <v>2322.25688070435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2322.25688070435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124279.91</v>
      </c>
      <c r="F579" s="21" t="n">
        <f aca="false">IFERROR(D579*E579,0)</f>
        <v>4051.15091433364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4051.15091433364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124279.91</v>
      </c>
      <c r="F580" s="22" t="n">
        <f aca="false">IFERROR(D580*E580,0)</f>
        <v>2963.7302288936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2963.7302288936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124279.91</v>
      </c>
      <c r="F581" s="21" t="n">
        <f aca="false">IFERROR(D581*E581,0)</f>
        <v>2964.34703018993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2964.34703018993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124279.91</v>
      </c>
      <c r="F582" s="22" t="n">
        <f aca="false">IFERROR(D582*E582,0)</f>
        <v>90509.4222243177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90509.4222243177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628524.72</v>
      </c>
      <c r="F591" s="21" t="n">
        <f aca="false">IFERROR(D591*E591,0)</f>
        <v>20550.4010370687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20550.4010370687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628524.72</v>
      </c>
      <c r="F592" s="22" t="n">
        <f aca="false">IFERROR(D592*E592,0)</f>
        <v>42205.0585961656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42205.0585961656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628524.72</v>
      </c>
      <c r="F593" s="21" t="n">
        <f aca="false">IFERROR(D593*E593,0)</f>
        <v>45820.406926761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45820.406926761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628524.72</v>
      </c>
      <c r="F594" s="22" t="n">
        <f aca="false">IFERROR(D594*E594,0)</f>
        <v>11744.4231791991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11744.4231791991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628524.72</v>
      </c>
      <c r="F595" s="21" t="n">
        <f aca="false">IFERROR(D595*E595,0)</f>
        <v>20488.0136629428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20488.0136629428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628524.72</v>
      </c>
      <c r="F596" s="22" t="n">
        <f aca="false">IFERROR(D596*E596,0)</f>
        <v>14988.5666337454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14988.5666337454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628524.72</v>
      </c>
      <c r="F597" s="21" t="n">
        <f aca="false">IFERROR(D597*E597,0)</f>
        <v>14991.6860024517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14991.6860024517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628524.72</v>
      </c>
      <c r="F598" s="22" t="n">
        <f aca="false">IFERROR(D598*E598,0)</f>
        <v>457736.163961666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457736.163961666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113174.545</v>
      </c>
      <c r="F599" s="21" t="n">
        <f aca="false">IFERROR(D599*E599,0)</f>
        <v>3700.38315587297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3700.38315587297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113174.545</v>
      </c>
      <c r="F600" s="22" t="n">
        <f aca="false">IFERROR(D600*E600,0)</f>
        <v>7599.60292941124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7599.60292941124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113174.545</v>
      </c>
      <c r="F601" s="21" t="n">
        <f aca="false">IFERROR(D601*E601,0)</f>
        <v>8250.59626238889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8250.59626238889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113174.545</v>
      </c>
      <c r="F602" s="22" t="n">
        <f aca="false">IFERROR(D602*E602,0)</f>
        <v>2114.74538279625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2114.74538279625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113174.545</v>
      </c>
      <c r="F603" s="21" t="n">
        <f aca="false">IFERROR(D603*E603,0)</f>
        <v>3689.14944866024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3689.14944866024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113174.545</v>
      </c>
      <c r="F604" s="22" t="n">
        <f aca="false">IFERROR(D604*E604,0)</f>
        <v>2698.89815785817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2698.89815785817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113174.545</v>
      </c>
      <c r="F605" s="21" t="n">
        <f aca="false">IFERROR(D605*E605,0)</f>
        <v>2699.4598432188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2699.4598432188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113174.545</v>
      </c>
      <c r="F606" s="22" t="n">
        <f aca="false">IFERROR(D606*E606,0)</f>
        <v>82421.7098197934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82421.7098197934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35572.274</v>
      </c>
      <c r="F607" s="21" t="n">
        <f aca="false">IFERROR(D607*E607,0)</f>
        <v>1163.07994457321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1163.07994457321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35572.274</v>
      </c>
      <c r="F608" s="22" t="n">
        <f aca="false">IFERROR(D608*E608,0)</f>
        <v>2388.65689891856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2388.65689891856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35572.274</v>
      </c>
      <c r="F609" s="21" t="n">
        <f aca="false">IFERROR(D609*E609,0)</f>
        <v>2593.27281509348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2593.27281509348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35572.274</v>
      </c>
      <c r="F610" s="22" t="n">
        <f aca="false">IFERROR(D610*E610,0)</f>
        <v>664.692773424123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664.692773424123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35572.274</v>
      </c>
      <c r="F611" s="21" t="n">
        <f aca="false">IFERROR(D611*E611,0)</f>
        <v>1159.54904006631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1159.54904006631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35572.274</v>
      </c>
      <c r="F612" s="22" t="n">
        <f aca="false">IFERROR(D612*E612,0)</f>
        <v>848.299807782978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848.299807782978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35572.274</v>
      </c>
      <c r="F613" s="21" t="n">
        <f aca="false">IFERROR(D613*E613,0)</f>
        <v>848.476353008323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848.476353008323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35572.274</v>
      </c>
      <c r="F614" s="22" t="n">
        <f aca="false">IFERROR(D614*E614,0)</f>
        <v>25906.246367133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25906.246367133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219978.0165</v>
      </c>
      <c r="F615" s="21" t="n">
        <f aca="false">IFERROR(D615*E615,0)</f>
        <v>7192.4561032602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7192.4561032602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219978.0165</v>
      </c>
      <c r="F616" s="22" t="n">
        <f aca="false">IFERROR(D616*E616,0)</f>
        <v>14771.3920882074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14771.3920882074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219978.0165</v>
      </c>
      <c r="F617" s="21" t="n">
        <f aca="false">IFERROR(D617*E617,0)</f>
        <v>16036.731587855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16036.731587855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219978.0165</v>
      </c>
      <c r="F618" s="22" t="n">
        <f aca="false">IFERROR(D618*E618,0)</f>
        <v>4110.44280946792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4110.44280946792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219978.0165</v>
      </c>
      <c r="F619" s="21" t="n">
        <f aca="false">IFERROR(D619*E619,0)</f>
        <v>7170.62108169596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7170.62108169596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219978.0165</v>
      </c>
      <c r="F620" s="22" t="n">
        <f aca="false">IFERROR(D620*E620,0)</f>
        <v>5245.86393080832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5245.86393080832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219978.0165</v>
      </c>
      <c r="F621" s="21" t="n">
        <f aca="false">IFERROR(D621*E621,0)</f>
        <v>5246.95568188654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5246.95568188654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219978.0165</v>
      </c>
      <c r="F622" s="22" t="n">
        <f aca="false">IFERROR(D622*E622,0)</f>
        <v>160203.553216819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160203.553216819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127640.6599</v>
      </c>
      <c r="F623" s="21" t="n">
        <f aca="false">IFERROR(D623*E623,0)</f>
        <v>4173.37085736435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4173.37085736435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127640.6599</v>
      </c>
      <c r="F624" s="22" t="n">
        <f aca="false">IFERROR(D624*E624,0)</f>
        <v>8570.99388283844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8570.99388283844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127640.6599</v>
      </c>
      <c r="F625" s="21" t="n">
        <f aca="false">IFERROR(D625*E625,0)</f>
        <v>9305.19801515254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9305.19801515254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127640.6599</v>
      </c>
      <c r="F626" s="22" t="n">
        <f aca="false">IFERROR(D626*E626,0)</f>
        <v>2385.05483879429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2385.05483879429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127640.6599</v>
      </c>
      <c r="F627" s="21" t="n">
        <f aca="false">IFERROR(D627*E627,0)</f>
        <v>4160.70124334685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4160.70124334685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127640.6599</v>
      </c>
      <c r="F628" s="22" t="n">
        <f aca="false">IFERROR(D628*E628,0)</f>
        <v>3043.87476770426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3043.87476770426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127640.6599</v>
      </c>
      <c r="F629" s="21" t="n">
        <f aca="false">IFERROR(D629*E629,0)</f>
        <v>3044.50824840514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3044.50824840514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127640.6599</v>
      </c>
      <c r="F630" s="22" t="n">
        <f aca="false">IFERROR(D630*E630,0)</f>
        <v>92956.9580463941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92956.9580463941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84256.12</v>
      </c>
      <c r="F660" s="1" t="n">
        <f aca="false">IFERROR(D660*E660,0)</f>
        <v>2765.57116141475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2765.57116141475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84256.12</v>
      </c>
      <c r="F661" s="1" t="n">
        <f aca="false">IFERROR(D661*E661,0)</f>
        <v>5901.94023969435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5901.94023969435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84256.12</v>
      </c>
      <c r="F662" s="1" t="n">
        <f aca="false">IFERROR(D662*E662,0)</f>
        <v>6311.0510054514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6311.0510054514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84256.12</v>
      </c>
      <c r="F663" s="1" t="n">
        <f aca="false">IFERROR(D663*E663,0)</f>
        <v>1607.37814317896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1607.37814317896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84256.12</v>
      </c>
      <c r="F664" s="1" t="n">
        <f aca="false">IFERROR(D664*E664,0)</f>
        <v>2816.6549599377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2816.6549599377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84256.12</v>
      </c>
      <c r="F665" s="1" t="n">
        <f aca="false">IFERROR(D665*E665,0)</f>
        <v>2082.98592253054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2082.98592253054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84256.12</v>
      </c>
      <c r="F666" s="1" t="n">
        <f aca="false">IFERROR(D666*E666,0)</f>
        <v>2105.88555635117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2105.88555635117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84256.12</v>
      </c>
      <c r="F667" s="1" t="n">
        <f aca="false">IFERROR(D667*E667,0)</f>
        <v>60664.6530114411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60664.6530114411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95776.24</v>
      </c>
      <c r="F668" s="1" t="n">
        <f aca="false">IFERROR(D668*E668,0)</f>
        <v>3168.07823119127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3168.07823119127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95776.24</v>
      </c>
      <c r="F669" s="1" t="n">
        <f aca="false">IFERROR(D669*E669,0)</f>
        <v>6595.69801491457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6595.69801491457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95776.24</v>
      </c>
      <c r="F670" s="1" t="n">
        <f aca="false">IFERROR(D670*E670,0)</f>
        <v>7098.5597729454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7098.5597729454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95776.24</v>
      </c>
      <c r="F671" s="1" t="n">
        <f aca="false">IFERROR(D671*E671,0)</f>
        <v>1820.72331548991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1820.72331548991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95776.24</v>
      </c>
      <c r="F672" s="1" t="n">
        <f aca="false">IFERROR(D672*E672,0)</f>
        <v>3162.67111551352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3162.67111551352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95776.24</v>
      </c>
      <c r="F673" s="1" t="n">
        <f aca="false">IFERROR(D673*E673,0)</f>
        <v>2334.39930487623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2334.39930487623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95776.24</v>
      </c>
      <c r="F674" s="1" t="n">
        <f aca="false">IFERROR(D674*E674,0)</f>
        <v>2357.01087952865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2357.01087952865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95776.24</v>
      </c>
      <c r="F675" s="1" t="n">
        <f aca="false">IFERROR(D675*E675,0)</f>
        <v>69239.0993655405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69239.0993655405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79935.01</v>
      </c>
      <c r="F676" s="1" t="n">
        <f aca="false">IFERROR(D676*E676,0)</f>
        <v>2613.57502756947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2613.57502756947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79935.01</v>
      </c>
      <c r="F677" s="1" t="n">
        <f aca="false">IFERROR(D677*E677,0)</f>
        <v>5367.58805753111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5367.58805753111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79935.01</v>
      </c>
      <c r="F678" s="1" t="n">
        <f aca="false">IFERROR(D678*E678,0)</f>
        <v>5827.38366423314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5827.38366423314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79935.01</v>
      </c>
      <c r="F679" s="1" t="n">
        <f aca="false">IFERROR(D679*E679,0)</f>
        <v>1493.64146612008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1493.64146612008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79935.01</v>
      </c>
      <c r="F680" s="1" t="n">
        <f aca="false">IFERROR(D680*E680,0)</f>
        <v>2605.64067715183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2605.64067715183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79935.01</v>
      </c>
      <c r="F681" s="1" t="n">
        <f aca="false">IFERROR(D681*E681,0)</f>
        <v>1906.22768783717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1906.22768783717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79935.01</v>
      </c>
      <c r="F682" s="1" t="n">
        <f aca="false">IFERROR(D682*E682,0)</f>
        <v>1906.62440535806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1906.62440535806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79935.01</v>
      </c>
      <c r="F683" s="1" t="n">
        <f aca="false">IFERROR(D683*E683,0)</f>
        <v>58214.3290141991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58214.3290141991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29616.01</v>
      </c>
      <c r="F708" s="1" t="n">
        <f aca="false">IFERROR(D708*E708,0)</f>
        <v>972.097732154897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972.097732154897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29616.01</v>
      </c>
      <c r="F709" s="1" t="n">
        <f aca="false">IFERROR(D709*E709,0)</f>
        <v>2074.53086088215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2074.53086088215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29616.01</v>
      </c>
      <c r="F710" s="1" t="n">
        <f aca="false">IFERROR(D710*E710,0)</f>
        <v>2218.33321648278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2218.33321648278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29616.01</v>
      </c>
      <c r="F711" s="1" t="n">
        <f aca="false">IFERROR(D711*E711,0)</f>
        <v>564.993108656907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564.993108656907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29616.01</v>
      </c>
      <c r="F712" s="1" t="n">
        <f aca="false">IFERROR(D712*E712,0)</f>
        <v>990.053677525911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990.053677525911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29616.01</v>
      </c>
      <c r="F713" s="1" t="n">
        <f aca="false">IFERROR(D713*E713,0)</f>
        <v>732.169151766348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732.169151766348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29616.01</v>
      </c>
      <c r="F714" s="1" t="n">
        <f aca="false">IFERROR(D714*E714,0)</f>
        <v>740.218368656802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740.218368656802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29616.01</v>
      </c>
      <c r="F715" s="1" t="n">
        <f aca="false">IFERROR(D715*E715,0)</f>
        <v>21323.6138838742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21323.6138838742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29545.3599</v>
      </c>
      <c r="F716" s="1" t="n">
        <f aca="false">IFERROR(D716*E716,0)</f>
        <v>977.298874250037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977.298874250037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29545.3599</v>
      </c>
      <c r="F717" s="1" t="n">
        <f aca="false">IFERROR(D717*E717,0)</f>
        <v>2034.66195417952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2034.66195417952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29545.3599</v>
      </c>
      <c r="F718" s="1" t="n">
        <f aca="false">IFERROR(D718*E718,0)</f>
        <v>2189.78635268344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2189.78635268344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29545.3599</v>
      </c>
      <c r="F719" s="1" t="n">
        <f aca="false">IFERROR(D719*E719,0)</f>
        <v>561.662533781558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561.662533781558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29545.3599</v>
      </c>
      <c r="F720" s="1" t="n">
        <f aca="false">IFERROR(D720*E720,0)</f>
        <v>975.630869965049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975.630869965049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29545.3599</v>
      </c>
      <c r="F721" s="1" t="n">
        <f aca="false">IFERROR(D721*E721,0)</f>
        <v>720.122940855458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720.122940855458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29545.3599</v>
      </c>
      <c r="F722" s="1" t="n">
        <f aca="false">IFERROR(D722*E722,0)</f>
        <v>727.098231501773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727.098231501773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29545.3599</v>
      </c>
      <c r="F723" s="1" t="n">
        <f aca="false">IFERROR(D723*E723,0)</f>
        <v>21359.0981427832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21359.0981427832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29435.8901</v>
      </c>
      <c r="F724" s="1" t="n">
        <f aca="false">IFERROR(D724*E724,0)</f>
        <v>962.4432057948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962.4432057948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29435.8901</v>
      </c>
      <c r="F725" s="1" t="n">
        <f aca="false">IFERROR(D725*E725,0)</f>
        <v>1976.60239441464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1976.60239441464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29435.8901</v>
      </c>
      <c r="F726" s="1" t="n">
        <f aca="false">IFERROR(D726*E726,0)</f>
        <v>2145.92110654521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2145.92110654521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29435.8901</v>
      </c>
      <c r="F727" s="1" t="n">
        <f aca="false">IFERROR(D727*E727,0)</f>
        <v>550.030156317156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550.030156317156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29435.8901</v>
      </c>
      <c r="F728" s="1" t="n">
        <f aca="false">IFERROR(D728*E728,0)</f>
        <v>959.521398855532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959.521398855532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29435.8901</v>
      </c>
      <c r="F729" s="1" t="n">
        <f aca="false">IFERROR(D729*E729,0)</f>
        <v>701.964117159079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701.964117159079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29435.8901</v>
      </c>
      <c r="F730" s="1" t="n">
        <f aca="false">IFERROR(D730*E730,0)</f>
        <v>702.110207506043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702.110207506043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29435.8901</v>
      </c>
      <c r="F731" s="1" t="n">
        <f aca="false">IFERROR(D731*E731,0)</f>
        <v>21437.2975134075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21437.2975134075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9900.32</v>
      </c>
      <c r="F732" s="1" t="n">
        <f aca="false">IFERROR(D732*E732,0)</f>
        <v>324.962026269162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324.962026269162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9900.32</v>
      </c>
      <c r="F733" s="1" t="n">
        <f aca="false">IFERROR(D733*E733,0)</f>
        <v>693.493801920273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693.493801920273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9900.32</v>
      </c>
      <c r="F734" s="1" t="n">
        <f aca="false">IFERROR(D734*E734,0)</f>
        <v>741.565413768052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741.565413768052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9900.32</v>
      </c>
      <c r="F735" s="1" t="n">
        <f aca="false">IFERROR(D735*E735,0)</f>
        <v>188.871241382554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188.871241382554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9900.32</v>
      </c>
      <c r="F736" s="1" t="n">
        <f aca="false">IFERROR(D736*E736,0)</f>
        <v>330.964509556937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330.964509556937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9900.32</v>
      </c>
      <c r="F737" s="1" t="n">
        <f aca="false">IFERROR(D737*E737,0)</f>
        <v>244.756430613557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244.756430613557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9900.32</v>
      </c>
      <c r="F738" s="1" t="n">
        <f aca="false">IFERROR(D738*E738,0)</f>
        <v>247.447198983939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247.447198983939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9900.32</v>
      </c>
      <c r="F739" s="1" t="n">
        <f aca="false">IFERROR(D739*E739,0)</f>
        <v>7128.25937750553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7128.25937750553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13648.4</v>
      </c>
      <c r="F740" s="1" t="n">
        <f aca="false">IFERROR(D740*E740,0)</f>
        <v>451.46060161258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451.46060161258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13648.4</v>
      </c>
      <c r="F741" s="1" t="n">
        <f aca="false">IFERROR(D741*E741,0)</f>
        <v>939.906648942995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939.906648942995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13648.4</v>
      </c>
      <c r="F742" s="1" t="n">
        <f aca="false">IFERROR(D742*E742,0)</f>
        <v>1011.5659500213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1011.5659500213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13648.4</v>
      </c>
      <c r="F743" s="1" t="n">
        <f aca="false">IFERROR(D743*E743,0)</f>
        <v>259.45850556602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259.45850556602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13648.4</v>
      </c>
      <c r="F744" s="1" t="n">
        <f aca="false">IFERROR(D744*E744,0)</f>
        <v>450.690071493459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450.690071493459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13648.4</v>
      </c>
      <c r="F745" s="1" t="n">
        <f aca="false">IFERROR(D745*E745,0)</f>
        <v>332.658866882567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332.658866882567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13648.4</v>
      </c>
      <c r="F746" s="1" t="n">
        <f aca="false">IFERROR(D746*E746,0)</f>
        <v>335.881083744348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335.881083744348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13648.4</v>
      </c>
      <c r="F747" s="1" t="n">
        <f aca="false">IFERROR(D747*E747,0)</f>
        <v>9866.77827173673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9866.77827173673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14471.07</v>
      </c>
      <c r="F748" s="1" t="n">
        <f aca="false">IFERROR(D748*E748,0)</f>
        <v>473.149714677082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473.149714677082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14471.07</v>
      </c>
      <c r="F749" s="1" t="n">
        <f aca="false">IFERROR(D749*E749,0)</f>
        <v>971.723685425156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971.723685425156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14471.07</v>
      </c>
      <c r="F750" s="1" t="n">
        <f aca="false">IFERROR(D750*E750,0)</f>
        <v>1054.96298708131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1054.96298708131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14471.07</v>
      </c>
      <c r="F751" s="1" t="n">
        <f aca="false">IFERROR(D751*E751,0)</f>
        <v>270.402045500792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270.402045500792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14471.07</v>
      </c>
      <c r="F752" s="1" t="n">
        <f aca="false">IFERROR(D752*E752,0)</f>
        <v>471.713316029004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471.713316029004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14471.07</v>
      </c>
      <c r="F753" s="1" t="n">
        <f aca="false">IFERROR(D753*E753,0)</f>
        <v>345.094775200877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345.094775200877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14471.07</v>
      </c>
      <c r="F754" s="1" t="n">
        <f aca="false">IFERROR(D754*E754,0)</f>
        <v>345.166595133281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345.166595133281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14471.07</v>
      </c>
      <c r="F755" s="1" t="n">
        <f aca="false">IFERROR(D755*E755,0)</f>
        <v>10538.8568809525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10538.8568809525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61126.02</v>
      </c>
      <c r="F828" s="1" t="n">
        <f aca="false">IFERROR(D828*E828,0)</f>
        <v>2006.36295765888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2006.36295765888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61126.02</v>
      </c>
      <c r="F829" s="1" t="n">
        <f aca="false">IFERROR(D829*E829,0)</f>
        <v>4281.73190422679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4281.73190422679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61126.02</v>
      </c>
      <c r="F830" s="1" t="n">
        <f aca="false">IFERROR(D830*E830,0)</f>
        <v>4578.53304875945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4578.53304875945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61126.02</v>
      </c>
      <c r="F831" s="1" t="n">
        <f aca="false">IFERROR(D831*E831,0)</f>
        <v>1166.11859800237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1166.11859800237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61126.02</v>
      </c>
      <c r="F832" s="1" t="n">
        <f aca="false">IFERROR(D832*E832,0)</f>
        <v>2043.42316515703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2043.42316515703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61126.02</v>
      </c>
      <c r="F833" s="1" t="n">
        <f aca="false">IFERROR(D833*E833,0)</f>
        <v>1511.16190919212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1511.16190919212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61126.02</v>
      </c>
      <c r="F834" s="1" t="n">
        <f aca="false">IFERROR(D834*E834,0)</f>
        <v>1527.77510565681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1527.77510565681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61126.02</v>
      </c>
      <c r="F835" s="1" t="n">
        <f aca="false">IFERROR(D835*E835,0)</f>
        <v>44010.9133113465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44010.9133113465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57777.9604</v>
      </c>
      <c r="F836" s="1" t="n">
        <f aca="false">IFERROR(D836*E836,0)</f>
        <v>1911.17440594735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1911.17440594735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57777.9604</v>
      </c>
      <c r="F837" s="1" t="n">
        <f aca="false">IFERROR(D837*E837,0)</f>
        <v>3978.91981055106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3978.91981055106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57777.9604</v>
      </c>
      <c r="F838" s="1" t="n">
        <f aca="false">IFERROR(D838*E838,0)</f>
        <v>4282.27612044775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4282.27612044775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57777.9604</v>
      </c>
      <c r="F839" s="1" t="n">
        <f aca="false">IFERROR(D839*E839,0)</f>
        <v>1098.36927845291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1098.36927845291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57777.9604</v>
      </c>
      <c r="F840" s="1" t="n">
        <f aca="false">IFERROR(D840*E840,0)</f>
        <v>1907.91251014201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1907.91251014201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57777.9604</v>
      </c>
      <c r="F841" s="1" t="n">
        <f aca="false">IFERROR(D841*E841,0)</f>
        <v>1408.24937996028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1408.24937996028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57777.9604</v>
      </c>
      <c r="F842" s="1" t="n">
        <f aca="false">IFERROR(D842*E842,0)</f>
        <v>1421.89003514625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1421.89003514625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57777.9604</v>
      </c>
      <c r="F843" s="1" t="n">
        <f aca="false">IFERROR(D843*E843,0)</f>
        <v>41769.1688593524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41769.1688593524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61130.92</v>
      </c>
      <c r="F844" s="1" t="n">
        <f aca="false">IFERROR(D844*E844,0)</f>
        <v>1998.75181005603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1998.75181005603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61130.92</v>
      </c>
      <c r="F845" s="1" t="n">
        <f aca="false">IFERROR(D845*E845,0)</f>
        <v>4104.90467365788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4104.90467365788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61130.92</v>
      </c>
      <c r="F846" s="1" t="n">
        <f aca="false">IFERROR(D846*E846,0)</f>
        <v>4456.53693653811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4456.53693653811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61130.92</v>
      </c>
      <c r="F847" s="1" t="n">
        <f aca="false">IFERROR(D847*E847,0)</f>
        <v>1142.27391694914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1142.27391694914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61130.92</v>
      </c>
      <c r="F848" s="1" t="n">
        <f aca="false">IFERROR(D848*E848,0)</f>
        <v>1992.6839539235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1992.6839539235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61130.92</v>
      </c>
      <c r="F849" s="1" t="n">
        <f aca="false">IFERROR(D849*E849,0)</f>
        <v>1457.80243584081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1457.80243584081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61130.92</v>
      </c>
      <c r="F850" s="1" t="n">
        <f aca="false">IFERROR(D850*E850,0)</f>
        <v>1458.10582864743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1458.10582864743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61130.92</v>
      </c>
      <c r="F851" s="1" t="n">
        <f aca="false">IFERROR(D851*E851,0)</f>
        <v>44519.8604443871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44519.8604443871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27200.18</v>
      </c>
      <c r="F852" s="1" t="n">
        <f aca="false">IFERROR(D852*E852,0)</f>
        <v>892.802011216399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892.802011216399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27200.18</v>
      </c>
      <c r="F853" s="1" t="n">
        <f aca="false">IFERROR(D853*E853,0)</f>
        <v>1905.30773157997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1905.30773157997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27200.18</v>
      </c>
      <c r="F854" s="1" t="n">
        <f aca="false">IFERROR(D854*E854,0)</f>
        <v>2037.37987623284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2037.37987623284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27200.18</v>
      </c>
      <c r="F855" s="1" t="n">
        <f aca="false">IFERROR(D855*E855,0)</f>
        <v>518.905627538194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518.905627538194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27200.18</v>
      </c>
      <c r="F856" s="1" t="n">
        <f aca="false">IFERROR(D856*E856,0)</f>
        <v>909.293258557339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909.293258557339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27200.18</v>
      </c>
      <c r="F857" s="1" t="n">
        <f aca="false">IFERROR(D857*E857,0)</f>
        <v>672.444826919358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672.444826919358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27200.18</v>
      </c>
      <c r="F858" s="1" t="n">
        <f aca="false">IFERROR(D858*E858,0)</f>
        <v>679.83745503771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679.83745503771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27200.18</v>
      </c>
      <c r="F859" s="1" t="n">
        <f aca="false">IFERROR(D859*E859,0)</f>
        <v>19584.2092129182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19584.2092129182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35576.53</v>
      </c>
      <c r="F860" s="1" t="n">
        <f aca="false">IFERROR(D860*E860,0)</f>
        <v>1176.79740021453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1176.79740021453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35576.53</v>
      </c>
      <c r="F861" s="1" t="n">
        <f aca="false">IFERROR(D861*E861,0)</f>
        <v>2450.0027177779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2450.0027177779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35576.53</v>
      </c>
      <c r="F862" s="1" t="n">
        <f aca="false">IFERROR(D862*E862,0)</f>
        <v>2636.79305764128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2636.79305764128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35576.53</v>
      </c>
      <c r="F863" s="1" t="n">
        <f aca="false">IFERROR(D863*E863,0)</f>
        <v>676.316147462316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676.316147462316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35576.53</v>
      </c>
      <c r="F864" s="1" t="n">
        <f aca="false">IFERROR(D864*E864,0)</f>
        <v>1174.78890193643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1174.78890193643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35576.53</v>
      </c>
      <c r="F865" s="1" t="n">
        <f aca="false">IFERROR(D865*E865,0)</f>
        <v>867.123483881895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867.123483881895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35576.53</v>
      </c>
      <c r="F866" s="1" t="n">
        <f aca="false">IFERROR(D866*E866,0)</f>
        <v>875.522658499407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875.522658499407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35576.53</v>
      </c>
      <c r="F867" s="1" t="n">
        <f aca="false">IFERROR(D867*E867,0)</f>
        <v>25719.1856325862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25719.1856325862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30725.96</v>
      </c>
      <c r="F868" s="1" t="n">
        <f aca="false">IFERROR(D868*E868,0)</f>
        <v>1004.62365306639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1004.62365306639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30725.96</v>
      </c>
      <c r="F869" s="1" t="n">
        <f aca="false">IFERROR(D869*E869,0)</f>
        <v>2063.22981572378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2063.22981572378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30725.96</v>
      </c>
      <c r="F870" s="1" t="n">
        <f aca="false">IFERROR(D870*E870,0)</f>
        <v>2239.96916209657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2239.96916209657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30725.96</v>
      </c>
      <c r="F871" s="1" t="n">
        <f aca="false">IFERROR(D871*E871,0)</f>
        <v>574.136013022914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574.136013022914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30725.96</v>
      </c>
      <c r="F872" s="1" t="n">
        <f aca="false">IFERROR(D872*E872,0)</f>
        <v>1001.57379376746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1001.57379376746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30725.96</v>
      </c>
      <c r="F873" s="1" t="n">
        <f aca="false">IFERROR(D873*E873,0)</f>
        <v>732.728696567092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732.728696567092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30725.96</v>
      </c>
      <c r="F874" s="1" t="n">
        <f aca="false">IFERROR(D874*E874,0)</f>
        <v>732.881189532039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732.881189532039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30725.96</v>
      </c>
      <c r="F875" s="1" t="n">
        <f aca="false">IFERROR(D875*E875,0)</f>
        <v>22376.8176762238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22376.8176762238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28520.53</v>
      </c>
      <c r="F876" s="1" t="n">
        <f aca="false">IFERROR(D876*E876,0)</f>
        <v>936.140369106294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936.140369106294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28520.53</v>
      </c>
      <c r="F877" s="1" t="n">
        <f aca="false">IFERROR(D877*E877,0)</f>
        <v>1997.79509980296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1997.79509980296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28520.53</v>
      </c>
      <c r="F878" s="1" t="n">
        <f aca="false">IFERROR(D878*E878,0)</f>
        <v>2136.27828497807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2136.27828497807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28520.53</v>
      </c>
      <c r="F879" s="1" t="n">
        <f aca="false">IFERROR(D879*E879,0)</f>
        <v>544.094322808595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544.094322808595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28520.53</v>
      </c>
      <c r="F880" s="1" t="n">
        <f aca="false">IFERROR(D880*E880,0)</f>
        <v>953.432133885965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953.432133885965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28520.53</v>
      </c>
      <c r="F881" s="1" t="n">
        <f aca="false">IFERROR(D881*E881,0)</f>
        <v>705.086615584836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705.086615584836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28520.53</v>
      </c>
      <c r="F882" s="1" t="n">
        <f aca="false">IFERROR(D882*E882,0)</f>
        <v>712.838096348137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712.838096348137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28520.53</v>
      </c>
      <c r="F883" s="1" t="n">
        <f aca="false">IFERROR(D883*E883,0)</f>
        <v>20534.8650774851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20534.8650774851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32743.900001</v>
      </c>
      <c r="F884" s="1" t="n">
        <f aca="false">IFERROR(D884*E884,0)</f>
        <v>1083.09990867747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1083.09990867747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32743.900001</v>
      </c>
      <c r="F885" s="1" t="n">
        <f aca="false">IFERROR(D885*E885,0)</f>
        <v>2254.93166402395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2254.93166402395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32743.900001</v>
      </c>
      <c r="F886" s="1" t="n">
        <f aca="false">IFERROR(D886*E886,0)</f>
        <v>2426.84961694514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2426.84961694514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32743.900001</v>
      </c>
      <c r="F887" s="1" t="n">
        <f aca="false">IFERROR(D887*E887,0)</f>
        <v>622.467348602229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622.467348602229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32743.900001</v>
      </c>
      <c r="F888" s="1" t="n">
        <f aca="false">IFERROR(D888*E888,0)</f>
        <v>1081.25132853854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1081.25132853854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32743.900001</v>
      </c>
      <c r="F889" s="1" t="n">
        <f aca="false">IFERROR(D889*E889,0)</f>
        <v>798.082461801291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798.082461801291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32743.900001</v>
      </c>
      <c r="F890" s="1" t="n">
        <f aca="false">IFERROR(D890*E890,0)</f>
        <v>805.812887836848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805.812887836848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32743.900001</v>
      </c>
      <c r="F891" s="1" t="n">
        <f aca="false">IFERROR(D891*E891,0)</f>
        <v>23671.4047845745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23671.4047845745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34460.5203</v>
      </c>
      <c r="F892" s="1" t="n">
        <f aca="false">IFERROR(D892*E892,0)</f>
        <v>1126.72976825962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1126.72976825962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34460.5203</v>
      </c>
      <c r="F893" s="1" t="n">
        <f aca="false">IFERROR(D893*E893,0)</f>
        <v>2314.00330366617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2314.00330366617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34460.5203</v>
      </c>
      <c r="F894" s="1" t="n">
        <f aca="false">IFERROR(D894*E894,0)</f>
        <v>2512.22428141555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2512.22428141555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34460.5203</v>
      </c>
      <c r="F895" s="1" t="n">
        <f aca="false">IFERROR(D895*E895,0)</f>
        <v>643.918879401562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643.918879401562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34460.5203</v>
      </c>
      <c r="F896" s="1" t="n">
        <f aca="false">IFERROR(D896*E896,0)</f>
        <v>1123.30921644341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1123.30921644341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34460.5203</v>
      </c>
      <c r="F897" s="1" t="n">
        <f aca="false">IFERROR(D897*E897,0)</f>
        <v>821.787573844489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821.787573844489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34460.5203</v>
      </c>
      <c r="F898" s="1" t="n">
        <f aca="false">IFERROR(D898*E898,0)</f>
        <v>821.9586014353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821.9586014353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34460.5203</v>
      </c>
      <c r="F899" s="1" t="n">
        <f aca="false">IFERROR(D899*E899,0)</f>
        <v>25096.5886755339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25096.5886755339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73093.93</v>
      </c>
      <c r="E5" s="21" t="n">
        <f aca="false">IFERROR(D5/IF(B5="Clientes",SUMIFS(PARÂMETROS!$B$8:$B$33,PARÂMETROS!$G$8:$G$33,F5),SUMIFS(PARÂMETROS!$C$8:$C$33,PARÂMETROS!$G$8:$G$33,F5)),0)</f>
        <v>0.37514270463912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29156.86</v>
      </c>
      <c r="E6" s="21" t="n">
        <f aca="false">IFERROR(D6/IF(B6="Clientes",SUMIFS(PARÂMETROS!$B$8:$B$33,PARÂMETROS!$G$8:$G$33,F6),SUMIFS(PARÂMETROS!$C$8:$C$33,PARÂMETROS!$G$8:$G$33,F6)),0)</f>
        <v>27.7949094375596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43178.9397</v>
      </c>
      <c r="E7" s="21" t="n">
        <f aca="false">IFERROR(D7/IF(B7="Clientes",SUMIFS(PARÂMETROS!$B$8:$B$33,PARÂMETROS!$G$8:$G$33,F7),SUMIFS(PARÂMETROS!$C$8:$C$33,PARÂMETROS!$G$8:$G$33,F7)),0)</f>
        <v>41.162001620591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24488.6</v>
      </c>
      <c r="E8" s="21" t="n">
        <f aca="false">IFERROR(D8/IF(B8="Clientes",SUMIFS(PARÂMETROS!$B$8:$B$33,PARÂMETROS!$G$8:$G$33,F8),SUMIFS(PARÂMETROS!$C$8:$C$33,PARÂMETROS!$G$8:$G$33,F8)),0)</f>
        <v>0.125683755639156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16812.38</v>
      </c>
      <c r="E9" s="21" t="n">
        <f aca="false">IFERROR(D9/IF(B9="Clientes",SUMIFS(PARÂMETROS!$B$8:$B$33,PARÂMETROS!$G$8:$G$33,F9),SUMIFS(PARÂMETROS!$C$8:$C$33,PARÂMETROS!$G$8:$G$33,F9)),0)</f>
        <v>0.0862868052739898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58638.4</v>
      </c>
      <c r="E10" s="21" t="n">
        <f aca="false">IFERROR(D10/IF(B10="Clientes",SUMIFS(PARÂMETROS!$B$8:$B$33,PARÂMETROS!$G$8:$G$33,F10),SUMIFS(PARÂMETROS!$C$8:$C$33,PARÂMETROS!$G$8:$G$33,F10)),0)</f>
        <v>0.30095204857244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188165.5646</v>
      </c>
      <c r="E11" s="21" t="n">
        <f aca="false">IFERROR(D11/IF(B11="Clientes",SUMIFS(PARÂMETROS!$B$8:$B$33,PARÂMETROS!$G$8:$G$33,F11),SUMIFS(PARÂMETROS!$C$8:$C$33,PARÂMETROS!$G$8:$G$33,F11)),0)</f>
        <v>0.965729149109796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51557.6429</v>
      </c>
      <c r="E12" s="21" t="n">
        <f aca="false">IFERROR(D12/IF(B12="Clientes",SUMIFS(PARÂMETROS!$B$8:$B$33,PARÂMETROS!$G$8:$G$33,F12),SUMIFS(PARÂMETROS!$C$8:$C$33,PARÂMETROS!$G$8:$G$33,F12)),0)</f>
        <v>0.264611214670273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60448.1676</v>
      </c>
      <c r="E13" s="21" t="n">
        <f aca="false">IFERROR(D13/IF(B13="Clientes",SUMIFS(PARÂMETROS!$B$8:$B$33,PARÂMETROS!$G$8:$G$33,F13),SUMIFS(PARÂMETROS!$C$8:$C$33,PARÂMETROS!$G$8:$G$33,F13)),0)</f>
        <v>0.310240386362353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35533.06</v>
      </c>
      <c r="E14" s="21" t="n">
        <f aca="false">IFERROR(D14/IF(B14="Clientes",SUMIFS(PARÂMETROS!$B$8:$B$33,PARÂMETROS!$G$8:$G$33,F14),SUMIFS(PARÂMETROS!$C$8:$C$33,PARÂMETROS!$G$8:$G$33,F14)),0)</f>
        <v>0.182367649851419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18101.05</v>
      </c>
      <c r="E15" s="21" t="n">
        <f aca="false">IFERROR(D15/IF(B15="Clientes",SUMIFS(PARÂMETROS!$B$8:$B$33,PARÂMETROS!$G$8:$G$33,F15),SUMIFS(PARÂMETROS!$C$8:$C$33,PARÂMETROS!$G$8:$G$33,F15)),0)</f>
        <v>0.0929006944052391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29002.0106607408</v>
      </c>
      <c r="E16" s="21" t="n">
        <f aca="false">IFERROR(D16/IF(B16="Clientes",SUMIFS(PARÂMETROS!$B$8:$B$33,PARÂMETROS!$G$8:$G$33,F16),SUMIFS(PARÂMETROS!$C$8:$C$33,PARÂMETROS!$G$8:$G$33,F16)),0)</f>
        <v>0.148848101603552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25534.92</v>
      </c>
      <c r="E17" s="21" t="n">
        <f aca="false">IFERROR(D17/IF(B17="Clientes",SUMIFS(PARÂMETROS!$B$8:$B$33,PARÂMETROS!$G$8:$G$33,F17),SUMIFS(PARÂMETROS!$C$8:$C$33,PARÂMETROS!$G$8:$G$33,F17)),0)</f>
        <v>0.131053822821451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53201.41</v>
      </c>
      <c r="E18" s="21" t="n">
        <f aca="false">IFERROR(D18/IF(B18="Clientes",SUMIFS(PARÂMETROS!$B$8:$B$33,PARÂMETROS!$G$8:$G$33,F18),SUMIFS(PARÂMETROS!$C$8:$C$33,PARÂMETROS!$G$8:$G$33,F18)),0)</f>
        <v>50.716310772164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66925.37</v>
      </c>
      <c r="E19" s="21" t="n">
        <f aca="false">IFERROR(D19/IF(B19="Clientes",SUMIFS(PARÂMETROS!$B$8:$B$33,PARÂMETROS!$G$8:$G$33,F19),SUMIFS(PARÂMETROS!$C$8:$C$33,PARÂMETROS!$G$8:$G$33,F19)),0)</f>
        <v>0.343483573954415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185396.9</v>
      </c>
      <c r="E20" s="21" t="n">
        <f aca="false">IFERROR(D20/IF(B20="Clientes",SUMIFS(PARÂMETROS!$B$8:$B$33,PARÂMETROS!$G$8:$G$33,F20),SUMIFS(PARÂMETROS!$C$8:$C$33,PARÂMETROS!$G$8:$G$33,F20)),0)</f>
        <v>0.951519428462916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128128.96</v>
      </c>
      <c r="E21" s="21" t="n">
        <f aca="false">IFERROR(D21/IF(B21="Clientes",SUMIFS(PARÂMETROS!$B$8:$B$33,PARÂMETROS!$G$8:$G$33,F21),SUMIFS(PARÂMETROS!$C$8:$C$33,PARÂMETROS!$G$8:$G$33,F21)),0)</f>
        <v>0.657601042890943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135741.66</v>
      </c>
      <c r="E22" s="21" t="n">
        <f aca="false">IFERROR(D22/IF(B22="Clientes",SUMIFS(PARÂMETROS!$B$8:$B$33,PARÂMETROS!$G$8:$G$33,F22),SUMIFS(PARÂMETROS!$C$8:$C$33,PARÂMETROS!$G$8:$G$33,F22)),0)</f>
        <v>0.696671987189686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78459.66</v>
      </c>
      <c r="E24" s="21" t="n">
        <f aca="false">IFERROR(D24/IF(B24="Clientes",SUMIFS(PARÂMETROS!$B$8:$B$33,PARÂMETROS!$G$8:$G$33,F24),SUMIFS(PARÂMETROS!$C$8:$C$33,PARÂMETROS!$G$8:$G$33,F24)),0)</f>
        <v>0.402681440955025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126268.959</v>
      </c>
      <c r="E25" s="21" t="n">
        <f aca="false">IFERROR(D25/IF(B25="Clientes",SUMIFS(PARÂMETROS!$B$8:$B$33,PARÂMETROS!$G$8:$G$33,F25),SUMIFS(PARÂMETROS!$C$8:$C$33,PARÂMETROS!$G$8:$G$33,F25)),0)</f>
        <v>0.648054890347613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43422.4992</v>
      </c>
      <c r="E26" s="21" t="n">
        <f aca="false">IFERROR(D26/IF(B26="Clientes",SUMIFS(PARÂMETROS!$B$8:$B$33,PARÂMETROS!$G$8:$G$33,F26),SUMIFS(PARÂMETROS!$C$8:$C$33,PARÂMETROS!$G$8:$G$33,F26)),0)</f>
        <v>0.222858913073603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139584.1668</v>
      </c>
      <c r="E27" s="21" t="n">
        <f aca="false">IFERROR(D27/IF(B27="Clientes",SUMIFS(PARÂMETROS!$B$8:$B$33,PARÂMETROS!$G$8:$G$33,F27),SUMIFS(PARÂMETROS!$C$8:$C$33,PARÂMETROS!$G$8:$G$33,F27)),0)</f>
        <v>0.716393028232988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145737.2604</v>
      </c>
      <c r="E28" s="21" t="n">
        <f aca="false">IFERROR(D28/IF(B28="Clientes",SUMIFS(PARÂMETROS!$B$8:$B$33,PARÂMETROS!$G$8:$G$33,F28),SUMIFS(PARÂMETROS!$C$8:$C$33,PARÂMETROS!$G$8:$G$33,F28)),0)</f>
        <v>0.747972780135802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47779.6</v>
      </c>
      <c r="E29" s="21" t="n">
        <f aca="false">IFERROR(D29/IF(B29="Clientes",SUMIFS(PARÂMETROS!$B$8:$B$33,PARÂMETROS!$G$8:$G$33,F29),SUMIFS(PARÂMETROS!$C$8:$C$33,PARÂMETROS!$G$8:$G$33,F29)),0)</f>
        <v>45.5477597712107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35576.53</v>
      </c>
      <c r="E30" s="21" t="n">
        <f aca="false">IFERROR(D30/IF(B30="Clientes",SUMIFS(PARÂMETROS!$B$8:$B$33,PARÂMETROS!$G$8:$G$33,F30),SUMIFS(PARÂMETROS!$C$8:$C$33,PARÂMETROS!$G$8:$G$33,F30)),0)</f>
        <v>0.182590752554621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57777.9604</v>
      </c>
      <c r="E32" s="21" t="n">
        <f aca="false">IFERROR(D32/IF(B32="Clientes",SUMIFS(PARÂMETROS!$B$8:$B$33,PARÂMETROS!$G$8:$G$33,F32),SUMIFS(PARÂMETROS!$C$8:$C$33,PARÂMETROS!$G$8:$G$33,F32)),0)</f>
        <v>0.296535982303701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32743.900001</v>
      </c>
      <c r="E33" s="21" t="n">
        <f aca="false">IFERROR(D33/IF(B33="Clientes",SUMIFS(PARÂMETROS!$B$8:$B$33,PARÂMETROS!$G$8:$G$33,F33),SUMIFS(PARÂMETROS!$C$8:$C$33,PARÂMETROS!$G$8:$G$33,F33)),0)</f>
        <v>0.168052739903409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95776.24</v>
      </c>
      <c r="E34" s="21" t="n">
        <f aca="false">IFERROR(D34/IF(B34="Clientes",SUMIFS(PARÂMETROS!$B$8:$B$33,PARÂMETROS!$G$8:$G$33,F34),SUMIFS(PARÂMETROS!$C$8:$C$33,PARÂMETROS!$G$8:$G$33,F34)),0)</f>
        <v>0.491555970704619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13648.4</v>
      </c>
      <c r="E35" s="21" t="n">
        <f aca="false">IFERROR(D35/IF(B35="Clientes",SUMIFS(PARÂMETROS!$B$8:$B$33,PARÂMETROS!$G$8:$G$33,F35),SUMIFS(PARÂMETROS!$C$8:$C$33,PARÂMETROS!$G$8:$G$33,F35)),0)</f>
        <v>0.0700481926474136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29545.3599</v>
      </c>
      <c r="E38" s="21" t="n">
        <f aca="false">IFERROR(D38/IF(B38="Clientes",SUMIFS(PARÂMETROS!$B$8:$B$33,PARÂMETROS!$G$8:$G$33,F38),SUMIFS(PARÂMETROS!$C$8:$C$33,PARÂMETROS!$G$8:$G$33,F38)),0)</f>
        <v>0.151636753180766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2479492.55116174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50447.35</v>
      </c>
      <c r="E42" s="21" t="n">
        <f aca="false">IFERROR(D42/IF(B42="Clientes",SUMIFS(PARÂMETROS!$B$8:$B$33,PARÂMETROS!$G$8:$G$33,F42),SUMIFS(PARÂMETROS!$C$8:$C$33,PARÂMETROS!$G$8:$G$33,F42)),0)</f>
        <v>0.263670835794216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22965.57</v>
      </c>
      <c r="E43" s="21" t="n">
        <f aca="false">IFERROR(D43/IF(B43="Clientes",SUMIFS(PARÂMETROS!$B$8:$B$33,PARÂMETROS!$G$8:$G$33,F43),SUMIFS(PARÂMETROS!$C$8:$C$33,PARÂMETROS!$G$8:$G$33,F43)),0)</f>
        <v>21.8096581196581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38522.9303</v>
      </c>
      <c r="E44" s="21" t="n">
        <f aca="false">IFERROR(D44/IF(B44="Clientes",SUMIFS(PARÂMETROS!$B$8:$B$33,PARÂMETROS!$G$8:$G$33,F44),SUMIFS(PARÂMETROS!$C$8:$C$33,PARÂMETROS!$G$8:$G$33,F44)),0)</f>
        <v>36.5839793922127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20915.83</v>
      </c>
      <c r="E45" s="21" t="n">
        <f aca="false">IFERROR(D45/IF(B45="Clientes",SUMIFS(PARÂMETROS!$B$8:$B$33,PARÂMETROS!$G$8:$G$33,F45),SUMIFS(PARÂMETROS!$C$8:$C$33,PARÂMETROS!$G$8:$G$33,F45)),0)</f>
        <v>0.109319803268749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16398.2</v>
      </c>
      <c r="E46" s="21" t="n">
        <f aca="false">IFERROR(D46/IF(B46="Clientes",SUMIFS(PARÂMETROS!$B$8:$B$33,PARÂMETROS!$G$8:$G$33,F46),SUMIFS(PARÂMETROS!$C$8:$C$33,PARÂMETROS!$G$8:$G$33,F46)),0)</f>
        <v>0.0857077150637391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58575.19</v>
      </c>
      <c r="E47" s="21" t="n">
        <f aca="false">IFERROR(D47/IF(B47="Clientes",SUMIFS(PARÂMETROS!$B$8:$B$33,PARÂMETROS!$G$8:$G$33,F47),SUMIFS(PARÂMETROS!$C$8:$C$33,PARÂMETROS!$G$8:$G$33,F47)),0)</f>
        <v>0.306152241973166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161705.5361</v>
      </c>
      <c r="E48" s="21" t="n">
        <f aca="false">IFERROR(D48/IF(B48="Clientes",SUMIFS(PARÂMETROS!$B$8:$B$33,PARÂMETROS!$G$8:$G$33,F48),SUMIFS(PARÂMETROS!$C$8:$C$33,PARÂMETROS!$G$8:$G$33,F48)),0)</f>
        <v>0.845178861843859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52311.2762</v>
      </c>
      <c r="E49" s="21" t="n">
        <f aca="false">IFERROR(D49/IF(B49="Clientes",SUMIFS(PARÂMETROS!$B$8:$B$33,PARÂMETROS!$G$8:$G$33,F49),SUMIFS(PARÂMETROS!$C$8:$C$33,PARÂMETROS!$G$8:$G$33,F49)),0)</f>
        <v>0.273412932832271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46927.3</v>
      </c>
      <c r="E50" s="21" t="n">
        <f aca="false">IFERROR(D50/IF(B50="Clientes",SUMIFS(PARÂMETROS!$B$8:$B$33,PARÂMETROS!$G$8:$G$33,F50),SUMIFS(PARÂMETROS!$C$8:$C$33,PARÂMETROS!$G$8:$G$33,F50)),0)</f>
        <v>0.245272752930846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24899.91</v>
      </c>
      <c r="E51" s="21" t="n">
        <f aca="false">IFERROR(D51/IF(B51="Clientes",SUMIFS(PARÂMETROS!$B$8:$B$33,PARÂMETROS!$G$8:$G$33,F51),SUMIFS(PARÂMETROS!$C$8:$C$33,PARÂMETROS!$G$8:$G$33,F51)),0)</f>
        <v>0.130143210315324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18241.63</v>
      </c>
      <c r="E52" s="21" t="n">
        <f aca="false">IFERROR(D52/IF(B52="Clientes",SUMIFS(PARÂMETROS!$B$8:$B$33,PARÂMETROS!$G$8:$G$33,F52),SUMIFS(PARÂMETROS!$C$8:$C$33,PARÂMETROS!$G$8:$G$33,F52)),0)</f>
        <v>0.0953426855592781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27907.0633777778</v>
      </c>
      <c r="E53" s="21" t="n">
        <f aca="false">IFERROR(D53/IF(B53="Clientes",SUMIFS(PARÂMETROS!$B$8:$B$33,PARÂMETROS!$G$8:$G$33,F53),SUMIFS(PARÂMETROS!$C$8:$C$33,PARÂMETROS!$G$8:$G$33,F53)),0)</f>
        <v>0.145860560076611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23636.57</v>
      </c>
      <c r="E54" s="21" t="n">
        <f aca="false">IFERROR(D54/IF(B54="Clientes",SUMIFS(PARÂMETROS!$B$8:$B$33,PARÂMETROS!$G$8:$G$33,F54),SUMIFS(PARÂMETROS!$C$8:$C$33,PARÂMETROS!$G$8:$G$33,F54)),0)</f>
        <v>0.123540169448118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55262.36</v>
      </c>
      <c r="E55" s="21" t="n">
        <f aca="false">IFERROR(D55/IF(B55="Clientes",SUMIFS(PARÂMETROS!$B$8:$B$33,PARÂMETROS!$G$8:$G$33,F55),SUMIFS(PARÂMETROS!$C$8:$C$33,PARÂMETROS!$G$8:$G$33,F55)),0)</f>
        <v>52.480873694207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59417.29</v>
      </c>
      <c r="E56" s="21" t="n">
        <f aca="false">IFERROR(D56/IF(B56="Clientes",SUMIFS(PARÂMETROS!$B$8:$B$33,PARÂMETROS!$G$8:$G$33,F56),SUMIFS(PARÂMETROS!$C$8:$C$33,PARÂMETROS!$G$8:$G$33,F56)),0)</f>
        <v>0.31055360717515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185259.55</v>
      </c>
      <c r="E57" s="21" t="n">
        <f aca="false">IFERROR(D57/IF(B57="Clientes",SUMIFS(PARÂMETROS!$B$8:$B$33,PARÂMETROS!$G$8:$G$33,F57),SUMIFS(PARÂMETROS!$C$8:$C$33,PARÂMETROS!$G$8:$G$33,F57)),0)</f>
        <v>0.968287539134571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137885.81</v>
      </c>
      <c r="E58" s="21" t="n">
        <f aca="false">IFERROR(D58/IF(B58="Clientes",SUMIFS(PARÂMETROS!$B$8:$B$33,PARÂMETROS!$G$8:$G$33,F58),SUMIFS(PARÂMETROS!$C$8:$C$33,PARÂMETROS!$G$8:$G$33,F58)),0)</f>
        <v>0.720681398861635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122181.73</v>
      </c>
      <c r="E59" s="21" t="n">
        <f aca="false">IFERROR(D59/IF(B59="Clientes",SUMIFS(PARÂMETROS!$B$8:$B$33,PARÂMETROS!$G$8:$G$33,F59),SUMIFS(PARÂMETROS!$C$8:$C$33,PARÂMETROS!$G$8:$G$33,F59)),0)</f>
        <v>0.638601608764053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59915.85</v>
      </c>
      <c r="E61" s="21" t="n">
        <f aca="false">IFERROR(D61/IF(B61="Clientes",SUMIFS(PARÂMETROS!$B$8:$B$33,PARÂMETROS!$G$8:$G$33,F61),SUMIFS(PARÂMETROS!$C$8:$C$33,PARÂMETROS!$G$8:$G$33,F61)),0)</f>
        <v>0.313159407715586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56892.621</v>
      </c>
      <c r="E62" s="21" t="n">
        <f aca="false">IFERROR(D62/IF(B62="Clientes",SUMIFS(PARÂMETROS!$B$8:$B$33,PARÂMETROS!$G$8:$G$33,F62),SUMIFS(PARÂMETROS!$C$8:$C$33,PARÂMETROS!$G$8:$G$33,F62)),0)</f>
        <v>0.297358036241618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44676.8079</v>
      </c>
      <c r="E63" s="21" t="n">
        <f aca="false">IFERROR(D63/IF(B63="Clientes",SUMIFS(PARÂMETROS!$B$8:$B$33,PARÂMETROS!$G$8:$G$33,F63),SUMIFS(PARÂMETROS!$C$8:$C$33,PARÂMETROS!$G$8:$G$33,F63)),0)</f>
        <v>0.233510209745619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124871.9361</v>
      </c>
      <c r="E64" s="21" t="n">
        <f aca="false">IFERROR(D64/IF(B64="Clientes",SUMIFS(PARÂMETROS!$B$8:$B$33,PARÂMETROS!$G$8:$G$33,F64),SUMIFS(PARÂMETROS!$C$8:$C$33,PARÂMETROS!$G$8:$G$33,F64)),0)</f>
        <v>0.652662384817616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116934.28</v>
      </c>
      <c r="E65" s="21" t="n">
        <f aca="false">IFERROR(D65/IF(B65="Clientes",SUMIFS(PARÂMETROS!$B$8:$B$33,PARÂMETROS!$G$8:$G$33,F65),SUMIFS(PARÂMETROS!$C$8:$C$33,PARÂMETROS!$G$8:$G$33,F65)),0)</f>
        <v>0.611175004050657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47847.26</v>
      </c>
      <c r="E66" s="21" t="n">
        <f aca="false">IFERROR(D66/IF(B66="Clientes",SUMIFS(PARÂMETROS!$B$8:$B$33,PARÂMETROS!$G$8:$G$33,F66),SUMIFS(PARÂMETROS!$C$8:$C$33,PARÂMETROS!$G$8:$G$33,F66)),0)</f>
        <v>45.4389933523267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27200.18</v>
      </c>
      <c r="E67" s="21" t="n">
        <f aca="false">IFERROR(D67/IF(B67="Clientes",SUMIFS(PARÂMETROS!$B$8:$B$33,PARÂMETROS!$G$8:$G$33,F67),SUMIFS(PARÂMETROS!$C$8:$C$33,PARÂMETROS!$G$8:$G$33,F67)),0)</f>
        <v>0.14216592535293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61126.02</v>
      </c>
      <c r="E69" s="21" t="n">
        <f aca="false">IFERROR(D69/IF(B69="Clientes",SUMIFS(PARÂMETROS!$B$8:$B$33,PARÂMETROS!$G$8:$G$33,F69),SUMIFS(PARÂMETROS!$C$8:$C$33,PARÂMETROS!$G$8:$G$33,F69)),0)</f>
        <v>0.31948454739791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28520.53</v>
      </c>
      <c r="E70" s="21" t="n">
        <f aca="false">IFERROR(D70/IF(B70="Clientes",SUMIFS(PARÂMETROS!$B$8:$B$33,PARÂMETROS!$G$8:$G$33,F70),SUMIFS(PARÂMETROS!$C$8:$C$33,PARÂMETROS!$G$8:$G$33,F70)),0)</f>
        <v>0.149066937755779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84256.12</v>
      </c>
      <c r="E71" s="21" t="n">
        <f aca="false">IFERROR(D71/IF(B71="Clientes",SUMIFS(PARÂMETROS!$B$8:$B$33,PARÂMETROS!$G$8:$G$33,F71),SUMIFS(PARÂMETROS!$C$8:$C$33,PARÂMETROS!$G$8:$G$33,F71)),0)</f>
        <v>0.440377573473686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9900.32</v>
      </c>
      <c r="E72" s="21" t="n">
        <f aca="false">IFERROR(D72/IF(B72="Clientes",SUMIFS(PARÂMETROS!$B$8:$B$33,PARÂMETROS!$G$8:$G$33,F72),SUMIFS(PARÂMETROS!$C$8:$C$33,PARÂMETROS!$G$8:$G$33,F72)),0)</f>
        <v>0.0517455455842615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29616.01</v>
      </c>
      <c r="E75" s="21" t="n">
        <f aca="false">IFERROR(D75/IF(B75="Clientes",SUMIFS(PARÂMETROS!$B$8:$B$33,PARÂMETROS!$G$8:$G$33,F75),SUMIFS(PARÂMETROS!$C$8:$C$33,PARÂMETROS!$G$8:$G$33,F75)),0)</f>
        <v>0.154792632508742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2126142.31097778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77723.24</v>
      </c>
      <c r="E78" s="21" t="n">
        <f aca="false">IFERROR(D78/IF(B78="Clientes",SUMIFS(PARÂMETROS!$B$8:$B$33,PARÂMETROS!$G$8:$G$33,F78),SUMIFS(PARÂMETROS!$C$8:$C$33,PARÂMETROS!$G$8:$G$33,F78)),0)</f>
        <v>0.385740504538664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31737.12</v>
      </c>
      <c r="E79" s="21" t="n">
        <f aca="false">IFERROR(D79/IF(B79="Clientes",SUMIFS(PARÂMETROS!$B$8:$B$33,PARÂMETROS!$G$8:$G$33,F79),SUMIFS(PARÂMETROS!$C$8:$C$33,PARÂMETROS!$G$8:$G$33,F79)),0)</f>
        <v>29.116623853211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45681.1801</v>
      </c>
      <c r="E80" s="21" t="n">
        <f aca="false">IFERROR(D80/IF(B80="Clientes",SUMIFS(PARÂMETROS!$B$8:$B$33,PARÂMETROS!$G$8:$G$33,F80),SUMIFS(PARÂMETROS!$C$8:$C$33,PARÂMETROS!$G$8:$G$33,F80)),0)</f>
        <v>41.9093395412844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28252.4898</v>
      </c>
      <c r="E81" s="21" t="n">
        <f aca="false">IFERROR(D81/IF(B81="Clientes",SUMIFS(PARÂMETROS!$B$8:$B$33,PARÂMETROS!$G$8:$G$33,F81),SUMIFS(PARÂMETROS!$C$8:$C$33,PARÂMETROS!$G$8:$G$33,F81)),0)</f>
        <v>0.140217130293661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11235.9601</v>
      </c>
      <c r="E82" s="21" t="n">
        <f aca="false">IFERROR(D82/IF(B82="Clientes",SUMIFS(PARÂMETROS!$B$8:$B$33,PARÂMETROS!$G$8:$G$33,F82),SUMIFS(PARÂMETROS!$C$8:$C$33,PARÂMETROS!$G$8:$G$33,F82)),0)</f>
        <v>0.0557640792889012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63583.35</v>
      </c>
      <c r="E83" s="21" t="n">
        <f aca="false">IFERROR(D83/IF(B83="Clientes",SUMIFS(PARÂMETROS!$B$8:$B$33,PARÂMETROS!$G$8:$G$33,F83),SUMIFS(PARÂMETROS!$C$8:$C$33,PARÂMETROS!$G$8:$G$33,F83)),0)</f>
        <v>0.315564218749225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169218.6905</v>
      </c>
      <c r="E84" s="21" t="n">
        <f aca="false">IFERROR(D84/IF(B84="Clientes",SUMIFS(PARÂMETROS!$B$8:$B$33,PARÂMETROS!$G$8:$G$33,F84),SUMIFS(PARÂMETROS!$C$8:$C$33,PARÂMETROS!$G$8:$G$33,F84)),0)</f>
        <v>0.839832501203528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49774.8755</v>
      </c>
      <c r="E85" s="21" t="n">
        <f aca="false">IFERROR(D85/IF(B85="Clientes",SUMIFS(PARÂMETROS!$B$8:$B$33,PARÂMETROS!$G$8:$G$33,F85),SUMIFS(PARÂMETROS!$C$8:$C$33,PARÂMETROS!$G$8:$G$33,F85)),0)</f>
        <v>0.247032748360969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59328.035</v>
      </c>
      <c r="E86" s="21" t="n">
        <f aca="false">IFERROR(D86/IF(B86="Clientes",SUMIFS(PARÂMETROS!$B$8:$B$33,PARÂMETROS!$G$8:$G$33,F86),SUMIFS(PARÂMETROS!$C$8:$C$33,PARÂMETROS!$G$8:$G$33,F86)),0)</f>
        <v>0.29444508687733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34067.57</v>
      </c>
      <c r="E87" s="21" t="n">
        <f aca="false">IFERROR(D87/IF(B87="Clientes",SUMIFS(PARÂMETROS!$B$8:$B$33,PARÂMETROS!$G$8:$G$33,F87),SUMIFS(PARÂMETROS!$C$8:$C$33,PARÂMETROS!$G$8:$G$33,F87)),0)</f>
        <v>0.169077378145922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20221.09</v>
      </c>
      <c r="E88" s="21" t="n">
        <f aca="false">IFERROR(D88/IF(B88="Clientes",SUMIFS(PARÂMETROS!$B$8:$B$33,PARÂMETROS!$G$8:$G$33,F88),SUMIFS(PARÂMETROS!$C$8:$C$33,PARÂMETROS!$G$8:$G$33,F88)),0)</f>
        <v>0.100357286429667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28103.2633777778</v>
      </c>
      <c r="E89" s="21" t="n">
        <f aca="false">IFERROR(D89/IF(B89="Clientes",SUMIFS(PARÂMETROS!$B$8:$B$33,PARÂMETROS!$G$8:$G$33,F89),SUMIFS(PARÂMETROS!$C$8:$C$33,PARÂMETROS!$G$8:$G$33,F89)),0)</f>
        <v>0.13947651943649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29628.57</v>
      </c>
      <c r="E90" s="21" t="n">
        <f aca="false">IFERROR(D90/IF(B90="Clientes",SUMIFS(PARÂMETROS!$B$8:$B$33,PARÂMETROS!$G$8:$G$33,F90),SUMIFS(PARÂMETROS!$C$8:$C$33,PARÂMETROS!$G$8:$G$33,F90)),0)</f>
        <v>0.147046617466785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69384.91</v>
      </c>
      <c r="E91" s="21" t="n">
        <f aca="false">IFERROR(D91/IF(B91="Clientes",SUMIFS(PARÂMETROS!$B$8:$B$33,PARÂMETROS!$G$8:$G$33,F91),SUMIFS(PARÂMETROS!$C$8:$C$33,PARÂMETROS!$G$8:$G$33,F91)),0)</f>
        <v>63.655880733945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88582.37</v>
      </c>
      <c r="E92" s="21" t="n">
        <f aca="false">IFERROR(D92/IF(B92="Clientes",SUMIFS(PARÂMETROS!$B$8:$B$33,PARÂMETROS!$G$8:$G$33,F92),SUMIFS(PARÂMETROS!$C$8:$C$33,PARÂMETROS!$G$8:$G$33,F92)),0)</f>
        <v>0.439634375728941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182930.41</v>
      </c>
      <c r="E93" s="21" t="n">
        <f aca="false">IFERROR(D93/IF(B93="Clientes",SUMIFS(PARÂMETROS!$B$8:$B$33,PARÂMETROS!$G$8:$G$33,F93),SUMIFS(PARÂMETROS!$C$8:$C$33,PARÂMETROS!$G$8:$G$33,F93)),0)</f>
        <v>0.907883776446591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120400.34</v>
      </c>
      <c r="E94" s="21" t="n">
        <f aca="false">IFERROR(D94/IF(B94="Clientes",SUMIFS(PARÂMETROS!$B$8:$B$33,PARÂMETROS!$G$8:$G$33,F94),SUMIFS(PARÂMETROS!$C$8:$C$33,PARÂMETROS!$G$8:$G$33,F94)),0)</f>
        <v>0.597546987210347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124279.91</v>
      </c>
      <c r="E95" s="21" t="n">
        <f aca="false">IFERROR(D95/IF(B95="Clientes",SUMIFS(PARÂMETROS!$B$8:$B$33,PARÂMETROS!$G$8:$G$33,F95),SUMIFS(PARÂMETROS!$C$8:$C$33,PARÂMETROS!$G$8:$G$33,F95)),0)</f>
        <v>0.616801296335817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628524.72</v>
      </c>
      <c r="E97" s="21" t="n">
        <f aca="false">IFERROR(D97/IF(B97="Clientes",SUMIFS(PARÂMETROS!$B$8:$B$33,PARÂMETROS!$G$8:$G$33,F97),SUMIFS(PARÂMETROS!$C$8:$C$33,PARÂMETROS!$G$8:$G$33,F97)),0)</f>
        <v>3.11936870629457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113174.545</v>
      </c>
      <c r="E98" s="21" t="n">
        <f aca="false">IFERROR(D98/IF(B98="Clientes",SUMIFS(PARÂMETROS!$B$8:$B$33,PARÂMETROS!$G$8:$G$33,F98),SUMIFS(PARÂMETROS!$C$8:$C$33,PARÂMETROS!$G$8:$G$33,F98)),0)</f>
        <v>0.561685360636455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35572.274</v>
      </c>
      <c r="E99" s="21" t="n">
        <f aca="false">IFERROR(D99/IF(B99="Clientes",SUMIFS(PARÂMETROS!$B$8:$B$33,PARÂMETROS!$G$8:$G$33,F99),SUMIFS(PARÂMETROS!$C$8:$C$33,PARÂMETROS!$G$8:$G$33,F99)),0)</f>
        <v>0.176545225345053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219978.0165</v>
      </c>
      <c r="E100" s="21" t="n">
        <f aca="false">IFERROR(D100/IF(B100="Clientes",SUMIFS(PARÂMETROS!$B$8:$B$33,PARÂMETROS!$G$8:$G$33,F100),SUMIFS(PARÂMETROS!$C$8:$C$33,PARÂMETROS!$G$8:$G$33,F100)),0)</f>
        <v>1.09175107821193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127640.6599</v>
      </c>
      <c r="E101" s="21" t="n">
        <f aca="false">IFERROR(D101/IF(B101="Clientes",SUMIFS(PARÂMETROS!$B$8:$B$33,PARÂMETROS!$G$8:$G$33,F101),SUMIFS(PARÂMETROS!$C$8:$C$33,PARÂMETROS!$G$8:$G$33,F101)),0)</f>
        <v>0.633480700874977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30725.96</v>
      </c>
      <c r="E103" s="21" t="n">
        <f aca="false">IFERROR(D103/IF(B103="Clientes",SUMIFS(PARÂMETROS!$B$8:$B$33,PARÂMETROS!$G$8:$G$33,F103),SUMIFS(PARÂMETROS!$C$8:$C$33,PARÂMETROS!$G$8:$G$33,F103)),0)</f>
        <v>0.152492964946325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61130.92</v>
      </c>
      <c r="E105" s="21" t="n">
        <f aca="false">IFERROR(D105/IF(B105="Clientes",SUMIFS(PARÂMETROS!$B$8:$B$33,PARÂMETROS!$G$8:$G$33,F105),SUMIFS(PARÂMETROS!$C$8:$C$33,PARÂMETROS!$G$8:$G$33,F105)),0)</f>
        <v>0.303392806626599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34460.5203</v>
      </c>
      <c r="E106" s="21" t="n">
        <f aca="false">IFERROR(D106/IF(B106="Clientes",SUMIFS(PARÂMETROS!$B$8:$B$33,PARÂMETROS!$G$8:$G$33,F106),SUMIFS(PARÂMETROS!$C$8:$C$33,PARÂMETROS!$G$8:$G$33,F106)),0)</f>
        <v>0.171027590810508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79935.01</v>
      </c>
      <c r="E107" s="21" t="n">
        <f aca="false">IFERROR(D107/IF(B107="Clientes",SUMIFS(PARÂMETROS!$B$8:$B$33,PARÂMETROS!$G$8:$G$33,F107),SUMIFS(PARÂMETROS!$C$8:$C$33,PARÂMETROS!$G$8:$G$33,F107)),0)</f>
        <v>0.396717520881826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14471.07</v>
      </c>
      <c r="E108" s="21" t="n">
        <f aca="false">IFERROR(D108/IF(B108="Clientes",SUMIFS(PARÂMETROS!$B$8:$B$33,PARÂMETROS!$G$8:$G$33,F108),SUMIFS(PARÂMETROS!$C$8:$C$33,PARÂMETROS!$G$8:$G$33,F108)),0)</f>
        <v>0.0718199324039287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29435.8901</v>
      </c>
      <c r="E111" s="21" t="n">
        <f aca="false">IFERROR(D111/IF(B111="Clientes",SUMIFS(PARÂMETROS!$B$8:$B$33,PARÂMETROS!$G$8:$G$33,F111),SUMIFS(PARÂMETROS!$C$8:$C$33,PARÂMETROS!$G$8:$G$33,F111)),0)</f>
        <v>0.146090346963388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3072951.63017778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8502.43</v>
      </c>
      <c r="E114" s="1" t="n">
        <f aca="false">IFERROR(D114/IF(B114="Clientes",SUMIFS(PARÂMETROS!$B$8:$B$33,PARÂMETROS!$G$8:$G$33,F114),SUMIFS(PARÂMETROS!$C$8:$C$33,PARÂMETROS!$G$8:$G$33,F114)),0)</f>
        <v>0.043637338780454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7774.35</v>
      </c>
      <c r="E115" s="1" t="n">
        <f aca="false">IFERROR(D115/IF(B115="Clientes",SUMIFS(PARÂMETROS!$B$8:$B$33,PARÂMETROS!$G$8:$G$33,F115),SUMIFS(PARÂMETROS!$C$8:$C$33,PARÂMETROS!$G$8:$G$33,F115)),0)</f>
        <v>0.0406338363116549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7791.96</v>
      </c>
      <c r="E116" s="1" t="n">
        <f aca="false">IFERROR(D116/IF(B116="Clientes",SUMIFS(PARÂMETROS!$B$8:$B$33,PARÂMETROS!$G$8:$G$33,F116),SUMIFS(PARÂMETROS!$C$8:$C$33,PARÂMETROS!$G$8:$G$33,F116)),0)</f>
        <v>0.0386715039381412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34477.88</v>
      </c>
      <c r="E117" s="1" t="n">
        <f aca="false">IFERROR(D117/IF(B117="Clientes",SUMIFS(PARÂMETROS!$B$8:$B$33,PARÂMETROS!$G$8:$G$33,F117),SUMIFS(PARÂMETROS!$C$8:$C$33,PARÂMETROS!$G$8:$G$33,F117)),0)</f>
        <v>32.8673784556721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17458.54</v>
      </c>
      <c r="E118" s="1" t="n">
        <f aca="false">IFERROR(D118/IF(B118="Clientes",SUMIFS(PARÂMETROS!$B$8:$B$33,PARÂMETROS!$G$8:$G$33,F118),SUMIFS(PARÂMETROS!$C$8:$C$33,PARÂMETROS!$G$8:$G$33,F118)),0)</f>
        <v>16.5798100664767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28984.41</v>
      </c>
      <c r="E119" s="1" t="n">
        <f aca="false">IFERROR(D119/IF(B119="Clientes",SUMIFS(PARÂMETROS!$B$8:$B$33,PARÂMETROS!$G$8:$G$33,F119),SUMIFS(PARÂMETROS!$C$8:$C$33,PARÂMETROS!$G$8:$G$33,F119)),0)</f>
        <v>26.5912018348624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8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51.71</v>
      </c>
      <c r="F7" s="37" t="n">
        <f aca="false">IFERROR(D7*E7,0)</f>
        <v>51.71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f aca="false">IFERROR(D8*E8,0)</f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 t="n">
        <v>1</v>
      </c>
      <c r="E9" s="36" t="n">
        <v>150</v>
      </c>
      <c r="F9" s="37" t="n">
        <f aca="false">IFERROR(D9*E9,0)</f>
        <v>150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25.85</v>
      </c>
      <c r="F33" s="37" t="n">
        <f aca="false">IFERROR(D33*E33,0)</f>
        <v>25.85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0.08</v>
      </c>
      <c r="F34" s="22" t="n">
        <f aca="false">IFERROR(D34*E34,0)</f>
        <v>0.08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 t="n">
        <v>1</v>
      </c>
      <c r="E35" s="36" t="n">
        <v>30</v>
      </c>
      <c r="F35" s="37" t="n">
        <f aca="false">IFERROR(D35*E35,0)</f>
        <v>30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1.0099</v>
      </c>
      <c r="F43" s="37" t="n">
        <f aca="false">IFERROR(D43*E43,0)</f>
        <v>13.1287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81.5506</v>
      </c>
      <c r="F44" s="22" t="n">
        <f aca="false">IFERROR(D44*E44,0)</f>
        <v>1060.1578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112.03</v>
      </c>
      <c r="F45" s="37" t="n">
        <f aca="false">IFERROR(D45*E45,0)</f>
        <v>112.03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0.33</v>
      </c>
      <c r="F46" s="22" t="n">
        <f aca="false">IFERROR(D46*E46,0)</f>
        <v>0.33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 t="n">
        <v>3.3333</v>
      </c>
      <c r="E47" s="36" t="n">
        <v>30</v>
      </c>
      <c r="F47" s="37" t="n">
        <f aca="false">IFERROR(D47*E47,0)</f>
        <v>99.999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 t="n">
        <v>1</v>
      </c>
      <c r="E75" s="36" t="n">
        <v>1787.09</v>
      </c>
      <c r="F75" s="37" t="n">
        <f aca="false">IFERROR(D75*E75,0)</f>
        <v>1787.09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 t="n">
        <v>1</v>
      </c>
      <c r="E81" s="36" t="n">
        <v>40.52</v>
      </c>
      <c r="F81" s="37" t="n">
        <f aca="false">IFERROR(D81*E81,0)</f>
        <v>40.52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2</v>
      </c>
      <c r="E84" s="39" t="n">
        <v>50</v>
      </c>
      <c r="F84" s="22" t="n">
        <f aca="false">IFERROR(D84*E84,0)</f>
        <v>100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43.09</v>
      </c>
      <c r="F90" s="22" t="n">
        <f aca="false">IFERROR(D90*E90,0)</f>
        <v>43.09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0.13</v>
      </c>
      <c r="F91" s="37" t="n">
        <f aca="false">IFERROR(D91*E91,0)</f>
        <v>0.13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 t="n">
        <v>1</v>
      </c>
      <c r="E92" s="39" t="n">
        <v>60</v>
      </c>
      <c r="F92" s="22" t="n">
        <f aca="false">IFERROR(D92*E92,0)</f>
        <v>60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5</v>
      </c>
      <c r="E98" s="39" t="n">
        <v>50</v>
      </c>
      <c r="F98" s="22" t="n">
        <f aca="false">IFERROR(D98*E98,0)</f>
        <v>250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8.62</v>
      </c>
      <c r="F104" s="22" t="n">
        <f aca="false">IFERROR(D104*E104,0)</f>
        <v>8.62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0.03</v>
      </c>
      <c r="F105" s="37" t="n">
        <f aca="false">IFERROR(D105*E105,0)</f>
        <v>0.03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60.32</v>
      </c>
      <c r="F112" s="22" t="n">
        <f aca="false">IFERROR(D112*E112,0)</f>
        <v>60.32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0.18</v>
      </c>
      <c r="F113" s="37" t="n">
        <f aca="false">IFERROR(D113*E113,0)</f>
        <v>0.18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 t="n">
        <v>1</v>
      </c>
      <c r="E114" s="39" t="n">
        <v>60</v>
      </c>
      <c r="F114" s="22" t="n">
        <f aca="false">IFERROR(D114*E114,0)</f>
        <v>60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17.24</v>
      </c>
      <c r="F128" s="22" t="n">
        <f aca="false">IFERROR(D128*E128,0)</f>
        <v>17.24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f aca="false">IFERROR(D129*E129,0)</f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 t="n">
        <v>2</v>
      </c>
      <c r="E130" s="39" t="n">
        <v>30</v>
      </c>
      <c r="F130" s="22" t="n">
        <f aca="false">IFERROR(D130*E130,0)</f>
        <v>60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 t="n">
        <v>1</v>
      </c>
      <c r="E143" s="36" t="n">
        <v>1470</v>
      </c>
      <c r="F143" s="37" t="n">
        <f aca="false">IFERROR(D143*E143,0)</f>
        <v>1470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11</v>
      </c>
      <c r="E149" s="36" t="n">
        <v>42.73</v>
      </c>
      <c r="F149" s="37" t="n">
        <f aca="false">IFERROR(D149*E149,0)</f>
        <v>470.03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 t="n">
        <v>1</v>
      </c>
      <c r="E158" s="39" t="n">
        <v>150</v>
      </c>
      <c r="F158" s="22" t="n">
        <f aca="false">IFERROR(D158*E158,0)</f>
        <v>150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10</v>
      </c>
      <c r="E165" s="36" t="n">
        <v>18</v>
      </c>
      <c r="F165" s="37" t="n">
        <f aca="false">IFERROR(D165*E165,0)</f>
        <v>180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8</v>
      </c>
      <c r="E169" s="36" t="n">
        <v>89.275</v>
      </c>
      <c r="F169" s="37" t="n">
        <f aca="false">IFERROR(D169*E169,0)</f>
        <v>714.2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8</v>
      </c>
      <c r="E170" s="39" t="n">
        <v>206.25</v>
      </c>
      <c r="F170" s="22" t="n">
        <f aca="false">IFERROR(D170*E170,0)</f>
        <v>1650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68.94</v>
      </c>
      <c r="F171" s="37" t="n">
        <f aca="false">IFERROR(D171*E171,0)</f>
        <v>68.94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f aca="false">IFERROR(D172*E172,0)</f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 t="n">
        <v>1</v>
      </c>
      <c r="E173" s="36" t="n">
        <v>201.04</v>
      </c>
      <c r="F173" s="37" t="n">
        <f aca="false">IFERROR(D173*E173,0)</f>
        <v>201.04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8</v>
      </c>
      <c r="E174" s="39" t="n">
        <v>30137.1</v>
      </c>
      <c r="F174" s="22" t="n">
        <f aca="false">IFERROR(E174,0)</f>
        <v>30137.1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7</v>
      </c>
      <c r="E178" s="39" t="n">
        <v>50</v>
      </c>
      <c r="F178" s="22" t="n">
        <f aca="false">IFERROR(D178*E178,0)</f>
        <v>350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8</v>
      </c>
      <c r="E180" s="39" t="n">
        <v>9.92</v>
      </c>
      <c r="F180" s="22" t="n">
        <f aca="false">IFERROR(D180*E180,0)</f>
        <v>79.36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8</v>
      </c>
      <c r="E181" s="36" t="n">
        <v>2.05</v>
      </c>
      <c r="F181" s="37" t="n">
        <f aca="false">IFERROR(D181*E181,0)</f>
        <v>16.4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 t="n">
        <v>1</v>
      </c>
      <c r="E186" s="39" t="n">
        <v>130.52</v>
      </c>
      <c r="F186" s="22" t="n">
        <f aca="false">IFERROR(D186*E186,0)</f>
        <v>130.52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2</v>
      </c>
      <c r="E194" s="39" t="n">
        <v>50</v>
      </c>
      <c r="F194" s="22" t="n">
        <f aca="false">IFERROR(D194*E194,0)</f>
        <v>100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 t="n">
        <v>9</v>
      </c>
      <c r="E200" s="39" t="n">
        <v>30</v>
      </c>
      <c r="F200" s="22" t="n">
        <f aca="false">IFERROR(D200*E200,0)</f>
        <v>270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 t="n">
        <v>3</v>
      </c>
      <c r="E212" s="39" t="n">
        <v>30</v>
      </c>
      <c r="F212" s="22" t="n">
        <f aca="false">IFERROR(D212*E212,0)</f>
        <v>90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5</v>
      </c>
      <c r="E214" s="39" t="n">
        <v>50</v>
      </c>
      <c r="F214" s="22" t="n">
        <f aca="false">IFERROR(D214*E214,0)</f>
        <v>250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1.0099</v>
      </c>
      <c r="F218" s="22" t="n">
        <f aca="false">IFERROR(D218*E218,0)</f>
        <v>43.4257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81.5506</v>
      </c>
      <c r="F219" s="37" t="n">
        <f aca="false">IFERROR(D219*E219,0)</f>
        <v>3506.6758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370.56</v>
      </c>
      <c r="F220" s="22" t="n">
        <f aca="false">IFERROR(D220*E220,0)</f>
        <v>370.56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1.09</v>
      </c>
      <c r="F221" s="37" t="n">
        <f aca="false">IFERROR(D221*E221,0)</f>
        <v>1.09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 t="n">
        <v>3.3333</v>
      </c>
      <c r="E222" s="39" t="n">
        <v>30</v>
      </c>
      <c r="F222" s="22" t="n">
        <f aca="false">IFERROR(D222*E222,0)</f>
        <v>99.999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 t="n">
        <v>5</v>
      </c>
      <c r="E233" s="36" t="n">
        <v>30</v>
      </c>
      <c r="F233" s="37" t="n">
        <f aca="false">IFERROR(D233*E233,0)</f>
        <v>150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51.71</v>
      </c>
      <c r="F256" s="22" t="n">
        <f aca="false">IFERROR(D256*E256,0)</f>
        <v>51.71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f aca="false">IFERROR(D257*E257,0)</f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 t="n">
        <v>1</v>
      </c>
      <c r="E258" s="39" t="n">
        <v>70.52</v>
      </c>
      <c r="F258" s="22" t="n">
        <f aca="false">IFERROR(D258*E258,0)</f>
        <v>70.52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5</v>
      </c>
      <c r="E266" s="39" t="n">
        <v>50</v>
      </c>
      <c r="F266" s="22" t="n">
        <f aca="false">IFERROR(D266*E266,0)</f>
        <v>250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1.0099</v>
      </c>
      <c r="F270" s="22" t="n">
        <f aca="false">IFERROR(D270*E270,0)</f>
        <v>12.1188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81.5506</v>
      </c>
      <c r="F271" s="37" t="n">
        <f aca="false">IFERROR(D271*E271,0)</f>
        <v>978.6072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103.41</v>
      </c>
      <c r="F272" s="22" t="n">
        <f aca="false">IFERROR(D272*E272,0)</f>
        <v>103.41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f aca="false">IFERROR(D273*E273,0)</f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 t="n">
        <v>3.3333</v>
      </c>
      <c r="E274" s="39" t="n">
        <v>30</v>
      </c>
      <c r="F274" s="22" t="n">
        <f aca="false">IFERROR(D274*E274,0)</f>
        <v>99.999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 t="n">
        <v>1</v>
      </c>
      <c r="E288" s="39" t="n">
        <v>160.52</v>
      </c>
      <c r="F288" s="22" t="n">
        <f aca="false">IFERROR(D288*E288,0)</f>
        <v>160.52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1.0099</v>
      </c>
      <c r="F305" s="37" t="n">
        <f aca="false">IFERROR(D305*E305,0)</f>
        <v>8.0792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81.5506</v>
      </c>
      <c r="F306" s="22" t="n">
        <f aca="false">IFERROR(D306*E306,0)</f>
        <v>652.4048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68.94</v>
      </c>
      <c r="F307" s="37" t="n">
        <f aca="false">IFERROR(D307*E307,0)</f>
        <v>68.94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f aca="false">IFERROR(D308*E308,0)</f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1.0099</v>
      </c>
      <c r="F316" s="22" t="n">
        <f aca="false">IFERROR(D316*E316,0)</f>
        <v>33.3267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81.5506</v>
      </c>
      <c r="F317" s="37" t="n">
        <f aca="false">IFERROR(D317*E317,0)</f>
        <v>2691.1698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284.38</v>
      </c>
      <c r="F318" s="22" t="n">
        <f aca="false">IFERROR(D318*E318,0)</f>
        <v>284.38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0.83</v>
      </c>
      <c r="F319" s="37" t="n">
        <f aca="false">IFERROR(D319*E319,0)</f>
        <v>0.83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 t="n">
        <v>1</v>
      </c>
      <c r="E320" s="39" t="n">
        <v>30</v>
      </c>
      <c r="F320" s="22" t="n">
        <f aca="false">IFERROR(D320*E320,0)</f>
        <v>30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10</v>
      </c>
      <c r="E327" s="36" t="n">
        <v>1.0099</v>
      </c>
      <c r="F327" s="37" t="n">
        <f aca="false">IFERROR(D327*E327,0)</f>
        <v>10.099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10</v>
      </c>
      <c r="E328" s="39" t="n">
        <v>81.5506</v>
      </c>
      <c r="F328" s="22" t="n">
        <f aca="false">IFERROR(D328*E328,0)</f>
        <v>815.506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86.18</v>
      </c>
      <c r="F329" s="37" t="n">
        <f aca="false">IFERROR(D329*E329,0)</f>
        <v>86.18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0.25</v>
      </c>
      <c r="F330" s="22" t="n">
        <f aca="false">IFERROR(D330*E330,0)</f>
        <v>0.25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8</v>
      </c>
      <c r="E367" s="36" t="n">
        <v>29.74</v>
      </c>
      <c r="F367" s="37" t="n">
        <f aca="false">IFERROR(D367*E367,0)</f>
        <v>237.92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8</v>
      </c>
      <c r="E368" s="39" t="n">
        <v>43.54</v>
      </c>
      <c r="F368" s="22" t="n">
        <f aca="false">IFERROR(D368*E368,0)</f>
        <v>348.32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8</v>
      </c>
      <c r="E369" s="36" t="n">
        <v>47.66</v>
      </c>
      <c r="F369" s="37" t="n">
        <f aca="false">IFERROR(D369*E369,0)</f>
        <v>381.28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10</v>
      </c>
      <c r="E405" s="36" t="n">
        <v>47.66</v>
      </c>
      <c r="F405" s="37" t="n">
        <f aca="false">IFERROR(D405*E405,0)</f>
        <v>476.6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13</v>
      </c>
      <c r="E458" s="39" t="n">
        <v>46.92</v>
      </c>
      <c r="F458" s="22" t="n">
        <f aca="false">IFERROR(D458*E458,0)</f>
        <v>609.96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11</v>
      </c>
      <c r="E464" s="39" t="n">
        <v>68.18</v>
      </c>
      <c r="F464" s="22" t="n">
        <f aca="false">IFERROR(D464*E464,0)</f>
        <v>749.98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3</v>
      </c>
      <c r="E539" s="36" t="n">
        <v>30</v>
      </c>
      <c r="F539" s="37" t="n">
        <f aca="false">IFERROR(D539*E539,0)</f>
        <v>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7</v>
      </c>
      <c r="E543" s="36" t="n">
        <v>30</v>
      </c>
      <c r="F543" s="37" t="n">
        <f aca="false">IFERROR(D543*E543,0)</f>
        <v>210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1</v>
      </c>
      <c r="E545" s="36" t="n">
        <v>30</v>
      </c>
      <c r="F545" s="37" t="n">
        <f aca="false">IFERROR(D545*E545,0)</f>
        <v>30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6</v>
      </c>
      <c r="E548" s="39" t="n">
        <v>30</v>
      </c>
      <c r="F548" s="22" t="n">
        <f aca="false">IFERROR(D548*E548,0)</f>
        <v>180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3</v>
      </c>
      <c r="E553" s="36" t="n">
        <v>30</v>
      </c>
      <c r="F553" s="37" t="n">
        <f aca="false">IFERROR(D553*E553,0)</f>
        <v>90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4</v>
      </c>
      <c r="E555" s="36" t="n">
        <v>30</v>
      </c>
      <c r="F555" s="37" t="n">
        <f aca="false">IFERROR(D555*E555,0)</f>
        <v>120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45.67</v>
      </c>
      <c r="F559" s="37" t="n">
        <f aca="false">IFERROR(D559*E559,0)</f>
        <v>45.67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f aca="false">IFERROR(D560*E560,0)</f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 t="n">
        <v>1</v>
      </c>
      <c r="E561" s="36" t="n">
        <v>150</v>
      </c>
      <c r="F561" s="37" t="n">
        <f aca="false">IFERROR(D561*E561,0)</f>
        <v>150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36.54</v>
      </c>
      <c r="F585" s="37" t="n">
        <f aca="false">IFERROR(D585*E585,0)</f>
        <v>36.54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f aca="false">IFERROR(D586*E586,0)</f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 t="n">
        <v>1</v>
      </c>
      <c r="E587" s="36" t="n">
        <v>30</v>
      </c>
      <c r="F587" s="37" t="n">
        <f aca="false">IFERROR(D587*E587,0)</f>
        <v>30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0.2708</v>
      </c>
      <c r="F595" s="37" t="n">
        <f aca="false">IFERROR(D595*E595,0)</f>
        <v>2.9788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458.8941</v>
      </c>
      <c r="F596" s="22" t="n">
        <f aca="false">IFERROR(D596*E596,0)</f>
        <v>5047.8351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100.48</v>
      </c>
      <c r="F597" s="37" t="n">
        <f aca="false">IFERROR(D597*E597,0)</f>
        <v>100.48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0.29</v>
      </c>
      <c r="F598" s="22" t="n">
        <f aca="false">IFERROR(D598*E598,0)</f>
        <v>0.29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 t="n">
        <v>3.3333</v>
      </c>
      <c r="E599" s="36" t="n">
        <v>30</v>
      </c>
      <c r="F599" s="37" t="n">
        <f aca="false">IFERROR(D599*E599,0)</f>
        <v>99.999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 t="n">
        <v>1</v>
      </c>
      <c r="E627" s="36" t="n">
        <v>1787.15</v>
      </c>
      <c r="F627" s="37" t="n">
        <f aca="false">IFERROR(D627*E627,0)</f>
        <v>1787.15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 t="n">
        <v>1</v>
      </c>
      <c r="E633" s="36" t="n">
        <v>40.52</v>
      </c>
      <c r="F633" s="37" t="n">
        <f aca="false">IFERROR(D633*E633,0)</f>
        <v>40.52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36.54</v>
      </c>
      <c r="F643" s="37" t="n">
        <f aca="false">IFERROR(D643*E643,0)</f>
        <v>36.54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f aca="false">IFERROR(D644*E644,0)</f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 t="n">
        <v>1</v>
      </c>
      <c r="E645" s="36" t="n">
        <v>60</v>
      </c>
      <c r="F645" s="37" t="n">
        <f aca="false">IFERROR(D645*E645,0)</f>
        <v>60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9.13</v>
      </c>
      <c r="F657" s="37" t="n">
        <f aca="false">IFERROR(D657*E657,0)</f>
        <v>9.13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f aca="false">IFERROR(D658*E658,0)</f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63.94</v>
      </c>
      <c r="F665" s="37" t="n">
        <f aca="false">IFERROR(D665*E665,0)</f>
        <v>63.94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f aca="false">IFERROR(D666*E666,0)</f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 t="n">
        <v>1</v>
      </c>
      <c r="E667" s="36" t="n">
        <v>60</v>
      </c>
      <c r="F667" s="37" t="n">
        <f aca="false">IFERROR(D667*E667,0)</f>
        <v>60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18.27</v>
      </c>
      <c r="F679" s="37" t="n">
        <f aca="false">IFERROR(D679*E679,0)</f>
        <v>18.27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f aca="false">IFERROR(D680*E680,0)</f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 t="n">
        <v>2</v>
      </c>
      <c r="E681" s="36" t="n">
        <v>30</v>
      </c>
      <c r="F681" s="37" t="n">
        <f aca="false">IFERROR(D681*E681,0)</f>
        <v>60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 t="n">
        <v>1</v>
      </c>
      <c r="E694" s="39" t="n">
        <v>1470</v>
      </c>
      <c r="F694" s="22" t="n">
        <f aca="false">IFERROR(D694*E694,0)</f>
        <v>1470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 t="n">
        <v>1</v>
      </c>
      <c r="E710" s="39" t="n">
        <v>150</v>
      </c>
      <c r="F710" s="22" t="n">
        <f aca="false">IFERROR(D710*E710,0)</f>
        <v>150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7</v>
      </c>
      <c r="E723" s="36" t="n">
        <v>3.1429</v>
      </c>
      <c r="F723" s="37" t="n">
        <f aca="false">IFERROR(D723*E723,0)</f>
        <v>22.0003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7</v>
      </c>
      <c r="E724" s="39" t="n">
        <v>133.1771</v>
      </c>
      <c r="F724" s="22" t="n">
        <f aca="false">IFERROR(D724*E724,0)</f>
        <v>932.2397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63.94</v>
      </c>
      <c r="F725" s="37" t="n">
        <f aca="false">IFERROR(D725*E725,0)</f>
        <v>63.94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f aca="false">IFERROR(D726*E726,0)</f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 t="n">
        <v>1</v>
      </c>
      <c r="E727" s="36" t="n">
        <v>201.04</v>
      </c>
      <c r="F727" s="37" t="n">
        <f aca="false">IFERROR(D727*E727,0)</f>
        <v>201.04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7</v>
      </c>
      <c r="E728" s="39" t="n">
        <v>27587.18</v>
      </c>
      <c r="F728" s="22" t="n">
        <f aca="false">IFERROR(E728,0)</f>
        <v>27587.18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7</v>
      </c>
      <c r="E732" s="39" t="n">
        <v>50</v>
      </c>
      <c r="F732" s="22" t="n">
        <f aca="false">IFERROR(D732*E732,0)</f>
        <v>350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7</v>
      </c>
      <c r="E734" s="39" t="n">
        <v>9.85</v>
      </c>
      <c r="F734" s="22" t="n">
        <f aca="false">IFERROR(D734*E734,0)</f>
        <v>68.95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7</v>
      </c>
      <c r="E735" s="36" t="n">
        <v>2.04</v>
      </c>
      <c r="F735" s="37" t="n">
        <f aca="false">IFERROR(D735*E735,0)</f>
        <v>14.28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 t="n">
        <v>1</v>
      </c>
      <c r="E739" s="36" t="n">
        <v>130.52</v>
      </c>
      <c r="F739" s="37" t="n">
        <f aca="false">IFERROR(D739*E739,0)</f>
        <v>130.52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 t="n">
        <v>9</v>
      </c>
      <c r="E753" s="36" t="n">
        <v>30</v>
      </c>
      <c r="F753" s="37" t="n">
        <f aca="false">IFERROR(D753*E753,0)</f>
        <v>270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 t="n">
        <v>3</v>
      </c>
      <c r="E765" s="36" t="n">
        <v>30</v>
      </c>
      <c r="F765" s="37" t="n">
        <f aca="false">IFERROR(D765*E765,0)</f>
        <v>90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0.2708</v>
      </c>
      <c r="F771" s="37" t="n">
        <f aca="false">IFERROR(D771*E771,0)</f>
        <v>11.9152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458.8941</v>
      </c>
      <c r="F772" s="22" t="n">
        <f aca="false">IFERROR(D772*E772,0)</f>
        <v>20191.3404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401.9</v>
      </c>
      <c r="F773" s="37" t="n">
        <f aca="false">IFERROR(D773*E773,0)</f>
        <v>401.9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1.15</v>
      </c>
      <c r="F774" s="22" t="n">
        <f aca="false">IFERROR(D774*E774,0)</f>
        <v>1.15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 t="n">
        <v>3.3333</v>
      </c>
      <c r="E775" s="36" t="n">
        <v>30</v>
      </c>
      <c r="F775" s="37" t="n">
        <f aca="false">IFERROR(D775*E775,0)</f>
        <v>99.999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 t="n">
        <v>5</v>
      </c>
      <c r="E788" s="39" t="n">
        <v>30</v>
      </c>
      <c r="F788" s="22" t="n">
        <f aca="false">IFERROR(D788*E788,0)</f>
        <v>150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36.54</v>
      </c>
      <c r="F810" s="22" t="n">
        <f aca="false">IFERROR(D810*E810,0)</f>
        <v>36.54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f aca="false">IFERROR(D811*E811,0)</f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 t="n">
        <v>1</v>
      </c>
      <c r="E812" s="39" t="n">
        <v>70.52</v>
      </c>
      <c r="F812" s="22" t="n">
        <f aca="false">IFERROR(D812*E812,0)</f>
        <v>70.52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0.2708</v>
      </c>
      <c r="F824" s="22" t="n">
        <f aca="false">IFERROR(D824*E824,0)</f>
        <v>3.7912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458.8941</v>
      </c>
      <c r="F825" s="37" t="n">
        <f aca="false">IFERROR(D825*E825,0)</f>
        <v>6424.5174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127.88</v>
      </c>
      <c r="F826" s="22" t="n">
        <f aca="false">IFERROR(D826*E826,0)</f>
        <v>127.88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0.37</v>
      </c>
      <c r="F827" s="37" t="n">
        <f aca="false">IFERROR(D827*E827,0)</f>
        <v>0.37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 t="n">
        <v>3.3333</v>
      </c>
      <c r="E828" s="39" t="n">
        <v>30</v>
      </c>
      <c r="F828" s="22" t="n">
        <f aca="false">IFERROR(D828*E828,0)</f>
        <v>99.999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 t="n">
        <v>1</v>
      </c>
      <c r="E841" s="36" t="n">
        <v>160.52</v>
      </c>
      <c r="F841" s="37" t="n">
        <f aca="false">IFERROR(D841*E841,0)</f>
        <v>160.52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0.2708</v>
      </c>
      <c r="F854" s="22" t="n">
        <f aca="false">IFERROR(D854*E854,0)</f>
        <v>2.1664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458.8941</v>
      </c>
      <c r="F855" s="37" t="n">
        <f aca="false">IFERROR(D855*E855,0)</f>
        <v>3671.1528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73.07</v>
      </c>
      <c r="F856" s="22" t="n">
        <f aca="false">IFERROR(D856*E856,0)</f>
        <v>73.07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0.21</v>
      </c>
      <c r="F857" s="37" t="n">
        <f aca="false">IFERROR(D857*E857,0)</f>
        <v>0.21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0.2708</v>
      </c>
      <c r="F865" s="37" t="n">
        <f aca="false">IFERROR(D865*E865,0)</f>
        <v>8.6656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458.8941</v>
      </c>
      <c r="F866" s="22" t="n">
        <f aca="false">IFERROR(D866*E866,0)</f>
        <v>14684.6112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292.29</v>
      </c>
      <c r="F867" s="37" t="n">
        <f aca="false">IFERROR(D867*E867,0)</f>
        <v>292.29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0.83</v>
      </c>
      <c r="F868" s="22" t="n">
        <f aca="false">IFERROR(D868*E868,0)</f>
        <v>0.83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 t="n">
        <v>1</v>
      </c>
      <c r="E869" s="36" t="n">
        <v>30</v>
      </c>
      <c r="F869" s="37" t="n">
        <f aca="false">IFERROR(D869*E869,0)</f>
        <v>30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10</v>
      </c>
      <c r="E876" s="39" t="n">
        <v>0.2708</v>
      </c>
      <c r="F876" s="22" t="n">
        <f aca="false">IFERROR(D876*E876,0)</f>
        <v>2.708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10</v>
      </c>
      <c r="E877" s="36" t="n">
        <v>458.8941</v>
      </c>
      <c r="F877" s="37" t="n">
        <f aca="false">IFERROR(D877*E877,0)</f>
        <v>4588.941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91.34</v>
      </c>
      <c r="F878" s="22" t="n">
        <f aca="false">IFERROR(D878*E878,0)</f>
        <v>91.34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0.26</v>
      </c>
      <c r="F879" s="37" t="n">
        <f aca="false">IFERROR(D879*E879,0)</f>
        <v>0.26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3</v>
      </c>
      <c r="E1008" s="39" t="n">
        <v>30</v>
      </c>
      <c r="F1008" s="22" t="n">
        <f aca="false">IFERROR(D1008*E1008,0)</f>
        <v>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7</v>
      </c>
      <c r="E1012" s="39" t="n">
        <v>30</v>
      </c>
      <c r="F1012" s="22" t="n">
        <f aca="false">IFERROR(D1012*E1012,0)</f>
        <v>210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1</v>
      </c>
      <c r="E1014" s="39" t="n">
        <v>30</v>
      </c>
      <c r="F1014" s="22" t="n">
        <f aca="false">IFERROR(D1014*E1014,0)</f>
        <v>30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6</v>
      </c>
      <c r="E1017" s="36" t="n">
        <v>30</v>
      </c>
      <c r="F1017" s="37" t="n">
        <f aca="false">IFERROR(D1017*E1017,0)</f>
        <v>180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3</v>
      </c>
      <c r="E1022" s="39" t="n">
        <v>30</v>
      </c>
      <c r="F1022" s="22" t="n">
        <f aca="false">IFERROR(D1022*E1022,0)</f>
        <v>90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4</v>
      </c>
      <c r="E1024" s="39" t="n">
        <v>30</v>
      </c>
      <c r="F1024" s="22" t="n">
        <f aca="false">IFERROR(D1024*E1024,0)</f>
        <v>120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44.19</v>
      </c>
      <c r="F1028" s="22" t="n">
        <f aca="false">IFERROR(D1028*E1028,0)</f>
        <v>44.19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 t="n">
        <v>1</v>
      </c>
      <c r="E1030" s="39" t="n">
        <v>150</v>
      </c>
      <c r="F1030" s="22" t="n">
        <f aca="false">IFERROR(D1030*E1030,0)</f>
        <v>150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35.35</v>
      </c>
      <c r="F1058" s="22" t="n">
        <f aca="false">IFERROR(D1058*E1058,0)</f>
        <v>35.35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 t="n">
        <v>1</v>
      </c>
      <c r="E1060" s="39" t="n">
        <v>30</v>
      </c>
      <c r="F1060" s="22" t="n">
        <f aca="false">IFERROR(D1060*E1060,0)</f>
        <v>30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0.3745</v>
      </c>
      <c r="F1071" s="37" t="n">
        <f aca="false">IFERROR(D1071*E1071,0)</f>
        <v>4.494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85.4586</v>
      </c>
      <c r="F1072" s="22" t="n">
        <f aca="false">IFERROR(D1072*E1072,0)</f>
        <v>1025.5032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106.06</v>
      </c>
      <c r="F1073" s="37" t="n">
        <f aca="false">IFERROR(D1073*E1073,0)</f>
        <v>106.06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 t="n">
        <v>3.3333</v>
      </c>
      <c r="E1075" s="36" t="n">
        <v>30</v>
      </c>
      <c r="F1075" s="37" t="n">
        <f aca="false">IFERROR(D1075*E1075,0)</f>
        <v>99.999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 t="n">
        <v>1</v>
      </c>
      <c r="E1112" s="39" t="n">
        <v>1787.15</v>
      </c>
      <c r="F1112" s="22" t="n">
        <f aca="false">IFERROR(D1112*E1112,0)</f>
        <v>1787.15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 t="n">
        <v>1</v>
      </c>
      <c r="E1117" s="36" t="n">
        <v>40.52</v>
      </c>
      <c r="F1117" s="37" t="n">
        <f aca="false">IFERROR(D1117*E1117,0)</f>
        <v>40.52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44.19</v>
      </c>
      <c r="F1129" s="37" t="n">
        <f aca="false">IFERROR(D1129*E1129,0)</f>
        <v>44.19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 t="n">
        <v>1</v>
      </c>
      <c r="E1131" s="36" t="n">
        <v>60</v>
      </c>
      <c r="F1131" s="37" t="n">
        <f aca="false">IFERROR(D1131*E1131,0)</f>
        <v>60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8.84</v>
      </c>
      <c r="F1145" s="37" t="n">
        <f aca="false">IFERROR(D1145*E1145,0)</f>
        <v>8.84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61.87</v>
      </c>
      <c r="F1156" s="22" t="n">
        <f aca="false">IFERROR(D1156*E1156,0)</f>
        <v>61.87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 t="n">
        <v>1</v>
      </c>
      <c r="E1158" s="39" t="n">
        <v>60</v>
      </c>
      <c r="F1158" s="22" t="n">
        <f aca="false">IFERROR(D1158*E1158,0)</f>
        <v>60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17.68</v>
      </c>
      <c r="F1172" s="22" t="n">
        <f aca="false">IFERROR(D1172*E1172,0)</f>
        <v>17.68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 t="n">
        <v>2</v>
      </c>
      <c r="E1174" s="39" t="n">
        <v>30</v>
      </c>
      <c r="F1174" s="22" t="n">
        <f aca="false">IFERROR(D1174*E1174,0)</f>
        <v>60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 t="n">
        <v>1</v>
      </c>
      <c r="E1189" s="36" t="n">
        <v>1470</v>
      </c>
      <c r="F1189" s="37" t="n">
        <f aca="false">IFERROR(D1189*E1189,0)</f>
        <v>1470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 t="n">
        <v>1</v>
      </c>
      <c r="E1205" s="36" t="n">
        <v>150</v>
      </c>
      <c r="F1205" s="37" t="n">
        <f aca="false">IFERROR(D1205*E1205,0)</f>
        <v>150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61.87</v>
      </c>
      <c r="F1220" s="22" t="n">
        <f aca="false">IFERROR(D1220*E1220,0)</f>
        <v>61.87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 t="n">
        <v>1</v>
      </c>
      <c r="E1222" s="39" t="n">
        <v>201.04</v>
      </c>
      <c r="F1222" s="22" t="n">
        <f aca="false">IFERROR(D1222*E1222,0)</f>
        <v>201.04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7</v>
      </c>
      <c r="E1223" s="36" t="n">
        <v>27270.03</v>
      </c>
      <c r="F1223" s="37" t="n">
        <f aca="false">IFERROR(E1223,0)</f>
        <v>27270.03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7</v>
      </c>
      <c r="E1227" s="36" t="n">
        <v>50</v>
      </c>
      <c r="F1227" s="37" t="n">
        <f aca="false">IFERROR(D1227*E1227,0)</f>
        <v>350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7</v>
      </c>
      <c r="E1228" s="39" t="n">
        <v>10.05</v>
      </c>
      <c r="F1228" s="22" t="n">
        <f aca="false">IFERROR(D1228*E1228,0)</f>
        <v>70.35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7</v>
      </c>
      <c r="E1229" s="36" t="n">
        <v>2.07</v>
      </c>
      <c r="F1229" s="37" t="n">
        <f aca="false">IFERROR(D1229*E1229,0)</f>
        <v>14.49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7</v>
      </c>
      <c r="E1230" s="39" t="n">
        <v>64.57</v>
      </c>
      <c r="F1230" s="22" t="n">
        <f aca="false">IFERROR(D1230*E1230,0)</f>
        <v>451.99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7</v>
      </c>
      <c r="E1231" s="36" t="n">
        <v>28.31</v>
      </c>
      <c r="F1231" s="37" t="n">
        <f aca="false">IFERROR(D1231*E1231,0)</f>
        <v>198.17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7</v>
      </c>
      <c r="E1232" s="39" t="n">
        <v>47.79</v>
      </c>
      <c r="F1232" s="22" t="n">
        <f aca="false">IFERROR(D1232*E1232,0)</f>
        <v>334.53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 t="n">
        <v>1</v>
      </c>
      <c r="E1238" s="39" t="n">
        <v>130.52</v>
      </c>
      <c r="F1238" s="22" t="n">
        <f aca="false">IFERROR(D1238*E1238,0)</f>
        <v>130.52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 t="n">
        <v>9</v>
      </c>
      <c r="E1255" s="36" t="n">
        <v>30</v>
      </c>
      <c r="F1255" s="37" t="n">
        <f aca="false">IFERROR(D1255*E1255,0)</f>
        <v>270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 t="n">
        <v>3</v>
      </c>
      <c r="E1271" s="36" t="n">
        <v>30</v>
      </c>
      <c r="F1271" s="37" t="n">
        <f aca="false">IFERROR(D1271*E1271,0)</f>
        <v>90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0.3745</v>
      </c>
      <c r="F1280" s="22" t="n">
        <f aca="false">IFERROR(D1280*E1280,0)</f>
        <v>15.3545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85.4586</v>
      </c>
      <c r="F1281" s="37" t="n">
        <f aca="false">IFERROR(D1281*E1281,0)</f>
        <v>3503.8026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362.37</v>
      </c>
      <c r="F1282" s="22" t="n">
        <f aca="false">IFERROR(D1282*E1282,0)</f>
        <v>362.37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 t="n">
        <v>3.3333</v>
      </c>
      <c r="E1284" s="39" t="n">
        <v>30</v>
      </c>
      <c r="F1284" s="22" t="n">
        <f aca="false">IFERROR(D1284*E1284,0)</f>
        <v>99.999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 t="n">
        <v>5</v>
      </c>
      <c r="E1307" s="36" t="n">
        <v>30</v>
      </c>
      <c r="F1307" s="37" t="n">
        <f aca="false">IFERROR(D1307*E1307,0)</f>
        <v>150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35.35</v>
      </c>
      <c r="F1337" s="37" t="n">
        <f aca="false">IFERROR(D1337*E1337,0)</f>
        <v>35.35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 t="n">
        <v>1</v>
      </c>
      <c r="E1339" s="36" t="n">
        <v>70.52</v>
      </c>
      <c r="F1339" s="37" t="n">
        <f aca="false">IFERROR(D1339*E1339,0)</f>
        <v>70.52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0.3745</v>
      </c>
      <c r="F1353" s="37" t="n">
        <f aca="false">IFERROR(D1353*E1353,0)</f>
        <v>3.745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85.4586</v>
      </c>
      <c r="F1354" s="22" t="n">
        <f aca="false">IFERROR(D1354*E1354,0)</f>
        <v>854.586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88.38</v>
      </c>
      <c r="F1355" s="37" t="n">
        <f aca="false">IFERROR(D1355*E1355,0)</f>
        <v>88.38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 t="n">
        <v>3.3333</v>
      </c>
      <c r="E1357" s="36" t="n">
        <v>30</v>
      </c>
      <c r="F1357" s="37" t="n">
        <f aca="false">IFERROR(D1357*E1357,0)</f>
        <v>99.999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 t="n">
        <v>1</v>
      </c>
      <c r="E1383" s="36" t="n">
        <v>160.52</v>
      </c>
      <c r="F1383" s="37" t="n">
        <f aca="false">IFERROR(D1383*E1383,0)</f>
        <v>160.52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0.3745</v>
      </c>
      <c r="F1398" s="22" t="n">
        <f aca="false">IFERROR(D1398*E1398,0)</f>
        <v>3.3705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85.4586</v>
      </c>
      <c r="F1399" s="37" t="n">
        <f aca="false">IFERROR(D1399*E1399,0)</f>
        <v>769.1274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79.54</v>
      </c>
      <c r="F1400" s="22" t="n">
        <f aca="false">IFERROR(D1400*E1400,0)</f>
        <v>79.54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0.3745</v>
      </c>
      <c r="F1419" s="37" t="n">
        <f aca="false">IFERROR(D1419*E1419,0)</f>
        <v>11.6095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85.4586</v>
      </c>
      <c r="F1420" s="22" t="n">
        <f aca="false">IFERROR(D1420*E1420,0)</f>
        <v>2649.2166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273.98</v>
      </c>
      <c r="F1421" s="37" t="n">
        <f aca="false">IFERROR(D1421*E1421,0)</f>
        <v>273.98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10</v>
      </c>
      <c r="E1439" s="36" t="n">
        <v>0.3745</v>
      </c>
      <c r="F1439" s="37" t="n">
        <f aca="false">IFERROR(D1439*E1439,0)</f>
        <v>3.745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10</v>
      </c>
      <c r="E1440" s="39" t="n">
        <v>85.4586</v>
      </c>
      <c r="F1440" s="22" t="n">
        <f aca="false">IFERROR(D1440*E1440,0)</f>
        <v>854.586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88.38</v>
      </c>
      <c r="F1441" s="37" t="n">
        <f aca="false">IFERROR(D1441*E1441,0)</f>
        <v>88.38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10</v>
      </c>
      <c r="E1457" s="36" t="n">
        <v>64.57</v>
      </c>
      <c r="F1457" s="37" t="n">
        <f aca="false">IFERROR(D1457*E1457,0)</f>
        <v>645.7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3</v>
      </c>
      <c r="E1572" s="39" t="n">
        <v>30</v>
      </c>
      <c r="F1572" s="22" t="n">
        <f aca="false">IFERROR(D1572*E1572,0)</f>
        <v>90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7</v>
      </c>
      <c r="E1576" s="39" t="n">
        <v>30</v>
      </c>
      <c r="F1576" s="22" t="n">
        <f aca="false">IFERROR(D1576*E1576,0)</f>
        <v>210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1</v>
      </c>
      <c r="E1578" s="39" t="n">
        <v>30</v>
      </c>
      <c r="F1578" s="22" t="n">
        <f aca="false">IFERROR(D1578*E1578,0)</f>
        <v>30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6</v>
      </c>
      <c r="E1581" s="36" t="n">
        <v>30</v>
      </c>
      <c r="F1581" s="37" t="n">
        <f aca="false">IFERROR(D1581*E1581,0)</f>
        <v>180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3</v>
      </c>
      <c r="E1586" s="39" t="n">
        <v>30</v>
      </c>
      <c r="F1586" s="22" t="n">
        <f aca="false">IFERROR(D1586*E1586,0)</f>
        <v>90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4</v>
      </c>
      <c r="E1588" s="39" t="n">
        <v>30</v>
      </c>
      <c r="F1588" s="22" t="n">
        <f aca="false">IFERROR(D1588*E1588,0)</f>
        <v>120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17.68</v>
      </c>
      <c r="F1645" s="1" t="n">
        <f aca="false">IFERROR(D1645*E1645,0)</f>
        <v>17.68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106.06</v>
      </c>
      <c r="F1646" s="1" t="n">
        <f aca="false">IFERROR(D1646*E1646,0)</f>
        <v>106.06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97.22</v>
      </c>
      <c r="F1647" s="1" t="n">
        <f aca="false">IFERROR(D1647*E1647,0)</f>
        <v>97.22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53.03</v>
      </c>
      <c r="F1648" s="1" t="n">
        <f aca="false">IFERROR(D1648*E1648,0)</f>
        <v>53.03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26.51</v>
      </c>
      <c r="F1649" s="1" t="n">
        <f aca="false">IFERROR(D1649*E1649,0)</f>
        <v>26.51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18.27</v>
      </c>
      <c r="F1650" s="1" t="n">
        <f aca="false">IFERROR(D1650*E1650,0)</f>
        <v>18.27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f aca="false">IFERROR(D1651*E1651,0)</f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109.61</v>
      </c>
      <c r="F1652" s="1" t="n">
        <f aca="false">IFERROR(D1652*E1652,0)</f>
        <v>109.61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f aca="false">IFERROR(D1653*E1653,0)</f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100.48</v>
      </c>
      <c r="F1654" s="1" t="n">
        <f aca="false">IFERROR(D1654*E1654,0)</f>
        <v>100.48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0.29</v>
      </c>
      <c r="F1655" s="1" t="n">
        <f aca="false">IFERROR(D1655*E1655,0)</f>
        <v>0.29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45.67</v>
      </c>
      <c r="F1656" s="1" t="n">
        <f aca="false">IFERROR(D1656*E1656,0)</f>
        <v>45.67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f aca="false">IFERROR(D1657*E1657,0)</f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27.4</v>
      </c>
      <c r="F1658" s="1" t="n">
        <f aca="false">IFERROR(D1658*E1658,0)</f>
        <v>27.4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f aca="false">IFERROR(D1659*E1659,0)</f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17.24</v>
      </c>
      <c r="F1660" s="1" t="n">
        <f aca="false">IFERROR(D1660*E1660,0)</f>
        <v>17.24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f aca="false">IFERROR(D1661*E1661,0)</f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103.41</v>
      </c>
      <c r="F1662" s="1" t="n">
        <f aca="false">IFERROR(D1662*E1662,0)</f>
        <v>103.41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f aca="false">IFERROR(D1663*E1663,0)</f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94.79</v>
      </c>
      <c r="F1664" s="1" t="n">
        <f aca="false">IFERROR(D1664*E1664,0)</f>
        <v>94.79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0.28</v>
      </c>
      <c r="F1665" s="1" t="n">
        <f aca="false">IFERROR(D1665*E1665,0)</f>
        <v>0.28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60.32</v>
      </c>
      <c r="F1666" s="1" t="n">
        <f aca="false">IFERROR(D1666*E1666,0)</f>
        <v>60.32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0.18</v>
      </c>
      <c r="F1667" s="1" t="n">
        <f aca="false">IFERROR(D1667*E1667,0)</f>
        <v>0.18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25.85</v>
      </c>
      <c r="F1668" s="1" t="n">
        <f aca="false">IFERROR(D1668*E1668,0)</f>
        <v>25.85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0.08</v>
      </c>
      <c r="F1669" s="1" t="n">
        <f aca="false">IFERROR(D1669*E1669,0)</f>
        <v>0.08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80456.1006403699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80456.1006403699</v>
      </c>
      <c r="F4" s="11" t="n">
        <f aca="false">IFERROR(B4/B$12,0)</f>
        <v>0.033021012281887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159807.715855693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159807.715855693</v>
      </c>
      <c r="F5" s="16" t="n">
        <f aca="false">IFERROR(B5/B$12,0)</f>
        <v>0.0655887186429631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173491.70189955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173491.70189955</v>
      </c>
      <c r="F6" s="11" t="n">
        <f aca="false">IFERROR(B6/B$12,0)</f>
        <v>0.0712049375203746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44544.3303011087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44544.3303011087</v>
      </c>
      <c r="F7" s="16" t="n">
        <f aca="false">IFERROR(B7/B$12,0)</f>
        <v>0.0182820055440681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81917.6495311086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81917.6495311086</v>
      </c>
      <c r="F8" s="11" t="n">
        <f aca="false">IFERROR(B8/B$12,0)</f>
        <v>0.0336208651642357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57884.6674062909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57884.6674062909</v>
      </c>
      <c r="F9" s="16" t="n">
        <f aca="false">IFERROR(B9/B$12,0)</f>
        <v>0.0237571830867105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58212.3387364924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58212.3387364924</v>
      </c>
      <c r="F10" s="11" t="n">
        <f aca="false">IFERROR(B10/B$12,0)</f>
        <v>0.0238916668478285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1780197.73679113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1780197.73679113</v>
      </c>
      <c r="F11" s="16" t="n">
        <f aca="false">IFERROR(B11/B$12,0)</f>
        <v>0.730633610911933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2436512.24116174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2436512.24116174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69037.4572085028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69037.4572085028</v>
      </c>
      <c r="F14" s="11" t="n">
        <f aca="false">IFERROR(B14/B$22,0)</f>
        <v>0.0328607490257111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140201.003713006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140201.003713006</v>
      </c>
      <c r="F15" s="16" t="n">
        <f aca="false">IFERROR(B15/B$22,0)</f>
        <v>0.0667334832778063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150741.087164399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150741.087164399</v>
      </c>
      <c r="F16" s="11" t="n">
        <f aca="false">IFERROR(B16/B$22,0)</f>
        <v>0.0717503980225111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38447.0563888464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38447.0563888464</v>
      </c>
      <c r="F17" s="16" t="n">
        <f aca="false">IFERROR(B17/B$22,0)</f>
        <v>0.0183001970503578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71453.9850142677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71453.9850142677</v>
      </c>
      <c r="F18" s="11" t="n">
        <f aca="false">IFERROR(B18/B$22,0)</f>
        <v>0.0340109784366679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50495.9429183323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50495.9429183323</v>
      </c>
      <c r="F19" s="16" t="n">
        <f aca="false">IFERROR(B19/B$22,0)</f>
        <v>0.0240352784437661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51374.8013891453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51374.8013891453</v>
      </c>
      <c r="F20" s="11" t="n">
        <f aca="false">IFERROR(B20/B$22,0)</f>
        <v>0.0244536013195824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1529158.08718128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1529158.08718128</v>
      </c>
      <c r="F21" s="16" t="n">
        <f aca="false">IFERROR(B21/B$22,0)</f>
        <v>0.727855314423597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2100909.42097778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2100909.42097778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98861.0013900554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98861.0013900554</v>
      </c>
      <c r="F24" s="11" t="n">
        <f aca="false">IFERROR(B24/B$32,0)</f>
        <v>0.0325610325223014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185542.770748333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185542.770748333</v>
      </c>
      <c r="F25" s="16" t="n">
        <f aca="false">IFERROR(B25/B$32,0)</f>
        <v>0.0611106918569216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213209.994900822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213209.994900822</v>
      </c>
      <c r="F26" s="11" t="n">
        <f aca="false">IFERROR(B26/B$32,0)</f>
        <v>0.0702232172487757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54386.5471279202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54386.5471279202</v>
      </c>
      <c r="F27" s="16" t="n">
        <f aca="false">IFERROR(B27/B$32,0)</f>
        <v>0.0179128483922683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102594.682790364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102594.682790364</v>
      </c>
      <c r="F28" s="11" t="n">
        <f aca="false">IFERROR(B28/B$32,0)</f>
        <v>0.0337907643659401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70401.997324614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70401.997324614</v>
      </c>
      <c r="F29" s="16" t="n">
        <f aca="false">IFERROR(B29/B$32,0)</f>
        <v>0.0231877251119198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71918.6920442132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71918.6920442132</v>
      </c>
      <c r="F30" s="11" t="n">
        <f aca="false">IFERROR(B30/B$32,0)</f>
        <v>0.023687266340482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2239259.57385146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2239259.57385146</v>
      </c>
      <c r="F31" s="16" t="n">
        <f aca="false">IFERROR(B31/B$32,0)</f>
        <v>0.737526454161391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3036175.26017778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3036175.26017778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257</v>
      </c>
      <c r="C6" s="47" t="n">
        <v>42</v>
      </c>
      <c r="D6" s="47" t="n">
        <v>36</v>
      </c>
      <c r="E6" s="47" t="n">
        <v>2</v>
      </c>
      <c r="F6" s="47" t="s">
        <v>258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259</v>
      </c>
      <c r="B7" s="47" t="s">
        <v>257</v>
      </c>
      <c r="C7" s="47" t="n">
        <v>9</v>
      </c>
      <c r="D7" s="47" t="n">
        <v>9</v>
      </c>
      <c r="E7" s="47" t="n">
        <v>0</v>
      </c>
      <c r="F7" s="47" t="s">
        <v>260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261</v>
      </c>
      <c r="B8" s="47" t="s">
        <v>257</v>
      </c>
      <c r="C8" s="47" t="n">
        <v>7</v>
      </c>
      <c r="D8" s="47" t="n">
        <v>6</v>
      </c>
      <c r="E8" s="47" t="n">
        <v>1</v>
      </c>
      <c r="F8" s="47" t="s">
        <v>260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262</v>
      </c>
      <c r="B9" s="47" t="s">
        <v>257</v>
      </c>
      <c r="C9" s="47" t="n">
        <v>11</v>
      </c>
      <c r="D9" s="47" t="n">
        <v>8</v>
      </c>
      <c r="E9" s="47" t="n">
        <v>1</v>
      </c>
      <c r="F9" s="47" t="s">
        <v>263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262</v>
      </c>
      <c r="B10" s="47" t="s">
        <v>264</v>
      </c>
      <c r="C10" s="47" t="n">
        <v>2</v>
      </c>
      <c r="D10" s="47" t="n">
        <v>1</v>
      </c>
      <c r="E10" s="47" t="n">
        <v>1</v>
      </c>
      <c r="F10" s="47" t="s">
        <v>260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265</v>
      </c>
      <c r="B11" s="47" t="s">
        <v>257</v>
      </c>
      <c r="C11" s="47" t="n">
        <v>18</v>
      </c>
      <c r="D11" s="47" t="n">
        <v>14</v>
      </c>
      <c r="E11" s="47" t="n">
        <v>2</v>
      </c>
      <c r="F11" s="47" t="s">
        <v>263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265</v>
      </c>
      <c r="B12" s="47" t="s">
        <v>266</v>
      </c>
      <c r="C12" s="47" t="n">
        <v>2</v>
      </c>
      <c r="D12" s="47" t="n">
        <v>1</v>
      </c>
      <c r="E12" s="47" t="n">
        <v>1</v>
      </c>
      <c r="F12" s="47" t="s">
        <v>260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265</v>
      </c>
      <c r="B13" s="47" t="s">
        <v>267</v>
      </c>
      <c r="C13" s="47" t="n">
        <v>5</v>
      </c>
      <c r="D13" s="47" t="n">
        <v>5</v>
      </c>
      <c r="E13" s="47" t="n">
        <v>0</v>
      </c>
      <c r="F13" s="47" t="s">
        <v>260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268</v>
      </c>
      <c r="B14" s="47" t="s">
        <v>269</v>
      </c>
      <c r="C14" s="47" t="n">
        <v>8</v>
      </c>
      <c r="D14" s="47" t="n">
        <v>7</v>
      </c>
      <c r="E14" s="47" t="n">
        <v>0</v>
      </c>
      <c r="F14" s="47" t="s">
        <v>270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268</v>
      </c>
      <c r="B15" s="47" t="s">
        <v>271</v>
      </c>
      <c r="C15" s="47" t="n">
        <v>2</v>
      </c>
      <c r="D15" s="47" t="n">
        <v>1</v>
      </c>
      <c r="E15" s="47" t="n">
        <v>0</v>
      </c>
      <c r="F15" s="47" t="s">
        <v>270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268</v>
      </c>
      <c r="B16" s="47" t="s">
        <v>272</v>
      </c>
      <c r="C16" s="47" t="n">
        <v>11</v>
      </c>
      <c r="D16" s="47" t="n">
        <v>9</v>
      </c>
      <c r="E16" s="47" t="n">
        <v>1</v>
      </c>
      <c r="F16" s="47" t="s">
        <v>273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274</v>
      </c>
      <c r="B17" s="47" t="s">
        <v>275</v>
      </c>
      <c r="C17" s="47" t="n">
        <v>1</v>
      </c>
      <c r="D17" s="47" t="n">
        <v>0</v>
      </c>
      <c r="E17" s="47" t="n">
        <v>0</v>
      </c>
      <c r="F17" s="47" t="s">
        <v>270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276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277</v>
      </c>
      <c r="E20" s="46" t="s">
        <v>251</v>
      </c>
      <c r="F20" s="46" t="s">
        <v>142</v>
      </c>
      <c r="G20" s="46" t="s">
        <v>278</v>
      </c>
      <c r="H20" s="46" t="s">
        <v>279</v>
      </c>
      <c r="I20" s="46" t="s">
        <v>280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257</v>
      </c>
      <c r="C21" s="47" t="s">
        <v>281</v>
      </c>
      <c r="D21" s="47" t="s">
        <v>220</v>
      </c>
      <c r="E21" s="47" t="s">
        <v>256</v>
      </c>
      <c r="F21" s="47" t="n">
        <v>1</v>
      </c>
      <c r="G21" s="48" t="n">
        <v>90050.2322774963</v>
      </c>
      <c r="H21" s="48" t="n">
        <f aca="false">F21*G21</f>
        <v>90050.2322774963</v>
      </c>
      <c r="I21" s="47" t="s">
        <v>282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257</v>
      </c>
      <c r="C22" s="47" t="s">
        <v>281</v>
      </c>
      <c r="D22" s="47" t="s">
        <v>283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284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257</v>
      </c>
      <c r="C23" s="47" t="s">
        <v>281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285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257</v>
      </c>
      <c r="C24" s="47" t="s">
        <v>281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285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257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285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257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284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257</v>
      </c>
      <c r="C27" s="47" t="s">
        <v>286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285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257</v>
      </c>
      <c r="C28" s="47" t="s">
        <v>286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285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257</v>
      </c>
      <c r="C29" s="47" t="s">
        <v>287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284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257</v>
      </c>
      <c r="C30" s="47" t="s">
        <v>287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284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257</v>
      </c>
      <c r="C31" s="47" t="s">
        <v>288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285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257</v>
      </c>
      <c r="C32" s="47" t="s">
        <v>289</v>
      </c>
      <c r="D32" s="47" t="s">
        <v>186</v>
      </c>
      <c r="E32" s="47" t="s">
        <v>256</v>
      </c>
      <c r="F32" s="47" t="n">
        <v>1</v>
      </c>
      <c r="G32" s="48" t="n">
        <v>370.8</v>
      </c>
      <c r="H32" s="48" t="n">
        <f aca="false">F32*G32</f>
        <v>370.8</v>
      </c>
      <c r="I32" s="47" t="s">
        <v>290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257</v>
      </c>
      <c r="C33" s="47" t="s">
        <v>281</v>
      </c>
      <c r="D33" s="47" t="s">
        <v>220</v>
      </c>
      <c r="E33" s="47" t="s">
        <v>259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291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257</v>
      </c>
      <c r="C34" s="47" t="s">
        <v>281</v>
      </c>
      <c r="D34" s="47" t="s">
        <v>283</v>
      </c>
      <c r="E34" s="47" t="s">
        <v>259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284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257</v>
      </c>
      <c r="C35" s="47" t="s">
        <v>281</v>
      </c>
      <c r="D35" s="47" t="s">
        <v>180</v>
      </c>
      <c r="E35" s="47" t="s">
        <v>259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285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257</v>
      </c>
      <c r="C36" s="47" t="s">
        <v>281</v>
      </c>
      <c r="D36" s="47" t="s">
        <v>181</v>
      </c>
      <c r="E36" s="47" t="s">
        <v>259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285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257</v>
      </c>
      <c r="C37" s="47" t="s">
        <v>44</v>
      </c>
      <c r="D37" s="47" t="s">
        <v>182</v>
      </c>
      <c r="E37" s="47" t="s">
        <v>259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285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257</v>
      </c>
      <c r="C38" s="47" t="s">
        <v>44</v>
      </c>
      <c r="D38" s="47" t="s">
        <v>221</v>
      </c>
      <c r="E38" s="47" t="s">
        <v>259</v>
      </c>
      <c r="F38" s="47" t="n">
        <v>1</v>
      </c>
      <c r="G38" s="48" t="n">
        <v>31.66</v>
      </c>
      <c r="H38" s="48" t="n">
        <f aca="false">F38*G38</f>
        <v>31.66</v>
      </c>
      <c r="I38" s="47" t="s">
        <v>284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257</v>
      </c>
      <c r="C39" s="47" t="s">
        <v>286</v>
      </c>
      <c r="D39" s="47" t="s">
        <v>157</v>
      </c>
      <c r="E39" s="47" t="s">
        <v>259</v>
      </c>
      <c r="F39" s="47" t="n">
        <v>9</v>
      </c>
      <c r="G39" s="48" t="n">
        <v>10.05</v>
      </c>
      <c r="H39" s="48" t="n">
        <f aca="false">F39*G39</f>
        <v>90.45</v>
      </c>
      <c r="I39" s="47" t="s">
        <v>285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257</v>
      </c>
      <c r="C40" s="47" t="s">
        <v>286</v>
      </c>
      <c r="D40" s="47" t="s">
        <v>158</v>
      </c>
      <c r="E40" s="47" t="s">
        <v>259</v>
      </c>
      <c r="F40" s="47" t="n">
        <v>9</v>
      </c>
      <c r="G40" s="48" t="n">
        <v>2.07</v>
      </c>
      <c r="H40" s="48" t="n">
        <f aca="false">F40*G40</f>
        <v>18.63</v>
      </c>
      <c r="I40" s="47" t="s">
        <v>285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257</v>
      </c>
      <c r="C41" s="47" t="s">
        <v>287</v>
      </c>
      <c r="D41" s="47" t="s">
        <v>183</v>
      </c>
      <c r="E41" s="47" t="s">
        <v>259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284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257</v>
      </c>
      <c r="C42" s="47" t="s">
        <v>287</v>
      </c>
      <c r="D42" s="47" t="s">
        <v>185</v>
      </c>
      <c r="E42" s="47" t="s">
        <v>259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284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257</v>
      </c>
      <c r="C43" s="47" t="s">
        <v>288</v>
      </c>
      <c r="D43" s="47" t="s">
        <v>179</v>
      </c>
      <c r="E43" s="47" t="s">
        <v>259</v>
      </c>
      <c r="F43" s="47" t="n">
        <v>9</v>
      </c>
      <c r="G43" s="48" t="n">
        <v>30</v>
      </c>
      <c r="H43" s="48" t="n">
        <f aca="false">F43*G43</f>
        <v>270</v>
      </c>
      <c r="I43" s="47" t="s">
        <v>285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257</v>
      </c>
      <c r="C44" s="47" t="s">
        <v>281</v>
      </c>
      <c r="D44" s="47" t="s">
        <v>220</v>
      </c>
      <c r="E44" s="47" t="s">
        <v>261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292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257</v>
      </c>
      <c r="C45" s="47" t="s">
        <v>281</v>
      </c>
      <c r="D45" s="47" t="s">
        <v>283</v>
      </c>
      <c r="E45" s="47" t="s">
        <v>261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284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257</v>
      </c>
      <c r="C46" s="47" t="s">
        <v>281</v>
      </c>
      <c r="D46" s="47" t="s">
        <v>180</v>
      </c>
      <c r="E46" s="47" t="s">
        <v>261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285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257</v>
      </c>
      <c r="C47" s="47" t="s">
        <v>281</v>
      </c>
      <c r="D47" s="47" t="s">
        <v>181</v>
      </c>
      <c r="E47" s="47" t="s">
        <v>261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285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257</v>
      </c>
      <c r="C48" s="47" t="s">
        <v>44</v>
      </c>
      <c r="D48" s="47" t="s">
        <v>182</v>
      </c>
      <c r="E48" s="47" t="s">
        <v>261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285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257</v>
      </c>
      <c r="C49" s="47" t="s">
        <v>44</v>
      </c>
      <c r="D49" s="47" t="s">
        <v>221</v>
      </c>
      <c r="E49" s="47" t="s">
        <v>261</v>
      </c>
      <c r="F49" s="47" t="n">
        <v>1</v>
      </c>
      <c r="G49" s="48" t="n">
        <v>24.62</v>
      </c>
      <c r="H49" s="48" t="n">
        <f aca="false">F49*G49</f>
        <v>24.62</v>
      </c>
      <c r="I49" s="47" t="s">
        <v>284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257</v>
      </c>
      <c r="C50" s="47" t="s">
        <v>286</v>
      </c>
      <c r="D50" s="47" t="s">
        <v>157</v>
      </c>
      <c r="E50" s="47" t="s">
        <v>261</v>
      </c>
      <c r="F50" s="47" t="n">
        <v>7</v>
      </c>
      <c r="G50" s="48" t="n">
        <v>10.05</v>
      </c>
      <c r="H50" s="48" t="n">
        <f aca="false">F50*G50</f>
        <v>70.35</v>
      </c>
      <c r="I50" s="47" t="s">
        <v>285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257</v>
      </c>
      <c r="C51" s="47" t="s">
        <v>286</v>
      </c>
      <c r="D51" s="47" t="s">
        <v>158</v>
      </c>
      <c r="E51" s="47" t="s">
        <v>261</v>
      </c>
      <c r="F51" s="47" t="n">
        <v>7</v>
      </c>
      <c r="G51" s="48" t="n">
        <v>2.07</v>
      </c>
      <c r="H51" s="48" t="n">
        <f aca="false">F51*G51</f>
        <v>14.49</v>
      </c>
      <c r="I51" s="47" t="s">
        <v>285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257</v>
      </c>
      <c r="C52" s="47" t="s">
        <v>287</v>
      </c>
      <c r="D52" s="47" t="s">
        <v>183</v>
      </c>
      <c r="E52" s="47" t="s">
        <v>261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284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257</v>
      </c>
      <c r="C53" s="47" t="s">
        <v>287</v>
      </c>
      <c r="D53" s="47" t="s">
        <v>185</v>
      </c>
      <c r="E53" s="47" t="s">
        <v>261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284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257</v>
      </c>
      <c r="C54" s="47" t="s">
        <v>288</v>
      </c>
      <c r="D54" s="47" t="s">
        <v>179</v>
      </c>
      <c r="E54" s="47" t="s">
        <v>261</v>
      </c>
      <c r="F54" s="47" t="n">
        <v>7</v>
      </c>
      <c r="G54" s="48" t="n">
        <v>30</v>
      </c>
      <c r="H54" s="48" t="n">
        <f aca="false">F54*G54</f>
        <v>210</v>
      </c>
      <c r="I54" s="47" t="s">
        <v>285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257</v>
      </c>
      <c r="C55" s="47" t="s">
        <v>289</v>
      </c>
      <c r="D55" s="47" t="s">
        <v>186</v>
      </c>
      <c r="E55" s="47" t="s">
        <v>261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293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257</v>
      </c>
      <c r="C56" s="47" t="s">
        <v>281</v>
      </c>
      <c r="D56" s="47" t="s">
        <v>220</v>
      </c>
      <c r="E56" s="47" t="s">
        <v>262</v>
      </c>
      <c r="F56" s="47" t="n">
        <v>1</v>
      </c>
      <c r="G56" s="48" t="n">
        <v>30187.4191733333</v>
      </c>
      <c r="H56" s="48" t="n">
        <f aca="false">F56*G56</f>
        <v>30187.4191733333</v>
      </c>
      <c r="I56" s="47" t="s">
        <v>294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257</v>
      </c>
      <c r="C57" s="47" t="s">
        <v>281</v>
      </c>
      <c r="D57" s="47" t="s">
        <v>283</v>
      </c>
      <c r="E57" s="47" t="s">
        <v>262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284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257</v>
      </c>
      <c r="C58" s="47" t="s">
        <v>281</v>
      </c>
      <c r="D58" s="47" t="s">
        <v>180</v>
      </c>
      <c r="E58" s="47" t="s">
        <v>262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285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257</v>
      </c>
      <c r="C59" s="47" t="s">
        <v>281</v>
      </c>
      <c r="D59" s="47" t="s">
        <v>181</v>
      </c>
      <c r="E59" s="47" t="s">
        <v>262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285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257</v>
      </c>
      <c r="C60" s="47" t="s">
        <v>44</v>
      </c>
      <c r="D60" s="47" t="s">
        <v>182</v>
      </c>
      <c r="E60" s="47" t="s">
        <v>262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285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257</v>
      </c>
      <c r="C61" s="47" t="s">
        <v>44</v>
      </c>
      <c r="D61" s="47" t="s">
        <v>221</v>
      </c>
      <c r="E61" s="47" t="s">
        <v>262</v>
      </c>
      <c r="F61" s="47" t="n">
        <v>1</v>
      </c>
      <c r="G61" s="48" t="n">
        <v>38.69</v>
      </c>
      <c r="H61" s="48" t="n">
        <f aca="false">F61*G61</f>
        <v>38.69</v>
      </c>
      <c r="I61" s="47" t="s">
        <v>284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257</v>
      </c>
      <c r="C62" s="47" t="s">
        <v>286</v>
      </c>
      <c r="D62" s="47" t="s">
        <v>157</v>
      </c>
      <c r="E62" s="47" t="s">
        <v>262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285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257</v>
      </c>
      <c r="C63" s="47" t="s">
        <v>286</v>
      </c>
      <c r="D63" s="47" t="s">
        <v>158</v>
      </c>
      <c r="E63" s="47" t="s">
        <v>262</v>
      </c>
      <c r="F63" s="47" t="n">
        <v>11</v>
      </c>
      <c r="G63" s="48" t="n">
        <v>2.07</v>
      </c>
      <c r="H63" s="48" t="n">
        <f aca="false">F63*G63</f>
        <v>22.77</v>
      </c>
      <c r="I63" s="47" t="s">
        <v>285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257</v>
      </c>
      <c r="C64" s="47" t="s">
        <v>287</v>
      </c>
      <c r="D64" s="47" t="s">
        <v>183</v>
      </c>
      <c r="E64" s="47" t="s">
        <v>262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284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257</v>
      </c>
      <c r="C65" s="47" t="s">
        <v>287</v>
      </c>
      <c r="D65" s="47" t="s">
        <v>185</v>
      </c>
      <c r="E65" s="47" t="s">
        <v>262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284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257</v>
      </c>
      <c r="C66" s="47" t="s">
        <v>288</v>
      </c>
      <c r="D66" s="47" t="s">
        <v>179</v>
      </c>
      <c r="E66" s="47" t="s">
        <v>262</v>
      </c>
      <c r="F66" s="47" t="n">
        <v>11</v>
      </c>
      <c r="G66" s="48" t="n">
        <v>30</v>
      </c>
      <c r="H66" s="48" t="n">
        <f aca="false">F66*G66</f>
        <v>330</v>
      </c>
      <c r="I66" s="47" t="s">
        <v>285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257</v>
      </c>
      <c r="C67" s="47" t="s">
        <v>289</v>
      </c>
      <c r="D67" s="47" t="s">
        <v>186</v>
      </c>
      <c r="E67" s="47" t="s">
        <v>262</v>
      </c>
      <c r="F67" s="47" t="n">
        <v>1</v>
      </c>
      <c r="G67" s="48" t="n">
        <v>0</v>
      </c>
      <c r="H67" s="48" t="n">
        <f aca="false">F67*G67</f>
        <v>0</v>
      </c>
      <c r="I67" s="47" t="s">
        <v>295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264</v>
      </c>
      <c r="C68" s="47" t="s">
        <v>281</v>
      </c>
      <c r="D68" s="47" t="s">
        <v>220</v>
      </c>
      <c r="E68" s="47" t="s">
        <v>262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296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264</v>
      </c>
      <c r="C69" s="47" t="s">
        <v>281</v>
      </c>
      <c r="D69" s="47" t="s">
        <v>180</v>
      </c>
      <c r="E69" s="47" t="s">
        <v>262</v>
      </c>
      <c r="F69" s="47" t="n">
        <v>2</v>
      </c>
      <c r="G69" s="48" t="n">
        <v>28.31</v>
      </c>
      <c r="H69" s="48" t="n">
        <f aca="false">F69*G69</f>
        <v>56.62</v>
      </c>
      <c r="I69" s="47" t="s">
        <v>285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264</v>
      </c>
      <c r="C70" s="47" t="s">
        <v>281</v>
      </c>
      <c r="D70" s="47" t="s">
        <v>181</v>
      </c>
      <c r="E70" s="47" t="s">
        <v>262</v>
      </c>
      <c r="F70" s="47" t="n">
        <v>2</v>
      </c>
      <c r="G70" s="48" t="n">
        <v>47.79</v>
      </c>
      <c r="H70" s="48" t="n">
        <f aca="false">F70*G70</f>
        <v>95.58</v>
      </c>
      <c r="I70" s="47" t="s">
        <v>285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264</v>
      </c>
      <c r="C71" s="47" t="s">
        <v>44</v>
      </c>
      <c r="D71" s="47" t="s">
        <v>182</v>
      </c>
      <c r="E71" s="47" t="s">
        <v>262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285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264</v>
      </c>
      <c r="C72" s="47" t="s">
        <v>286</v>
      </c>
      <c r="D72" s="47" t="s">
        <v>157</v>
      </c>
      <c r="E72" s="47" t="s">
        <v>262</v>
      </c>
      <c r="F72" s="47" t="n">
        <v>2</v>
      </c>
      <c r="G72" s="48" t="n">
        <v>10.05</v>
      </c>
      <c r="H72" s="48" t="n">
        <f aca="false">F72*G72</f>
        <v>20.1</v>
      </c>
      <c r="I72" s="47" t="s">
        <v>285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264</v>
      </c>
      <c r="C73" s="47" t="s">
        <v>286</v>
      </c>
      <c r="D73" s="47" t="s">
        <v>158</v>
      </c>
      <c r="E73" s="47" t="s">
        <v>262</v>
      </c>
      <c r="F73" s="47" t="n">
        <v>2</v>
      </c>
      <c r="G73" s="48" t="n">
        <v>2.07</v>
      </c>
      <c r="H73" s="48" t="n">
        <f aca="false">F73*G73</f>
        <v>4.14</v>
      </c>
      <c r="I73" s="47" t="s">
        <v>285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264</v>
      </c>
      <c r="C74" s="47" t="s">
        <v>288</v>
      </c>
      <c r="D74" s="47" t="s">
        <v>179</v>
      </c>
      <c r="E74" s="47" t="s">
        <v>262</v>
      </c>
      <c r="F74" s="47" t="n">
        <v>2</v>
      </c>
      <c r="G74" s="48" t="n">
        <v>30</v>
      </c>
      <c r="H74" s="48" t="n">
        <f aca="false">F74*G74</f>
        <v>60</v>
      </c>
      <c r="I74" s="47" t="s">
        <v>285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264</v>
      </c>
      <c r="C75" s="47" t="s">
        <v>289</v>
      </c>
      <c r="D75" s="47" t="s">
        <v>186</v>
      </c>
      <c r="E75" s="47" t="s">
        <v>262</v>
      </c>
      <c r="F75" s="47" t="n">
        <v>1</v>
      </c>
      <c r="G75" s="48" t="n">
        <v>696.8</v>
      </c>
      <c r="H75" s="48" t="n">
        <f aca="false">F75*G75</f>
        <v>696.8</v>
      </c>
      <c r="I75" s="47" t="s">
        <v>293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257</v>
      </c>
      <c r="C76" s="47" t="s">
        <v>281</v>
      </c>
      <c r="D76" s="47" t="s">
        <v>220</v>
      </c>
      <c r="E76" s="47" t="s">
        <v>265</v>
      </c>
      <c r="F76" s="47" t="n">
        <v>1</v>
      </c>
      <c r="G76" s="48" t="n">
        <v>57354.9353136</v>
      </c>
      <c r="H76" s="48" t="n">
        <f aca="false">F76*G76</f>
        <v>57354.9353136</v>
      </c>
      <c r="I76" s="47" t="s">
        <v>297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257</v>
      </c>
      <c r="C77" s="47" t="s">
        <v>281</v>
      </c>
      <c r="D77" s="47" t="s">
        <v>283</v>
      </c>
      <c r="E77" s="47" t="s">
        <v>265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284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257</v>
      </c>
      <c r="C78" s="47" t="s">
        <v>281</v>
      </c>
      <c r="D78" s="47" t="s">
        <v>180</v>
      </c>
      <c r="E78" s="47" t="s">
        <v>265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285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257</v>
      </c>
      <c r="C79" s="47" t="s">
        <v>281</v>
      </c>
      <c r="D79" s="47" t="s">
        <v>181</v>
      </c>
      <c r="E79" s="47" t="s">
        <v>265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285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257</v>
      </c>
      <c r="C80" s="47" t="s">
        <v>44</v>
      </c>
      <c r="D80" s="47" t="s">
        <v>182</v>
      </c>
      <c r="E80" s="47" t="s">
        <v>265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285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257</v>
      </c>
      <c r="C81" s="47" t="s">
        <v>44</v>
      </c>
      <c r="D81" s="47" t="s">
        <v>221</v>
      </c>
      <c r="E81" s="47" t="s">
        <v>265</v>
      </c>
      <c r="F81" s="47" t="n">
        <v>1</v>
      </c>
      <c r="G81" s="48" t="n">
        <v>63.31</v>
      </c>
      <c r="H81" s="48" t="n">
        <f aca="false">F81*G81</f>
        <v>63.31</v>
      </c>
      <c r="I81" s="47" t="s">
        <v>284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257</v>
      </c>
      <c r="C82" s="47" t="s">
        <v>286</v>
      </c>
      <c r="D82" s="47" t="s">
        <v>157</v>
      </c>
      <c r="E82" s="47" t="s">
        <v>265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285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257</v>
      </c>
      <c r="C83" s="47" t="s">
        <v>286</v>
      </c>
      <c r="D83" s="47" t="s">
        <v>158</v>
      </c>
      <c r="E83" s="47" t="s">
        <v>265</v>
      </c>
      <c r="F83" s="47" t="n">
        <v>18</v>
      </c>
      <c r="G83" s="48" t="n">
        <v>2.07</v>
      </c>
      <c r="H83" s="48" t="n">
        <f aca="false">F83*G83</f>
        <v>37.26</v>
      </c>
      <c r="I83" s="47" t="s">
        <v>285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257</v>
      </c>
      <c r="C84" s="47" t="s">
        <v>287</v>
      </c>
      <c r="D84" s="47" t="s">
        <v>183</v>
      </c>
      <c r="E84" s="47" t="s">
        <v>265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284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257</v>
      </c>
      <c r="C85" s="47" t="s">
        <v>287</v>
      </c>
      <c r="D85" s="47" t="s">
        <v>185</v>
      </c>
      <c r="E85" s="47" t="s">
        <v>265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284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257</v>
      </c>
      <c r="C86" s="47" t="s">
        <v>288</v>
      </c>
      <c r="D86" s="47" t="s">
        <v>179</v>
      </c>
      <c r="E86" s="47" t="s">
        <v>265</v>
      </c>
      <c r="F86" s="47" t="n">
        <v>18</v>
      </c>
      <c r="G86" s="48" t="n">
        <v>30</v>
      </c>
      <c r="H86" s="48" t="n">
        <f aca="false">F86*G86</f>
        <v>540</v>
      </c>
      <c r="I86" s="47" t="s">
        <v>285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257</v>
      </c>
      <c r="C87" s="47" t="s">
        <v>289</v>
      </c>
      <c r="D87" s="47" t="s">
        <v>186</v>
      </c>
      <c r="E87" s="47" t="s">
        <v>265</v>
      </c>
      <c r="F87" s="47" t="n">
        <v>1</v>
      </c>
      <c r="G87" s="48" t="n">
        <v>2345.27</v>
      </c>
      <c r="H87" s="48" t="n">
        <f aca="false">F87*G87</f>
        <v>2345.27</v>
      </c>
      <c r="I87" s="47" t="s">
        <v>298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266</v>
      </c>
      <c r="C88" s="47" t="s">
        <v>281</v>
      </c>
      <c r="D88" s="47" t="s">
        <v>220</v>
      </c>
      <c r="E88" s="47" t="s">
        <v>265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296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266</v>
      </c>
      <c r="C89" s="47" t="s">
        <v>281</v>
      </c>
      <c r="D89" s="47" t="s">
        <v>180</v>
      </c>
      <c r="E89" s="47" t="s">
        <v>265</v>
      </c>
      <c r="F89" s="47" t="n">
        <v>2</v>
      </c>
      <c r="G89" s="48" t="n">
        <v>28.31</v>
      </c>
      <c r="H89" s="48" t="n">
        <f aca="false">F89*G89</f>
        <v>56.62</v>
      </c>
      <c r="I89" s="47" t="s">
        <v>285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266</v>
      </c>
      <c r="C90" s="47" t="s">
        <v>281</v>
      </c>
      <c r="D90" s="47" t="s">
        <v>181</v>
      </c>
      <c r="E90" s="47" t="s">
        <v>265</v>
      </c>
      <c r="F90" s="47" t="n">
        <v>2</v>
      </c>
      <c r="G90" s="48" t="n">
        <v>47.79</v>
      </c>
      <c r="H90" s="48" t="n">
        <f aca="false">F90*G90</f>
        <v>95.58</v>
      </c>
      <c r="I90" s="47" t="s">
        <v>285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266</v>
      </c>
      <c r="C91" s="47" t="s">
        <v>44</v>
      </c>
      <c r="D91" s="47" t="s">
        <v>182</v>
      </c>
      <c r="E91" s="47" t="s">
        <v>265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285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266</v>
      </c>
      <c r="C92" s="47" t="s">
        <v>286</v>
      </c>
      <c r="D92" s="47" t="s">
        <v>157</v>
      </c>
      <c r="E92" s="47" t="s">
        <v>265</v>
      </c>
      <c r="F92" s="47" t="n">
        <v>2</v>
      </c>
      <c r="G92" s="48" t="n">
        <v>10.05</v>
      </c>
      <c r="H92" s="48" t="n">
        <f aca="false">F92*G92</f>
        <v>20.1</v>
      </c>
      <c r="I92" s="47" t="s">
        <v>285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266</v>
      </c>
      <c r="C93" s="47" t="s">
        <v>286</v>
      </c>
      <c r="D93" s="47" t="s">
        <v>158</v>
      </c>
      <c r="E93" s="47" t="s">
        <v>265</v>
      </c>
      <c r="F93" s="47" t="n">
        <v>2</v>
      </c>
      <c r="G93" s="48" t="n">
        <v>2.07</v>
      </c>
      <c r="H93" s="48" t="n">
        <f aca="false">F93*G93</f>
        <v>4.14</v>
      </c>
      <c r="I93" s="47" t="s">
        <v>285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266</v>
      </c>
      <c r="C94" s="47" t="s">
        <v>288</v>
      </c>
      <c r="D94" s="47" t="s">
        <v>179</v>
      </c>
      <c r="E94" s="47" t="s">
        <v>265</v>
      </c>
      <c r="F94" s="47" t="n">
        <v>2</v>
      </c>
      <c r="G94" s="48" t="n">
        <v>30</v>
      </c>
      <c r="H94" s="48" t="n">
        <f aca="false">F94*G94</f>
        <v>60</v>
      </c>
      <c r="I94" s="47" t="s">
        <v>285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266</v>
      </c>
      <c r="C95" s="47" t="s">
        <v>289</v>
      </c>
      <c r="D95" s="47" t="s">
        <v>186</v>
      </c>
      <c r="E95" s="47" t="s">
        <v>265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293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267</v>
      </c>
      <c r="C96" s="47" t="s">
        <v>281</v>
      </c>
      <c r="D96" s="47" t="s">
        <v>220</v>
      </c>
      <c r="E96" s="47" t="s">
        <v>265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299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267</v>
      </c>
      <c r="C97" s="47" t="s">
        <v>281</v>
      </c>
      <c r="D97" s="47" t="s">
        <v>180</v>
      </c>
      <c r="E97" s="47" t="s">
        <v>265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285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267</v>
      </c>
      <c r="C98" s="47" t="s">
        <v>281</v>
      </c>
      <c r="D98" s="47" t="s">
        <v>181</v>
      </c>
      <c r="E98" s="47" t="s">
        <v>265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285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267</v>
      </c>
      <c r="C99" s="47" t="s">
        <v>44</v>
      </c>
      <c r="D99" s="47" t="s">
        <v>182</v>
      </c>
      <c r="E99" s="47" t="s">
        <v>265</v>
      </c>
      <c r="F99" s="47" t="n">
        <v>5</v>
      </c>
      <c r="G99" s="48" t="n">
        <v>64.54</v>
      </c>
      <c r="H99" s="48" t="n">
        <f aca="false">F99*G99</f>
        <v>322.7</v>
      </c>
      <c r="I99" s="47" t="s">
        <v>285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267</v>
      </c>
      <c r="C100" s="47" t="s">
        <v>286</v>
      </c>
      <c r="D100" s="47" t="s">
        <v>157</v>
      </c>
      <c r="E100" s="47" t="s">
        <v>265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285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267</v>
      </c>
      <c r="C101" s="47" t="s">
        <v>286</v>
      </c>
      <c r="D101" s="47" t="s">
        <v>158</v>
      </c>
      <c r="E101" s="47" t="s">
        <v>265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285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267</v>
      </c>
      <c r="C102" s="47" t="s">
        <v>287</v>
      </c>
      <c r="D102" s="47" t="s">
        <v>185</v>
      </c>
      <c r="E102" s="47" t="s">
        <v>265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284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267</v>
      </c>
      <c r="C103" s="47" t="s">
        <v>288</v>
      </c>
      <c r="D103" s="47" t="s">
        <v>179</v>
      </c>
      <c r="E103" s="47" t="s">
        <v>265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285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267</v>
      </c>
      <c r="C104" s="47" t="s">
        <v>289</v>
      </c>
      <c r="D104" s="47" t="s">
        <v>186</v>
      </c>
      <c r="E104" s="47" t="s">
        <v>265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293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269</v>
      </c>
      <c r="C105" s="47" t="s">
        <v>281</v>
      </c>
      <c r="D105" s="47" t="s">
        <v>220</v>
      </c>
      <c r="E105" s="47" t="s">
        <v>268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300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269</v>
      </c>
      <c r="C106" s="47" t="s">
        <v>281</v>
      </c>
      <c r="D106" s="47" t="s">
        <v>180</v>
      </c>
      <c r="E106" s="47" t="s">
        <v>268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285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269</v>
      </c>
      <c r="C107" s="47" t="s">
        <v>281</v>
      </c>
      <c r="D107" s="47" t="s">
        <v>181</v>
      </c>
      <c r="E107" s="47" t="s">
        <v>268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285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269</v>
      </c>
      <c r="C108" s="47" t="s">
        <v>44</v>
      </c>
      <c r="D108" s="47" t="s">
        <v>182</v>
      </c>
      <c r="E108" s="47" t="s">
        <v>268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285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269</v>
      </c>
      <c r="C109" s="47" t="s">
        <v>44</v>
      </c>
      <c r="D109" s="47" t="s">
        <v>221</v>
      </c>
      <c r="E109" s="47" t="s">
        <v>268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284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269</v>
      </c>
      <c r="C110" s="47" t="s">
        <v>286</v>
      </c>
      <c r="D110" s="47" t="s">
        <v>157</v>
      </c>
      <c r="E110" s="47" t="s">
        <v>268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285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269</v>
      </c>
      <c r="C111" s="47" t="s">
        <v>286</v>
      </c>
      <c r="D111" s="47" t="s">
        <v>158</v>
      </c>
      <c r="E111" s="47" t="s">
        <v>268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285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269</v>
      </c>
      <c r="C112" s="47" t="s">
        <v>287</v>
      </c>
      <c r="D112" s="47" t="s">
        <v>183</v>
      </c>
      <c r="E112" s="47" t="s">
        <v>268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284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269</v>
      </c>
      <c r="C113" s="47" t="s">
        <v>287</v>
      </c>
      <c r="D113" s="47" t="s">
        <v>185</v>
      </c>
      <c r="E113" s="47" t="s">
        <v>268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284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269</v>
      </c>
      <c r="C114" s="47" t="s">
        <v>288</v>
      </c>
      <c r="D114" s="47" t="s">
        <v>179</v>
      </c>
      <c r="E114" s="47" t="s">
        <v>268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285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272</v>
      </c>
      <c r="C115" s="47" t="s">
        <v>281</v>
      </c>
      <c r="D115" s="47" t="s">
        <v>220</v>
      </c>
      <c r="E115" s="47" t="s">
        <v>268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301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272</v>
      </c>
      <c r="C116" s="47" t="s">
        <v>281</v>
      </c>
      <c r="D116" s="47" t="s">
        <v>283</v>
      </c>
      <c r="E116" s="47" t="s">
        <v>268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284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272</v>
      </c>
      <c r="C117" s="47" t="s">
        <v>281</v>
      </c>
      <c r="D117" s="47" t="s">
        <v>180</v>
      </c>
      <c r="E117" s="47" t="s">
        <v>268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285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272</v>
      </c>
      <c r="C118" s="47" t="s">
        <v>281</v>
      </c>
      <c r="D118" s="47" t="s">
        <v>181</v>
      </c>
      <c r="E118" s="47" t="s">
        <v>268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285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272</v>
      </c>
      <c r="C119" s="47" t="s">
        <v>44</v>
      </c>
      <c r="D119" s="47" t="s">
        <v>182</v>
      </c>
      <c r="E119" s="47" t="s">
        <v>268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285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272</v>
      </c>
      <c r="C120" s="47" t="s">
        <v>44</v>
      </c>
      <c r="D120" s="47" t="s">
        <v>221</v>
      </c>
      <c r="E120" s="47" t="s">
        <v>268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284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272</v>
      </c>
      <c r="C121" s="47" t="s">
        <v>286</v>
      </c>
      <c r="D121" s="47" t="s">
        <v>157</v>
      </c>
      <c r="E121" s="47" t="s">
        <v>268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285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272</v>
      </c>
      <c r="C122" s="47" t="s">
        <v>286</v>
      </c>
      <c r="D122" s="47" t="s">
        <v>158</v>
      </c>
      <c r="E122" s="47" t="s">
        <v>268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285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272</v>
      </c>
      <c r="C123" s="47" t="s">
        <v>288</v>
      </c>
      <c r="D123" s="47" t="s">
        <v>179</v>
      </c>
      <c r="E123" s="47" t="s">
        <v>268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285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272</v>
      </c>
      <c r="C124" s="47" t="s">
        <v>289</v>
      </c>
      <c r="D124" s="47" t="s">
        <v>186</v>
      </c>
      <c r="E124" s="47" t="s">
        <v>268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293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275</v>
      </c>
      <c r="C125" s="47" t="s">
        <v>281</v>
      </c>
      <c r="D125" s="47" t="s">
        <v>220</v>
      </c>
      <c r="E125" s="47" t="s">
        <v>274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302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275</v>
      </c>
      <c r="C126" s="47" t="s">
        <v>281</v>
      </c>
      <c r="D126" s="47" t="s">
        <v>180</v>
      </c>
      <c r="E126" s="47" t="s">
        <v>274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285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275</v>
      </c>
      <c r="C127" s="47" t="s">
        <v>281</v>
      </c>
      <c r="D127" s="47" t="s">
        <v>181</v>
      </c>
      <c r="E127" s="47" t="s">
        <v>274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285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275</v>
      </c>
      <c r="C128" s="47" t="s">
        <v>44</v>
      </c>
      <c r="D128" s="47" t="s">
        <v>182</v>
      </c>
      <c r="E128" s="47" t="s">
        <v>274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285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275</v>
      </c>
      <c r="C129" s="47" t="s">
        <v>286</v>
      </c>
      <c r="D129" s="47" t="s">
        <v>157</v>
      </c>
      <c r="E129" s="47" t="s">
        <v>274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285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275</v>
      </c>
      <c r="C130" s="47" t="s">
        <v>286</v>
      </c>
      <c r="D130" s="47" t="s">
        <v>158</v>
      </c>
      <c r="E130" s="47" t="s">
        <v>274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285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275</v>
      </c>
      <c r="C131" s="47" t="s">
        <v>288</v>
      </c>
      <c r="D131" s="47" t="s">
        <v>179</v>
      </c>
      <c r="E131" s="47" t="s">
        <v>274</v>
      </c>
      <c r="F131" s="47" t="n">
        <v>1</v>
      </c>
      <c r="G131" s="48" t="n">
        <v>30</v>
      </c>
      <c r="H131" s="48" t="n">
        <f aca="false">F131*G131</f>
        <v>30</v>
      </c>
      <c r="I131" s="47" t="s">
        <v>285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257</v>
      </c>
      <c r="C132" s="47" t="s">
        <v>281</v>
      </c>
      <c r="D132" s="47" t="s">
        <v>220</v>
      </c>
      <c r="E132" s="47" t="s">
        <v>256</v>
      </c>
      <c r="F132" s="47" t="n">
        <v>1</v>
      </c>
      <c r="G132" s="48" t="n">
        <v>85532.0501333333</v>
      </c>
      <c r="H132" s="48" t="n">
        <f aca="false">F132*G132</f>
        <v>85532.0501333333</v>
      </c>
      <c r="I132" s="47" t="s">
        <v>303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257</v>
      </c>
      <c r="C133" s="47" t="s">
        <v>281</v>
      </c>
      <c r="D133" s="47" t="s">
        <v>283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284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257</v>
      </c>
      <c r="C134" s="47" t="s">
        <v>281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285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257</v>
      </c>
      <c r="C135" s="47" t="s">
        <v>281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285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257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284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257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285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257</v>
      </c>
      <c r="C138" s="47" t="s">
        <v>286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285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257</v>
      </c>
      <c r="C139" s="47" t="s">
        <v>286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285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257</v>
      </c>
      <c r="C140" s="47" t="s">
        <v>287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284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257</v>
      </c>
      <c r="C141" s="47" t="s">
        <v>287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284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257</v>
      </c>
      <c r="C142" s="47" t="s">
        <v>287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284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257</v>
      </c>
      <c r="C143" s="47" t="s">
        <v>288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285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257</v>
      </c>
      <c r="C144" s="47" t="s">
        <v>304</v>
      </c>
      <c r="D144" s="47" t="s">
        <v>305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306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257</v>
      </c>
      <c r="C145" s="47" t="s">
        <v>289</v>
      </c>
      <c r="D145" s="47" t="s">
        <v>186</v>
      </c>
      <c r="E145" s="47" t="s">
        <v>256</v>
      </c>
      <c r="F145" s="47" t="n">
        <v>1</v>
      </c>
      <c r="G145" s="48" t="n">
        <v>476.27</v>
      </c>
      <c r="H145" s="48" t="n">
        <f aca="false">F145*G145</f>
        <v>476.27</v>
      </c>
      <c r="I145" s="47" t="s">
        <v>307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257</v>
      </c>
      <c r="C146" s="47" t="s">
        <v>281</v>
      </c>
      <c r="D146" s="47" t="s">
        <v>220</v>
      </c>
      <c r="E146" s="47" t="s">
        <v>259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291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257</v>
      </c>
      <c r="C147" s="47" t="s">
        <v>281</v>
      </c>
      <c r="D147" s="47" t="s">
        <v>283</v>
      </c>
      <c r="E147" s="47" t="s">
        <v>259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284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257</v>
      </c>
      <c r="C148" s="47" t="s">
        <v>281</v>
      </c>
      <c r="D148" s="47" t="s">
        <v>180</v>
      </c>
      <c r="E148" s="47" t="s">
        <v>259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285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257</v>
      </c>
      <c r="C149" s="47" t="s">
        <v>281</v>
      </c>
      <c r="D149" s="47" t="s">
        <v>181</v>
      </c>
      <c r="E149" s="47" t="s">
        <v>259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285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257</v>
      </c>
      <c r="C150" s="47" t="s">
        <v>44</v>
      </c>
      <c r="D150" s="47" t="s">
        <v>221</v>
      </c>
      <c r="E150" s="47" t="s">
        <v>259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284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257</v>
      </c>
      <c r="C151" s="47" t="s">
        <v>44</v>
      </c>
      <c r="D151" s="47" t="s">
        <v>182</v>
      </c>
      <c r="E151" s="47" t="s">
        <v>259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285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257</v>
      </c>
      <c r="C152" s="47" t="s">
        <v>286</v>
      </c>
      <c r="D152" s="47" t="s">
        <v>157</v>
      </c>
      <c r="E152" s="47" t="s">
        <v>259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285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257</v>
      </c>
      <c r="C153" s="47" t="s">
        <v>286</v>
      </c>
      <c r="D153" s="47" t="s">
        <v>158</v>
      </c>
      <c r="E153" s="47" t="s">
        <v>259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285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257</v>
      </c>
      <c r="C154" s="47" t="s">
        <v>287</v>
      </c>
      <c r="D154" s="47" t="s">
        <v>183</v>
      </c>
      <c r="E154" s="47" t="s">
        <v>259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284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257</v>
      </c>
      <c r="C155" s="47" t="s">
        <v>287</v>
      </c>
      <c r="D155" s="47" t="s">
        <v>184</v>
      </c>
      <c r="E155" s="47" t="s">
        <v>259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284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257</v>
      </c>
      <c r="C156" s="47" t="s">
        <v>287</v>
      </c>
      <c r="D156" s="47" t="s">
        <v>185</v>
      </c>
      <c r="E156" s="47" t="s">
        <v>259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284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257</v>
      </c>
      <c r="C157" s="47" t="s">
        <v>288</v>
      </c>
      <c r="D157" s="47" t="s">
        <v>179</v>
      </c>
      <c r="E157" s="47" t="s">
        <v>259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285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257</v>
      </c>
      <c r="C158" s="47" t="s">
        <v>281</v>
      </c>
      <c r="D158" s="47" t="s">
        <v>220</v>
      </c>
      <c r="E158" s="47" t="s">
        <v>261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292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257</v>
      </c>
      <c r="C159" s="47" t="s">
        <v>281</v>
      </c>
      <c r="D159" s="47" t="s">
        <v>308</v>
      </c>
      <c r="E159" s="47" t="s">
        <v>261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309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257</v>
      </c>
      <c r="C160" s="47" t="s">
        <v>281</v>
      </c>
      <c r="D160" s="47" t="s">
        <v>283</v>
      </c>
      <c r="E160" s="47" t="s">
        <v>261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284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257</v>
      </c>
      <c r="C161" s="47" t="s">
        <v>281</v>
      </c>
      <c r="D161" s="47" t="s">
        <v>180</v>
      </c>
      <c r="E161" s="47" t="s">
        <v>261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285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257</v>
      </c>
      <c r="C162" s="47" t="s">
        <v>281</v>
      </c>
      <c r="D162" s="47" t="s">
        <v>181</v>
      </c>
      <c r="E162" s="47" t="s">
        <v>261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285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257</v>
      </c>
      <c r="C163" s="47" t="s">
        <v>44</v>
      </c>
      <c r="D163" s="47" t="s">
        <v>221</v>
      </c>
      <c r="E163" s="47" t="s">
        <v>261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284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257</v>
      </c>
      <c r="C164" s="47" t="s">
        <v>44</v>
      </c>
      <c r="D164" s="47" t="s">
        <v>182</v>
      </c>
      <c r="E164" s="47" t="s">
        <v>261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285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257</v>
      </c>
      <c r="C165" s="47" t="s">
        <v>286</v>
      </c>
      <c r="D165" s="47" t="s">
        <v>157</v>
      </c>
      <c r="E165" s="47" t="s">
        <v>261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285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257</v>
      </c>
      <c r="C166" s="47" t="s">
        <v>286</v>
      </c>
      <c r="D166" s="47" t="s">
        <v>158</v>
      </c>
      <c r="E166" s="47" t="s">
        <v>261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285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257</v>
      </c>
      <c r="C167" s="47" t="s">
        <v>287</v>
      </c>
      <c r="D167" s="47" t="s">
        <v>183</v>
      </c>
      <c r="E167" s="47" t="s">
        <v>261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284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257</v>
      </c>
      <c r="C168" s="47" t="s">
        <v>287</v>
      </c>
      <c r="D168" s="47" t="s">
        <v>184</v>
      </c>
      <c r="E168" s="47" t="s">
        <v>261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284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257</v>
      </c>
      <c r="C169" s="47" t="s">
        <v>287</v>
      </c>
      <c r="D169" s="47" t="s">
        <v>185</v>
      </c>
      <c r="E169" s="47" t="s">
        <v>261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284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257</v>
      </c>
      <c r="C170" s="47" t="s">
        <v>288</v>
      </c>
      <c r="D170" s="47" t="s">
        <v>179</v>
      </c>
      <c r="E170" s="47" t="s">
        <v>261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285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257</v>
      </c>
      <c r="C171" s="47" t="s">
        <v>304</v>
      </c>
      <c r="D171" s="47" t="s">
        <v>305</v>
      </c>
      <c r="E171" s="47" t="s">
        <v>261</v>
      </c>
      <c r="F171" s="47" t="n">
        <v>1</v>
      </c>
      <c r="G171" s="48" t="n">
        <v>50</v>
      </c>
      <c r="H171" s="48" t="n">
        <f aca="false">F171*G171</f>
        <v>50</v>
      </c>
      <c r="I171" s="47" t="s">
        <v>306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257</v>
      </c>
      <c r="C172" s="47" t="s">
        <v>289</v>
      </c>
      <c r="D172" s="47" t="s">
        <v>186</v>
      </c>
      <c r="E172" s="47" t="s">
        <v>261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293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257</v>
      </c>
      <c r="C173" s="47" t="s">
        <v>281</v>
      </c>
      <c r="D173" s="47" t="s">
        <v>220</v>
      </c>
      <c r="E173" s="47" t="s">
        <v>262</v>
      </c>
      <c r="F173" s="47" t="n">
        <v>1</v>
      </c>
      <c r="G173" s="48" t="n">
        <v>23583.3694666667</v>
      </c>
      <c r="H173" s="48" t="n">
        <f aca="false">F173*G173</f>
        <v>23583.3694666667</v>
      </c>
      <c r="I173" s="47" t="s">
        <v>310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257</v>
      </c>
      <c r="C174" s="47" t="s">
        <v>281</v>
      </c>
      <c r="D174" s="47" t="s">
        <v>283</v>
      </c>
      <c r="E174" s="47" t="s">
        <v>262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284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257</v>
      </c>
      <c r="C175" s="47" t="s">
        <v>281</v>
      </c>
      <c r="D175" s="47" t="s">
        <v>180</v>
      </c>
      <c r="E175" s="47" t="s">
        <v>262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285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257</v>
      </c>
      <c r="C176" s="47" t="s">
        <v>281</v>
      </c>
      <c r="D176" s="47" t="s">
        <v>181</v>
      </c>
      <c r="E176" s="47" t="s">
        <v>262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285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257</v>
      </c>
      <c r="C177" s="47" t="s">
        <v>44</v>
      </c>
      <c r="D177" s="47" t="s">
        <v>221</v>
      </c>
      <c r="E177" s="47" t="s">
        <v>262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284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257</v>
      </c>
      <c r="C178" s="47" t="s">
        <v>44</v>
      </c>
      <c r="D178" s="47" t="s">
        <v>182</v>
      </c>
      <c r="E178" s="47" t="s">
        <v>262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285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257</v>
      </c>
      <c r="C179" s="47" t="s">
        <v>286</v>
      </c>
      <c r="D179" s="47" t="s">
        <v>157</v>
      </c>
      <c r="E179" s="47" t="s">
        <v>262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285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257</v>
      </c>
      <c r="C180" s="47" t="s">
        <v>286</v>
      </c>
      <c r="D180" s="47" t="s">
        <v>158</v>
      </c>
      <c r="E180" s="47" t="s">
        <v>262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285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257</v>
      </c>
      <c r="C181" s="47" t="s">
        <v>287</v>
      </c>
      <c r="D181" s="47" t="s">
        <v>183</v>
      </c>
      <c r="E181" s="47" t="s">
        <v>262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284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257</v>
      </c>
      <c r="C182" s="47" t="s">
        <v>287</v>
      </c>
      <c r="D182" s="47" t="s">
        <v>184</v>
      </c>
      <c r="E182" s="47" t="s">
        <v>262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284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257</v>
      </c>
      <c r="C183" s="47" t="s">
        <v>287</v>
      </c>
      <c r="D183" s="47" t="s">
        <v>185</v>
      </c>
      <c r="E183" s="47" t="s">
        <v>262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284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257</v>
      </c>
      <c r="C184" s="47" t="s">
        <v>288</v>
      </c>
      <c r="D184" s="47" t="s">
        <v>179</v>
      </c>
      <c r="E184" s="47" t="s">
        <v>262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285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257</v>
      </c>
      <c r="C185" s="47" t="s">
        <v>304</v>
      </c>
      <c r="D185" s="47" t="s">
        <v>305</v>
      </c>
      <c r="E185" s="47" t="s">
        <v>262</v>
      </c>
      <c r="F185" s="47" t="n">
        <v>2</v>
      </c>
      <c r="G185" s="48" t="n">
        <v>50</v>
      </c>
      <c r="H185" s="48" t="n">
        <f aca="false">F185*G185</f>
        <v>100</v>
      </c>
      <c r="I185" s="47" t="s">
        <v>306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257</v>
      </c>
      <c r="C186" s="47" t="s">
        <v>289</v>
      </c>
      <c r="D186" s="47" t="s">
        <v>186</v>
      </c>
      <c r="E186" s="47" t="s">
        <v>262</v>
      </c>
      <c r="F186" s="47" t="n">
        <v>1</v>
      </c>
      <c r="G186" s="48" t="n">
        <v>0</v>
      </c>
      <c r="H186" s="48" t="n">
        <f aca="false">F186*G186</f>
        <v>0</v>
      </c>
      <c r="I186" s="47" t="s">
        <v>311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264</v>
      </c>
      <c r="C187" s="47" t="s">
        <v>281</v>
      </c>
      <c r="D187" s="47" t="s">
        <v>220</v>
      </c>
      <c r="E187" s="47" t="s">
        <v>262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296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264</v>
      </c>
      <c r="C188" s="47" t="s">
        <v>281</v>
      </c>
      <c r="D188" s="47" t="s">
        <v>308</v>
      </c>
      <c r="E188" s="47" t="s">
        <v>262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309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264</v>
      </c>
      <c r="C189" s="47" t="s">
        <v>281</v>
      </c>
      <c r="D189" s="47" t="s">
        <v>180</v>
      </c>
      <c r="E189" s="47" t="s">
        <v>262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285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264</v>
      </c>
      <c r="C190" s="47" t="s">
        <v>281</v>
      </c>
      <c r="D190" s="47" t="s">
        <v>181</v>
      </c>
      <c r="E190" s="47" t="s">
        <v>262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285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264</v>
      </c>
      <c r="C191" s="47" t="s">
        <v>44</v>
      </c>
      <c r="D191" s="47" t="s">
        <v>182</v>
      </c>
      <c r="E191" s="47" t="s">
        <v>262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285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264</v>
      </c>
      <c r="C192" s="47" t="s">
        <v>286</v>
      </c>
      <c r="D192" s="47" t="s">
        <v>157</v>
      </c>
      <c r="E192" s="47" t="s">
        <v>262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285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264</v>
      </c>
      <c r="C193" s="47" t="s">
        <v>286</v>
      </c>
      <c r="D193" s="47" t="s">
        <v>158</v>
      </c>
      <c r="E193" s="47" t="s">
        <v>262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285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264</v>
      </c>
      <c r="C194" s="47" t="s">
        <v>287</v>
      </c>
      <c r="D194" s="47" t="s">
        <v>312</v>
      </c>
      <c r="E194" s="47" t="s">
        <v>262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284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264</v>
      </c>
      <c r="C195" s="47" t="s">
        <v>288</v>
      </c>
      <c r="D195" s="47" t="s">
        <v>179</v>
      </c>
      <c r="E195" s="47" t="s">
        <v>262</v>
      </c>
      <c r="F195" s="47" t="n">
        <v>2</v>
      </c>
      <c r="G195" s="48" t="n">
        <v>30</v>
      </c>
      <c r="H195" s="48" t="n">
        <f aca="false">F195*G195</f>
        <v>60</v>
      </c>
      <c r="I195" s="47" t="s">
        <v>285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264</v>
      </c>
      <c r="C196" s="47" t="s">
        <v>304</v>
      </c>
      <c r="D196" s="47" t="s">
        <v>313</v>
      </c>
      <c r="E196" s="47" t="s">
        <v>262</v>
      </c>
      <c r="F196" s="47" t="n">
        <v>1</v>
      </c>
      <c r="G196" s="48" t="n">
        <v>50</v>
      </c>
      <c r="H196" s="48" t="n">
        <f aca="false">F196*G196</f>
        <v>50</v>
      </c>
      <c r="I196" s="47" t="s">
        <v>306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264</v>
      </c>
      <c r="C197" s="47" t="s">
        <v>289</v>
      </c>
      <c r="D197" s="47" t="s">
        <v>186</v>
      </c>
      <c r="E197" s="47" t="s">
        <v>262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293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257</v>
      </c>
      <c r="C198" s="47" t="s">
        <v>281</v>
      </c>
      <c r="D198" s="47" t="s">
        <v>220</v>
      </c>
      <c r="E198" s="47" t="s">
        <v>265</v>
      </c>
      <c r="F198" s="47" t="n">
        <v>1</v>
      </c>
      <c r="G198" s="48" t="n">
        <v>66963.9794666667</v>
      </c>
      <c r="H198" s="48" t="n">
        <f aca="false">F198*G198</f>
        <v>66963.9794666667</v>
      </c>
      <c r="I198" s="47" t="s">
        <v>314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257</v>
      </c>
      <c r="C199" s="47" t="s">
        <v>281</v>
      </c>
      <c r="D199" s="47" t="s">
        <v>308</v>
      </c>
      <c r="E199" s="47" t="s">
        <v>265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309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257</v>
      </c>
      <c r="C200" s="47" t="s">
        <v>281</v>
      </c>
      <c r="D200" s="47" t="s">
        <v>283</v>
      </c>
      <c r="E200" s="47" t="s">
        <v>265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284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257</v>
      </c>
      <c r="C201" s="47" t="s">
        <v>281</v>
      </c>
      <c r="D201" s="47" t="s">
        <v>180</v>
      </c>
      <c r="E201" s="47" t="s">
        <v>265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285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257</v>
      </c>
      <c r="C202" s="47" t="s">
        <v>281</v>
      </c>
      <c r="D202" s="47" t="s">
        <v>181</v>
      </c>
      <c r="E202" s="47" t="s">
        <v>265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285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257</v>
      </c>
      <c r="C203" s="47" t="s">
        <v>44</v>
      </c>
      <c r="D203" s="47" t="s">
        <v>221</v>
      </c>
      <c r="E203" s="47" t="s">
        <v>265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284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257</v>
      </c>
      <c r="C204" s="47" t="s">
        <v>44</v>
      </c>
      <c r="D204" s="47" t="s">
        <v>182</v>
      </c>
      <c r="E204" s="47" t="s">
        <v>265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285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257</v>
      </c>
      <c r="C205" s="47" t="s">
        <v>286</v>
      </c>
      <c r="D205" s="47" t="s">
        <v>157</v>
      </c>
      <c r="E205" s="47" t="s">
        <v>265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285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257</v>
      </c>
      <c r="C206" s="47" t="s">
        <v>286</v>
      </c>
      <c r="D206" s="47" t="s">
        <v>158</v>
      </c>
      <c r="E206" s="47" t="s">
        <v>265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285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257</v>
      </c>
      <c r="C207" s="47" t="s">
        <v>287</v>
      </c>
      <c r="D207" s="47" t="s">
        <v>183</v>
      </c>
      <c r="E207" s="47" t="s">
        <v>265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284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257</v>
      </c>
      <c r="C208" s="47" t="s">
        <v>287</v>
      </c>
      <c r="D208" s="47" t="s">
        <v>184</v>
      </c>
      <c r="E208" s="47" t="s">
        <v>265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284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257</v>
      </c>
      <c r="C209" s="47" t="s">
        <v>287</v>
      </c>
      <c r="D209" s="47" t="s">
        <v>185</v>
      </c>
      <c r="E209" s="47" t="s">
        <v>265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284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257</v>
      </c>
      <c r="C210" s="47" t="s">
        <v>288</v>
      </c>
      <c r="D210" s="47" t="s">
        <v>179</v>
      </c>
      <c r="E210" s="47" t="s">
        <v>265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285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257</v>
      </c>
      <c r="C211" s="47" t="s">
        <v>304</v>
      </c>
      <c r="D211" s="47" t="s">
        <v>305</v>
      </c>
      <c r="E211" s="47" t="s">
        <v>265</v>
      </c>
      <c r="F211" s="47" t="n">
        <v>3</v>
      </c>
      <c r="G211" s="48" t="n">
        <v>50</v>
      </c>
      <c r="H211" s="48" t="n">
        <f aca="false">F211*G211</f>
        <v>150</v>
      </c>
      <c r="I211" s="47" t="s">
        <v>306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257</v>
      </c>
      <c r="C212" s="47" t="s">
        <v>289</v>
      </c>
      <c r="D212" s="47" t="s">
        <v>186</v>
      </c>
      <c r="E212" s="47" t="s">
        <v>265</v>
      </c>
      <c r="F212" s="47" t="n">
        <v>1</v>
      </c>
      <c r="G212" s="48" t="n">
        <v>1216.24</v>
      </c>
      <c r="H212" s="48" t="n">
        <f aca="false">F212*G212</f>
        <v>1216.24</v>
      </c>
      <c r="I212" s="47" t="s">
        <v>315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266</v>
      </c>
      <c r="C213" s="47" t="s">
        <v>281</v>
      </c>
      <c r="D213" s="47" t="s">
        <v>220</v>
      </c>
      <c r="E213" s="47" t="s">
        <v>265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296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266</v>
      </c>
      <c r="C214" s="47" t="s">
        <v>281</v>
      </c>
      <c r="D214" s="47" t="s">
        <v>308</v>
      </c>
      <c r="E214" s="47" t="s">
        <v>265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309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266</v>
      </c>
      <c r="C215" s="47" t="s">
        <v>281</v>
      </c>
      <c r="D215" s="47" t="s">
        <v>180</v>
      </c>
      <c r="E215" s="47" t="s">
        <v>265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285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266</v>
      </c>
      <c r="C216" s="47" t="s">
        <v>281</v>
      </c>
      <c r="D216" s="47" t="s">
        <v>181</v>
      </c>
      <c r="E216" s="47" t="s">
        <v>265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285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266</v>
      </c>
      <c r="C217" s="47" t="s">
        <v>44</v>
      </c>
      <c r="D217" s="47" t="s">
        <v>182</v>
      </c>
      <c r="E217" s="47" t="s">
        <v>265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285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266</v>
      </c>
      <c r="C218" s="47" t="s">
        <v>286</v>
      </c>
      <c r="D218" s="47" t="s">
        <v>157</v>
      </c>
      <c r="E218" s="47" t="s">
        <v>265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285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266</v>
      </c>
      <c r="C219" s="47" t="s">
        <v>286</v>
      </c>
      <c r="D219" s="47" t="s">
        <v>158</v>
      </c>
      <c r="E219" s="47" t="s">
        <v>265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285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266</v>
      </c>
      <c r="C220" s="47" t="s">
        <v>288</v>
      </c>
      <c r="D220" s="47" t="s">
        <v>179</v>
      </c>
      <c r="E220" s="47" t="s">
        <v>265</v>
      </c>
      <c r="F220" s="47" t="n">
        <v>2</v>
      </c>
      <c r="G220" s="48" t="n">
        <v>30</v>
      </c>
      <c r="H220" s="48" t="n">
        <f aca="false">F220*G220</f>
        <v>60</v>
      </c>
      <c r="I220" s="47" t="s">
        <v>285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266</v>
      </c>
      <c r="C221" s="47" t="s">
        <v>289</v>
      </c>
      <c r="D221" s="47" t="s">
        <v>186</v>
      </c>
      <c r="E221" s="47" t="s">
        <v>265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293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267</v>
      </c>
      <c r="C222" s="47" t="s">
        <v>281</v>
      </c>
      <c r="D222" s="47" t="s">
        <v>220</v>
      </c>
      <c r="E222" s="47" t="s">
        <v>265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299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267</v>
      </c>
      <c r="C223" s="47" t="s">
        <v>281</v>
      </c>
      <c r="D223" s="47" t="s">
        <v>180</v>
      </c>
      <c r="E223" s="47" t="s">
        <v>265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285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267</v>
      </c>
      <c r="C224" s="47" t="s">
        <v>281</v>
      </c>
      <c r="D224" s="47" t="s">
        <v>181</v>
      </c>
      <c r="E224" s="47" t="s">
        <v>265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285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267</v>
      </c>
      <c r="C225" s="47" t="s">
        <v>44</v>
      </c>
      <c r="D225" s="47" t="s">
        <v>182</v>
      </c>
      <c r="E225" s="47" t="s">
        <v>265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285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267</v>
      </c>
      <c r="C226" s="47" t="s">
        <v>286</v>
      </c>
      <c r="D226" s="47" t="s">
        <v>157</v>
      </c>
      <c r="E226" s="47" t="s">
        <v>265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285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267</v>
      </c>
      <c r="C227" s="47" t="s">
        <v>286</v>
      </c>
      <c r="D227" s="47" t="s">
        <v>158</v>
      </c>
      <c r="E227" s="47" t="s">
        <v>265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285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267</v>
      </c>
      <c r="C228" s="47" t="s">
        <v>288</v>
      </c>
      <c r="D228" s="47" t="s">
        <v>179</v>
      </c>
      <c r="E228" s="47" t="s">
        <v>265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285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267</v>
      </c>
      <c r="C229" s="47" t="s">
        <v>289</v>
      </c>
      <c r="D229" s="47" t="s">
        <v>186</v>
      </c>
      <c r="E229" s="47" t="s">
        <v>265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293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269</v>
      </c>
      <c r="C230" s="47" t="s">
        <v>281</v>
      </c>
      <c r="D230" s="47" t="s">
        <v>220</v>
      </c>
      <c r="E230" s="47" t="s">
        <v>268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300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269</v>
      </c>
      <c r="C231" s="47" t="s">
        <v>281</v>
      </c>
      <c r="D231" s="47" t="s">
        <v>180</v>
      </c>
      <c r="E231" s="47" t="s">
        <v>268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285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269</v>
      </c>
      <c r="C232" s="47" t="s">
        <v>281</v>
      </c>
      <c r="D232" s="47" t="s">
        <v>181</v>
      </c>
      <c r="E232" s="47" t="s">
        <v>268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285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269</v>
      </c>
      <c r="C233" s="47" t="s">
        <v>44</v>
      </c>
      <c r="D233" s="47" t="s">
        <v>182</v>
      </c>
      <c r="E233" s="47" t="s">
        <v>268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285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269</v>
      </c>
      <c r="C234" s="47" t="s">
        <v>286</v>
      </c>
      <c r="D234" s="47" t="s">
        <v>157</v>
      </c>
      <c r="E234" s="47" t="s">
        <v>268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285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269</v>
      </c>
      <c r="C235" s="47" t="s">
        <v>286</v>
      </c>
      <c r="D235" s="47" t="s">
        <v>158</v>
      </c>
      <c r="E235" s="47" t="s">
        <v>268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285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269</v>
      </c>
      <c r="C236" s="47" t="s">
        <v>287</v>
      </c>
      <c r="D236" s="47" t="s">
        <v>183</v>
      </c>
      <c r="E236" s="47" t="s">
        <v>268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284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269</v>
      </c>
      <c r="C237" s="47" t="s">
        <v>287</v>
      </c>
      <c r="D237" s="47" t="s">
        <v>185</v>
      </c>
      <c r="E237" s="47" t="s">
        <v>268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284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269</v>
      </c>
      <c r="C238" s="47" t="s">
        <v>288</v>
      </c>
      <c r="D238" s="47" t="s">
        <v>179</v>
      </c>
      <c r="E238" s="47" t="s">
        <v>268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285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272</v>
      </c>
      <c r="C239" s="47" t="s">
        <v>281</v>
      </c>
      <c r="D239" s="47" t="s">
        <v>220</v>
      </c>
      <c r="E239" s="47" t="s">
        <v>268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301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272</v>
      </c>
      <c r="C240" s="47" t="s">
        <v>281</v>
      </c>
      <c r="D240" s="47" t="s">
        <v>308</v>
      </c>
      <c r="E240" s="47" t="s">
        <v>268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309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272</v>
      </c>
      <c r="C241" s="47" t="s">
        <v>281</v>
      </c>
      <c r="D241" s="47" t="s">
        <v>283</v>
      </c>
      <c r="E241" s="47" t="s">
        <v>268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284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272</v>
      </c>
      <c r="C242" s="47" t="s">
        <v>281</v>
      </c>
      <c r="D242" s="47" t="s">
        <v>180</v>
      </c>
      <c r="E242" s="47" t="s">
        <v>268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285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272</v>
      </c>
      <c r="C243" s="47" t="s">
        <v>281</v>
      </c>
      <c r="D243" s="47" t="s">
        <v>181</v>
      </c>
      <c r="E243" s="47" t="s">
        <v>268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285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272</v>
      </c>
      <c r="C244" s="47" t="s">
        <v>44</v>
      </c>
      <c r="D244" s="47" t="s">
        <v>182</v>
      </c>
      <c r="E244" s="47" t="s">
        <v>268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285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272</v>
      </c>
      <c r="C245" s="47" t="s">
        <v>286</v>
      </c>
      <c r="D245" s="47" t="s">
        <v>157</v>
      </c>
      <c r="E245" s="47" t="s">
        <v>268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285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272</v>
      </c>
      <c r="C246" s="47" t="s">
        <v>286</v>
      </c>
      <c r="D246" s="47" t="s">
        <v>158</v>
      </c>
      <c r="E246" s="47" t="s">
        <v>268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285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272</v>
      </c>
      <c r="C247" s="47" t="s">
        <v>287</v>
      </c>
      <c r="D247" s="47" t="s">
        <v>312</v>
      </c>
      <c r="E247" s="47" t="s">
        <v>268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284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272</v>
      </c>
      <c r="C248" s="47" t="s">
        <v>288</v>
      </c>
      <c r="D248" s="47" t="s">
        <v>179</v>
      </c>
      <c r="E248" s="47" t="s">
        <v>268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285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272</v>
      </c>
      <c r="C249" s="47" t="s">
        <v>304</v>
      </c>
      <c r="D249" s="47" t="s">
        <v>316</v>
      </c>
      <c r="E249" s="47" t="s">
        <v>268</v>
      </c>
      <c r="F249" s="47" t="n">
        <v>2</v>
      </c>
      <c r="G249" s="48" t="n">
        <v>50</v>
      </c>
      <c r="H249" s="48" t="n">
        <f aca="false">F249*G249</f>
        <v>100</v>
      </c>
      <c r="I249" s="47" t="s">
        <v>306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272</v>
      </c>
      <c r="C250" s="47" t="s">
        <v>289</v>
      </c>
      <c r="D250" s="47" t="s">
        <v>186</v>
      </c>
      <c r="E250" s="47" t="s">
        <v>268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293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275</v>
      </c>
      <c r="C251" s="47" t="s">
        <v>281</v>
      </c>
      <c r="D251" s="47" t="s">
        <v>220</v>
      </c>
      <c r="E251" s="47" t="s">
        <v>274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302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275</v>
      </c>
      <c r="C252" s="47" t="s">
        <v>281</v>
      </c>
      <c r="D252" s="47" t="s">
        <v>180</v>
      </c>
      <c r="E252" s="47" t="s">
        <v>274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285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275</v>
      </c>
      <c r="C253" s="47" t="s">
        <v>281</v>
      </c>
      <c r="D253" s="47" t="s">
        <v>181</v>
      </c>
      <c r="E253" s="47" t="s">
        <v>274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285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275</v>
      </c>
      <c r="C254" s="47" t="s">
        <v>44</v>
      </c>
      <c r="D254" s="47" t="s">
        <v>182</v>
      </c>
      <c r="E254" s="47" t="s">
        <v>274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285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275</v>
      </c>
      <c r="C255" s="47" t="s">
        <v>286</v>
      </c>
      <c r="D255" s="47" t="s">
        <v>157</v>
      </c>
      <c r="E255" s="47" t="s">
        <v>274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285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275</v>
      </c>
      <c r="C256" s="47" t="s">
        <v>286</v>
      </c>
      <c r="D256" s="47" t="s">
        <v>158</v>
      </c>
      <c r="E256" s="47" t="s">
        <v>274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285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275</v>
      </c>
      <c r="C257" s="47" t="s">
        <v>288</v>
      </c>
      <c r="D257" s="47" t="s">
        <v>179</v>
      </c>
      <c r="E257" s="47" t="s">
        <v>274</v>
      </c>
      <c r="F257" s="47" t="n">
        <v>1</v>
      </c>
      <c r="G257" s="48" t="n">
        <v>30</v>
      </c>
      <c r="H257" s="48" t="n">
        <f aca="false">F257*G257</f>
        <v>30</v>
      </c>
      <c r="I257" s="47" t="s">
        <v>285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257</v>
      </c>
      <c r="C258" s="47" t="s">
        <v>281</v>
      </c>
      <c r="D258" s="47" t="s">
        <v>220</v>
      </c>
      <c r="E258" s="47" t="s">
        <v>256</v>
      </c>
      <c r="F258" s="47" t="n">
        <v>1</v>
      </c>
      <c r="G258" s="48" t="n">
        <v>107937.616302222</v>
      </c>
      <c r="H258" s="48" t="n">
        <f aca="false">G258*F258</f>
        <v>107937.616302222</v>
      </c>
      <c r="I258" s="47" t="s">
        <v>317</v>
      </c>
    </row>
    <row r="259" customFormat="false" ht="14.25" hidden="false" customHeight="true" outlineLevel="0" collapsed="false">
      <c r="A259" s="47" t="s">
        <v>21</v>
      </c>
      <c r="B259" s="47" t="s">
        <v>257</v>
      </c>
      <c r="C259" s="47" t="s">
        <v>281</v>
      </c>
      <c r="D259" s="47" t="s">
        <v>283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318</v>
      </c>
    </row>
    <row r="260" customFormat="false" ht="14.25" hidden="false" customHeight="true" outlineLevel="0" collapsed="false">
      <c r="A260" s="47" t="s">
        <v>21</v>
      </c>
      <c r="B260" s="47" t="s">
        <v>257</v>
      </c>
      <c r="C260" s="47" t="s">
        <v>281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319</v>
      </c>
    </row>
    <row r="261" customFormat="false" ht="14.25" hidden="false" customHeight="true" outlineLevel="0" collapsed="false">
      <c r="A261" s="47" t="s">
        <v>21</v>
      </c>
      <c r="B261" s="47" t="s">
        <v>257</v>
      </c>
      <c r="C261" s="47" t="s">
        <v>281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319</v>
      </c>
    </row>
    <row r="262" customFormat="false" ht="14.25" hidden="false" customHeight="true" outlineLevel="0" collapsed="false">
      <c r="A262" s="47" t="s">
        <v>21</v>
      </c>
      <c r="B262" s="47" t="s">
        <v>257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319</v>
      </c>
    </row>
    <row r="263" customFormat="false" ht="14.25" hidden="false" customHeight="true" outlineLevel="0" collapsed="false">
      <c r="A263" s="47" t="s">
        <v>21</v>
      </c>
      <c r="B263" s="47" t="s">
        <v>257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318</v>
      </c>
    </row>
    <row r="264" customFormat="false" ht="14.25" hidden="false" customHeight="true" outlineLevel="0" collapsed="false">
      <c r="A264" s="47" t="s">
        <v>21</v>
      </c>
      <c r="B264" s="47" t="s">
        <v>257</v>
      </c>
      <c r="C264" s="47" t="s">
        <v>287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318</v>
      </c>
    </row>
    <row r="265" customFormat="false" ht="14.25" hidden="false" customHeight="true" outlineLevel="0" collapsed="false">
      <c r="A265" s="47" t="s">
        <v>21</v>
      </c>
      <c r="B265" s="47" t="s">
        <v>257</v>
      </c>
      <c r="C265" s="47" t="s">
        <v>287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318</v>
      </c>
    </row>
    <row r="266" customFormat="false" ht="14.25" hidden="false" customHeight="true" outlineLevel="0" collapsed="false">
      <c r="A266" s="47" t="s">
        <v>21</v>
      </c>
      <c r="B266" s="47" t="s">
        <v>257</v>
      </c>
      <c r="C266" s="47" t="s">
        <v>288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319</v>
      </c>
    </row>
    <row r="267" customFormat="false" ht="15" hidden="false" customHeight="true" outlineLevel="0" collapsed="false">
      <c r="A267" s="47" t="s">
        <v>21</v>
      </c>
      <c r="B267" s="47" t="s">
        <v>257</v>
      </c>
      <c r="C267" s="47" t="s">
        <v>286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319</v>
      </c>
    </row>
    <row r="268" customFormat="false" ht="14.25" hidden="false" customHeight="true" outlineLevel="0" collapsed="false">
      <c r="A268" s="47" t="s">
        <v>21</v>
      </c>
      <c r="B268" s="47" t="s">
        <v>257</v>
      </c>
      <c r="C268" s="47" t="s">
        <v>286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319</v>
      </c>
    </row>
    <row r="269" customFormat="false" ht="14.25" hidden="false" customHeight="true" outlineLevel="0" collapsed="false">
      <c r="A269" s="47" t="s">
        <v>21</v>
      </c>
      <c r="B269" s="47" t="s">
        <v>257</v>
      </c>
      <c r="C269" s="47" t="s">
        <v>289</v>
      </c>
      <c r="D269" s="47" t="s">
        <v>186</v>
      </c>
      <c r="E269" s="47" t="s">
        <v>256</v>
      </c>
      <c r="F269" s="47" t="n">
        <v>1</v>
      </c>
      <c r="G269" s="48" t="n">
        <v>2038.91</v>
      </c>
      <c r="H269" s="48" t="n">
        <f aca="false">G269*F269</f>
        <v>2038.91</v>
      </c>
      <c r="I269" s="47" t="s">
        <v>320</v>
      </c>
    </row>
    <row r="270" customFormat="false" ht="14.25" hidden="false" customHeight="true" outlineLevel="0" collapsed="false">
      <c r="A270" s="47" t="s">
        <v>21</v>
      </c>
      <c r="B270" s="47" t="s">
        <v>257</v>
      </c>
      <c r="C270" s="47" t="s">
        <v>281</v>
      </c>
      <c r="D270" s="47" t="s">
        <v>308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321</v>
      </c>
    </row>
    <row r="271" customFormat="false" ht="14.25" hidden="false" customHeight="true" outlineLevel="0" collapsed="false">
      <c r="A271" s="47" t="s">
        <v>21</v>
      </c>
      <c r="B271" s="47" t="s">
        <v>257</v>
      </c>
      <c r="C271" s="47" t="s">
        <v>281</v>
      </c>
      <c r="D271" s="47" t="s">
        <v>220</v>
      </c>
      <c r="E271" s="47" t="s">
        <v>259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322</v>
      </c>
    </row>
    <row r="272" customFormat="false" ht="14.25" hidden="false" customHeight="true" outlineLevel="0" collapsed="false">
      <c r="A272" s="47" t="s">
        <v>21</v>
      </c>
      <c r="B272" s="47" t="s">
        <v>257</v>
      </c>
      <c r="C272" s="47" t="s">
        <v>281</v>
      </c>
      <c r="D272" s="47" t="s">
        <v>283</v>
      </c>
      <c r="E272" s="47" t="s">
        <v>259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318</v>
      </c>
    </row>
    <row r="273" customFormat="false" ht="14.25" hidden="false" customHeight="true" outlineLevel="0" collapsed="false">
      <c r="A273" s="47" t="s">
        <v>21</v>
      </c>
      <c r="B273" s="47" t="s">
        <v>257</v>
      </c>
      <c r="C273" s="47" t="s">
        <v>281</v>
      </c>
      <c r="D273" s="47" t="s">
        <v>180</v>
      </c>
      <c r="E273" s="47" t="s">
        <v>259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319</v>
      </c>
    </row>
    <row r="274" customFormat="false" ht="14.25" hidden="false" customHeight="true" outlineLevel="0" collapsed="false">
      <c r="A274" s="47" t="s">
        <v>21</v>
      </c>
      <c r="B274" s="47" t="s">
        <v>257</v>
      </c>
      <c r="C274" s="47" t="s">
        <v>281</v>
      </c>
      <c r="D274" s="47" t="s">
        <v>181</v>
      </c>
      <c r="E274" s="47" t="s">
        <v>259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319</v>
      </c>
    </row>
    <row r="275" customFormat="false" ht="14.25" hidden="false" customHeight="true" outlineLevel="0" collapsed="false">
      <c r="A275" s="47" t="s">
        <v>21</v>
      </c>
      <c r="B275" s="47" t="s">
        <v>257</v>
      </c>
      <c r="C275" s="47" t="s">
        <v>44</v>
      </c>
      <c r="D275" s="47" t="s">
        <v>182</v>
      </c>
      <c r="E275" s="47" t="s">
        <v>259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319</v>
      </c>
    </row>
    <row r="276" customFormat="false" ht="14.25" hidden="false" customHeight="true" outlineLevel="0" collapsed="false">
      <c r="A276" s="47" t="s">
        <v>21</v>
      </c>
      <c r="B276" s="47" t="s">
        <v>257</v>
      </c>
      <c r="C276" s="47" t="s">
        <v>44</v>
      </c>
      <c r="D276" s="47" t="s">
        <v>221</v>
      </c>
      <c r="E276" s="47" t="s">
        <v>259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318</v>
      </c>
    </row>
    <row r="277" customFormat="false" ht="14.25" hidden="false" customHeight="true" outlineLevel="0" collapsed="false">
      <c r="A277" s="47" t="s">
        <v>21</v>
      </c>
      <c r="B277" s="47" t="s">
        <v>257</v>
      </c>
      <c r="C277" s="47" t="s">
        <v>287</v>
      </c>
      <c r="D277" s="47" t="s">
        <v>183</v>
      </c>
      <c r="E277" s="47" t="s">
        <v>259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318</v>
      </c>
    </row>
    <row r="278" customFormat="false" ht="15" hidden="false" customHeight="true" outlineLevel="0" collapsed="false">
      <c r="A278" s="47" t="s">
        <v>21</v>
      </c>
      <c r="B278" s="47" t="s">
        <v>257</v>
      </c>
      <c r="C278" s="47" t="s">
        <v>287</v>
      </c>
      <c r="D278" s="47" t="s">
        <v>185</v>
      </c>
      <c r="E278" s="47" t="s">
        <v>259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318</v>
      </c>
    </row>
    <row r="279" customFormat="false" ht="14.25" hidden="false" customHeight="true" outlineLevel="0" collapsed="false">
      <c r="A279" s="47" t="s">
        <v>21</v>
      </c>
      <c r="B279" s="47" t="s">
        <v>257</v>
      </c>
      <c r="C279" s="47" t="s">
        <v>288</v>
      </c>
      <c r="D279" s="47" t="s">
        <v>179</v>
      </c>
      <c r="E279" s="47" t="s">
        <v>259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319</v>
      </c>
    </row>
    <row r="280" customFormat="false" ht="14.25" hidden="false" customHeight="true" outlineLevel="0" collapsed="false">
      <c r="A280" s="47" t="s">
        <v>21</v>
      </c>
      <c r="B280" s="47" t="s">
        <v>257</v>
      </c>
      <c r="C280" s="47" t="s">
        <v>286</v>
      </c>
      <c r="D280" s="47" t="s">
        <v>157</v>
      </c>
      <c r="E280" s="47" t="s">
        <v>259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319</v>
      </c>
    </row>
    <row r="281" customFormat="false" ht="14.25" hidden="false" customHeight="true" outlineLevel="0" collapsed="false">
      <c r="A281" s="47" t="s">
        <v>21</v>
      </c>
      <c r="B281" s="47" t="s">
        <v>257</v>
      </c>
      <c r="C281" s="47" t="s">
        <v>286</v>
      </c>
      <c r="D281" s="47" t="s">
        <v>158</v>
      </c>
      <c r="E281" s="47" t="s">
        <v>259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319</v>
      </c>
    </row>
    <row r="282" customFormat="false" ht="14.25" hidden="false" customHeight="true" outlineLevel="0" collapsed="false">
      <c r="A282" s="47" t="s">
        <v>21</v>
      </c>
      <c r="B282" s="47" t="s">
        <v>257</v>
      </c>
      <c r="C282" s="47" t="s">
        <v>281</v>
      </c>
      <c r="D282" s="47" t="s">
        <v>220</v>
      </c>
      <c r="E282" s="47" t="s">
        <v>261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323</v>
      </c>
    </row>
    <row r="283" customFormat="false" ht="14.25" hidden="false" customHeight="true" outlineLevel="0" collapsed="false">
      <c r="A283" s="47" t="s">
        <v>21</v>
      </c>
      <c r="B283" s="47" t="s">
        <v>257</v>
      </c>
      <c r="C283" s="47" t="s">
        <v>281</v>
      </c>
      <c r="D283" s="47" t="s">
        <v>283</v>
      </c>
      <c r="E283" s="47" t="s">
        <v>261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318</v>
      </c>
    </row>
    <row r="284" customFormat="false" ht="14.25" hidden="false" customHeight="true" outlineLevel="0" collapsed="false">
      <c r="A284" s="47" t="s">
        <v>21</v>
      </c>
      <c r="B284" s="47" t="s">
        <v>257</v>
      </c>
      <c r="C284" s="47" t="s">
        <v>281</v>
      </c>
      <c r="D284" s="47" t="s">
        <v>180</v>
      </c>
      <c r="E284" s="47" t="s">
        <v>261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319</v>
      </c>
    </row>
    <row r="285" customFormat="false" ht="14.25" hidden="false" customHeight="true" outlineLevel="0" collapsed="false">
      <c r="A285" s="47" t="s">
        <v>21</v>
      </c>
      <c r="B285" s="47" t="s">
        <v>257</v>
      </c>
      <c r="C285" s="47" t="s">
        <v>281</v>
      </c>
      <c r="D285" s="47" t="s">
        <v>181</v>
      </c>
      <c r="E285" s="47" t="s">
        <v>261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319</v>
      </c>
    </row>
    <row r="286" customFormat="false" ht="14.25" hidden="false" customHeight="true" outlineLevel="0" collapsed="false">
      <c r="A286" s="47" t="s">
        <v>21</v>
      </c>
      <c r="B286" s="47" t="s">
        <v>257</v>
      </c>
      <c r="C286" s="47" t="s">
        <v>44</v>
      </c>
      <c r="D286" s="47" t="s">
        <v>182</v>
      </c>
      <c r="E286" s="47" t="s">
        <v>261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319</v>
      </c>
    </row>
    <row r="287" customFormat="false" ht="14.25" hidden="false" customHeight="true" outlineLevel="0" collapsed="false">
      <c r="A287" s="47" t="s">
        <v>21</v>
      </c>
      <c r="B287" s="47" t="s">
        <v>257</v>
      </c>
      <c r="C287" s="47" t="s">
        <v>44</v>
      </c>
      <c r="D287" s="47" t="s">
        <v>221</v>
      </c>
      <c r="E287" s="47" t="s">
        <v>261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318</v>
      </c>
    </row>
    <row r="288" customFormat="false" ht="14.25" hidden="false" customHeight="true" outlineLevel="0" collapsed="false">
      <c r="A288" s="47" t="s">
        <v>21</v>
      </c>
      <c r="B288" s="47" t="s">
        <v>257</v>
      </c>
      <c r="C288" s="47" t="s">
        <v>287</v>
      </c>
      <c r="D288" s="47" t="s">
        <v>183</v>
      </c>
      <c r="E288" s="47" t="s">
        <v>261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318</v>
      </c>
    </row>
    <row r="289" customFormat="false" ht="14.25" hidden="false" customHeight="true" outlineLevel="0" collapsed="false">
      <c r="A289" s="47" t="s">
        <v>21</v>
      </c>
      <c r="B289" s="47" t="s">
        <v>257</v>
      </c>
      <c r="C289" s="47" t="s">
        <v>287</v>
      </c>
      <c r="D289" s="47" t="s">
        <v>185</v>
      </c>
      <c r="E289" s="47" t="s">
        <v>261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318</v>
      </c>
    </row>
    <row r="290" customFormat="false" ht="14.25" hidden="false" customHeight="true" outlineLevel="0" collapsed="false">
      <c r="A290" s="47" t="s">
        <v>21</v>
      </c>
      <c r="B290" s="47" t="s">
        <v>257</v>
      </c>
      <c r="C290" s="47" t="s">
        <v>288</v>
      </c>
      <c r="D290" s="47" t="s">
        <v>179</v>
      </c>
      <c r="E290" s="47" t="s">
        <v>261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319</v>
      </c>
    </row>
    <row r="291" customFormat="false" ht="14.25" hidden="false" customHeight="true" outlineLevel="0" collapsed="false">
      <c r="A291" s="47" t="s">
        <v>21</v>
      </c>
      <c r="B291" s="47" t="s">
        <v>257</v>
      </c>
      <c r="C291" s="47" t="s">
        <v>286</v>
      </c>
      <c r="D291" s="47" t="s">
        <v>157</v>
      </c>
      <c r="E291" s="47" t="s">
        <v>261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319</v>
      </c>
    </row>
    <row r="292" customFormat="false" ht="14.25" hidden="false" customHeight="true" outlineLevel="0" collapsed="false">
      <c r="A292" s="47" t="s">
        <v>21</v>
      </c>
      <c r="B292" s="47" t="s">
        <v>257</v>
      </c>
      <c r="C292" s="47" t="s">
        <v>286</v>
      </c>
      <c r="D292" s="47" t="s">
        <v>158</v>
      </c>
      <c r="E292" s="47" t="s">
        <v>261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319</v>
      </c>
    </row>
    <row r="293" customFormat="false" ht="14.25" hidden="false" customHeight="true" outlineLevel="0" collapsed="false">
      <c r="A293" s="47" t="s">
        <v>21</v>
      </c>
      <c r="B293" s="47" t="s">
        <v>257</v>
      </c>
      <c r="C293" s="47" t="s">
        <v>289</v>
      </c>
      <c r="D293" s="47" t="s">
        <v>186</v>
      </c>
      <c r="E293" s="47" t="s">
        <v>261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293</v>
      </c>
    </row>
    <row r="294" customFormat="false" ht="14.25" hidden="false" customHeight="true" outlineLevel="0" collapsed="false">
      <c r="A294" s="47" t="s">
        <v>21</v>
      </c>
      <c r="B294" s="47" t="s">
        <v>257</v>
      </c>
      <c r="C294" s="47" t="s">
        <v>281</v>
      </c>
      <c r="D294" s="47" t="s">
        <v>220</v>
      </c>
      <c r="E294" s="47" t="s">
        <v>262</v>
      </c>
      <c r="F294" s="47" t="n">
        <v>1</v>
      </c>
      <c r="G294" s="48" t="n">
        <v>17414.61856</v>
      </c>
      <c r="H294" s="48" t="n">
        <f aca="false">G294*F294</f>
        <v>17414.61856</v>
      </c>
      <c r="I294" s="47" t="s">
        <v>324</v>
      </c>
    </row>
    <row r="295" customFormat="false" ht="15" hidden="false" customHeight="true" outlineLevel="0" collapsed="false">
      <c r="A295" s="47" t="s">
        <v>21</v>
      </c>
      <c r="B295" s="47" t="s">
        <v>257</v>
      </c>
      <c r="C295" s="47" t="s">
        <v>281</v>
      </c>
      <c r="D295" s="47" t="s">
        <v>283</v>
      </c>
      <c r="E295" s="47" t="s">
        <v>262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318</v>
      </c>
    </row>
    <row r="296" customFormat="false" ht="14.25" hidden="false" customHeight="true" outlineLevel="0" collapsed="false">
      <c r="A296" s="47" t="s">
        <v>21</v>
      </c>
      <c r="B296" s="47" t="s">
        <v>257</v>
      </c>
      <c r="C296" s="47" t="s">
        <v>281</v>
      </c>
      <c r="D296" s="47" t="s">
        <v>180</v>
      </c>
      <c r="E296" s="47" t="s">
        <v>262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319</v>
      </c>
    </row>
    <row r="297" customFormat="false" ht="14.25" hidden="false" customHeight="true" outlineLevel="0" collapsed="false">
      <c r="A297" s="47" t="s">
        <v>21</v>
      </c>
      <c r="B297" s="47" t="s">
        <v>257</v>
      </c>
      <c r="C297" s="47" t="s">
        <v>281</v>
      </c>
      <c r="D297" s="47" t="s">
        <v>181</v>
      </c>
      <c r="E297" s="47" t="s">
        <v>262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319</v>
      </c>
    </row>
    <row r="298" customFormat="false" ht="14.25" hidden="false" customHeight="true" outlineLevel="0" collapsed="false">
      <c r="A298" s="47" t="s">
        <v>21</v>
      </c>
      <c r="B298" s="47" t="s">
        <v>257</v>
      </c>
      <c r="C298" s="47" t="s">
        <v>44</v>
      </c>
      <c r="D298" s="47" t="s">
        <v>182</v>
      </c>
      <c r="E298" s="47" t="s">
        <v>262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319</v>
      </c>
    </row>
    <row r="299" customFormat="false" ht="14.25" hidden="false" customHeight="true" outlineLevel="0" collapsed="false">
      <c r="A299" s="47" t="s">
        <v>21</v>
      </c>
      <c r="B299" s="47" t="s">
        <v>257</v>
      </c>
      <c r="C299" s="47" t="s">
        <v>44</v>
      </c>
      <c r="D299" s="47" t="s">
        <v>221</v>
      </c>
      <c r="E299" s="47" t="s">
        <v>262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318</v>
      </c>
    </row>
    <row r="300" customFormat="false" ht="14.25" hidden="false" customHeight="true" outlineLevel="0" collapsed="false">
      <c r="A300" s="47" t="s">
        <v>21</v>
      </c>
      <c r="B300" s="47" t="s">
        <v>257</v>
      </c>
      <c r="C300" s="47" t="s">
        <v>287</v>
      </c>
      <c r="D300" s="47" t="s">
        <v>183</v>
      </c>
      <c r="E300" s="47" t="s">
        <v>262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318</v>
      </c>
    </row>
    <row r="301" customFormat="false" ht="14.25" hidden="false" customHeight="true" outlineLevel="0" collapsed="false">
      <c r="A301" s="47" t="s">
        <v>21</v>
      </c>
      <c r="B301" s="47" t="s">
        <v>257</v>
      </c>
      <c r="C301" s="47" t="s">
        <v>287</v>
      </c>
      <c r="D301" s="47" t="s">
        <v>185</v>
      </c>
      <c r="E301" s="47" t="s">
        <v>262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318</v>
      </c>
    </row>
    <row r="302" customFormat="false" ht="14.25" hidden="false" customHeight="true" outlineLevel="0" collapsed="false">
      <c r="A302" s="47" t="s">
        <v>21</v>
      </c>
      <c r="B302" s="47" t="s">
        <v>257</v>
      </c>
      <c r="C302" s="47" t="s">
        <v>288</v>
      </c>
      <c r="D302" s="47" t="s">
        <v>179</v>
      </c>
      <c r="E302" s="47" t="s">
        <v>262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319</v>
      </c>
    </row>
    <row r="303" customFormat="false" ht="14.25" hidden="false" customHeight="true" outlineLevel="0" collapsed="false">
      <c r="A303" s="47" t="s">
        <v>21</v>
      </c>
      <c r="B303" s="47" t="s">
        <v>257</v>
      </c>
      <c r="C303" s="47" t="s">
        <v>286</v>
      </c>
      <c r="D303" s="47" t="s">
        <v>157</v>
      </c>
      <c r="E303" s="47" t="s">
        <v>262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319</v>
      </c>
    </row>
    <row r="304" customFormat="false" ht="14.25" hidden="false" customHeight="true" outlineLevel="0" collapsed="false">
      <c r="A304" s="47" t="s">
        <v>21</v>
      </c>
      <c r="B304" s="47" t="s">
        <v>257</v>
      </c>
      <c r="C304" s="47" t="s">
        <v>286</v>
      </c>
      <c r="D304" s="47" t="s">
        <v>158</v>
      </c>
      <c r="E304" s="47" t="s">
        <v>262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319</v>
      </c>
    </row>
    <row r="305" customFormat="false" ht="14.25" hidden="false" customHeight="true" outlineLevel="0" collapsed="false">
      <c r="A305" s="47" t="s">
        <v>21</v>
      </c>
      <c r="B305" s="47" t="s">
        <v>257</v>
      </c>
      <c r="C305" s="47" t="s">
        <v>281</v>
      </c>
      <c r="D305" s="47" t="s">
        <v>308</v>
      </c>
      <c r="E305" s="47" t="s">
        <v>262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321</v>
      </c>
    </row>
    <row r="306" customFormat="false" ht="14.25" hidden="false" customHeight="true" outlineLevel="0" collapsed="false">
      <c r="A306" s="47" t="s">
        <v>21</v>
      </c>
      <c r="B306" s="47" t="s">
        <v>257</v>
      </c>
      <c r="C306" s="47" t="s">
        <v>281</v>
      </c>
      <c r="D306" s="47" t="s">
        <v>220</v>
      </c>
      <c r="E306" s="47" t="s">
        <v>265</v>
      </c>
      <c r="F306" s="47" t="n">
        <v>1</v>
      </c>
      <c r="G306" s="48" t="n">
        <v>34886.0380622222</v>
      </c>
      <c r="H306" s="48" t="n">
        <f aca="false">G306*F306</f>
        <v>34886.0380622222</v>
      </c>
      <c r="I306" s="47" t="s">
        <v>325</v>
      </c>
    </row>
    <row r="307" customFormat="false" ht="14.25" hidden="false" customHeight="true" outlineLevel="0" collapsed="false">
      <c r="A307" s="47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318</v>
      </c>
    </row>
    <row r="308" customFormat="false" ht="14.25" hidden="false" customHeight="true" outlineLevel="0" collapsed="false">
      <c r="A308" s="47" t="s">
        <v>21</v>
      </c>
      <c r="B308" s="47" t="s">
        <v>257</v>
      </c>
      <c r="C308" s="47" t="s">
        <v>281</v>
      </c>
      <c r="D308" s="47" t="s">
        <v>180</v>
      </c>
      <c r="E308" s="47" t="s">
        <v>265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319</v>
      </c>
    </row>
    <row r="309" customFormat="false" ht="14.25" hidden="false" customHeight="true" outlineLevel="0" collapsed="false">
      <c r="A309" s="47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7" t="s">
        <v>21</v>
      </c>
      <c r="B310" s="47" t="s">
        <v>257</v>
      </c>
      <c r="C310" s="47" t="s">
        <v>44</v>
      </c>
      <c r="D310" s="47" t="s">
        <v>182</v>
      </c>
      <c r="E310" s="47" t="s">
        <v>265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319</v>
      </c>
    </row>
    <row r="311" customFormat="false" ht="14.25" hidden="false" customHeight="true" outlineLevel="0" collapsed="false">
      <c r="A311" s="47" t="s">
        <v>21</v>
      </c>
      <c r="B311" s="47" t="s">
        <v>257</v>
      </c>
      <c r="C311" s="47" t="s">
        <v>44</v>
      </c>
      <c r="D311" s="47" t="s">
        <v>221</v>
      </c>
      <c r="E311" s="47" t="s">
        <v>265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318</v>
      </c>
    </row>
    <row r="312" customFormat="false" ht="14.25" hidden="false" customHeight="true" outlineLevel="0" collapsed="false">
      <c r="A312" s="47" t="s">
        <v>21</v>
      </c>
      <c r="B312" s="47" t="s">
        <v>257</v>
      </c>
      <c r="C312" s="47" t="s">
        <v>287</v>
      </c>
      <c r="D312" s="47" t="s">
        <v>183</v>
      </c>
      <c r="E312" s="47" t="s">
        <v>265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318</v>
      </c>
    </row>
    <row r="313" customFormat="false" ht="14.25" hidden="false" customHeight="true" outlineLevel="0" collapsed="false">
      <c r="A313" s="47" t="s">
        <v>21</v>
      </c>
      <c r="B313" s="47" t="s">
        <v>257</v>
      </c>
      <c r="C313" s="47" t="s">
        <v>287</v>
      </c>
      <c r="D313" s="47" t="s">
        <v>185</v>
      </c>
      <c r="E313" s="47" t="s">
        <v>265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318</v>
      </c>
    </row>
    <row r="314" customFormat="false" ht="14.25" hidden="false" customHeight="true" outlineLevel="0" collapsed="false">
      <c r="A314" s="47" t="s">
        <v>21</v>
      </c>
      <c r="B314" s="47" t="s">
        <v>257</v>
      </c>
      <c r="C314" s="47" t="s">
        <v>288</v>
      </c>
      <c r="D314" s="47" t="s">
        <v>179</v>
      </c>
      <c r="E314" s="47" t="s">
        <v>265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319</v>
      </c>
    </row>
    <row r="315" customFormat="false" ht="14.25" hidden="false" customHeight="true" outlineLevel="0" collapsed="false">
      <c r="A315" s="47" t="s">
        <v>21</v>
      </c>
      <c r="B315" s="47" t="s">
        <v>257</v>
      </c>
      <c r="C315" s="47" t="s">
        <v>286</v>
      </c>
      <c r="D315" s="47" t="s">
        <v>157</v>
      </c>
      <c r="E315" s="47" t="s">
        <v>265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319</v>
      </c>
    </row>
    <row r="316" customFormat="false" ht="14.25" hidden="false" customHeight="true" outlineLevel="0" collapsed="false">
      <c r="A316" s="47" t="s">
        <v>21</v>
      </c>
      <c r="B316" s="47" t="s">
        <v>257</v>
      </c>
      <c r="C316" s="47" t="s">
        <v>286</v>
      </c>
      <c r="D316" s="47" t="s">
        <v>158</v>
      </c>
      <c r="E316" s="47" t="s">
        <v>265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319</v>
      </c>
    </row>
    <row r="317" customFormat="false" ht="14.25" hidden="false" customHeight="true" outlineLevel="0" collapsed="false">
      <c r="A317" s="47" t="s">
        <v>21</v>
      </c>
      <c r="B317" s="47" t="s">
        <v>257</v>
      </c>
      <c r="C317" s="47" t="s">
        <v>289</v>
      </c>
      <c r="D317" s="47" t="s">
        <v>186</v>
      </c>
      <c r="E317" s="47" t="s">
        <v>265</v>
      </c>
      <c r="F317" s="47" t="n">
        <v>1</v>
      </c>
      <c r="G317" s="48" t="n">
        <v>4021.66</v>
      </c>
      <c r="H317" s="48" t="n">
        <f aca="false">G317*F317</f>
        <v>4021.66</v>
      </c>
      <c r="I317" s="47" t="s">
        <v>326</v>
      </c>
    </row>
    <row r="318" customFormat="false" ht="14.25" hidden="false" customHeight="true" outlineLevel="0" collapsed="false">
      <c r="A318" s="47" t="s">
        <v>21</v>
      </c>
      <c r="B318" s="47" t="s">
        <v>269</v>
      </c>
      <c r="C318" s="47" t="s">
        <v>281</v>
      </c>
      <c r="D318" s="47" t="s">
        <v>220</v>
      </c>
      <c r="E318" s="47" t="s">
        <v>268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327</v>
      </c>
    </row>
    <row r="319" customFormat="false" ht="14.25" hidden="false" customHeight="true" outlineLevel="0" collapsed="false">
      <c r="A319" s="47" t="s">
        <v>21</v>
      </c>
      <c r="B319" s="47" t="s">
        <v>269</v>
      </c>
      <c r="C319" s="47" t="s">
        <v>281</v>
      </c>
      <c r="D319" s="47" t="s">
        <v>180</v>
      </c>
      <c r="E319" s="47" t="s">
        <v>268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319</v>
      </c>
    </row>
    <row r="320" customFormat="false" ht="14.25" hidden="false" customHeight="true" outlineLevel="0" collapsed="false">
      <c r="A320" s="47" t="s">
        <v>21</v>
      </c>
      <c r="B320" s="47" t="s">
        <v>269</v>
      </c>
      <c r="C320" s="47" t="s">
        <v>281</v>
      </c>
      <c r="D320" s="47" t="s">
        <v>181</v>
      </c>
      <c r="E320" s="47" t="s">
        <v>268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319</v>
      </c>
    </row>
    <row r="321" customFormat="false" ht="14.25" hidden="false" customHeight="true" outlineLevel="0" collapsed="false">
      <c r="A321" s="47" t="s">
        <v>21</v>
      </c>
      <c r="B321" s="47" t="s">
        <v>269</v>
      </c>
      <c r="C321" s="47" t="s">
        <v>44</v>
      </c>
      <c r="D321" s="47" t="s">
        <v>182</v>
      </c>
      <c r="E321" s="47" t="s">
        <v>268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319</v>
      </c>
    </row>
    <row r="322" customFormat="false" ht="14.25" hidden="false" customHeight="true" outlineLevel="0" collapsed="false">
      <c r="A322" s="47" t="s">
        <v>21</v>
      </c>
      <c r="B322" s="47" t="s">
        <v>269</v>
      </c>
      <c r="C322" s="47" t="s">
        <v>44</v>
      </c>
      <c r="D322" s="47" t="s">
        <v>221</v>
      </c>
      <c r="E322" s="47" t="s">
        <v>268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328</v>
      </c>
    </row>
    <row r="323" customFormat="false" ht="14.25" hidden="false" customHeight="true" outlineLevel="0" collapsed="false">
      <c r="A323" s="47" t="s">
        <v>21</v>
      </c>
      <c r="B323" s="47" t="s">
        <v>269</v>
      </c>
      <c r="C323" s="47" t="s">
        <v>288</v>
      </c>
      <c r="D323" s="47" t="s">
        <v>179</v>
      </c>
      <c r="E323" s="47" t="s">
        <v>268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319</v>
      </c>
    </row>
    <row r="324" customFormat="false" ht="15" hidden="false" customHeight="true" outlineLevel="0" collapsed="false">
      <c r="A324" s="47" t="s">
        <v>21</v>
      </c>
      <c r="B324" s="47" t="s">
        <v>269</v>
      </c>
      <c r="C324" s="47" t="s">
        <v>286</v>
      </c>
      <c r="D324" s="47" t="s">
        <v>157</v>
      </c>
      <c r="E324" s="47" t="s">
        <v>268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319</v>
      </c>
    </row>
    <row r="325" customFormat="false" ht="14.25" hidden="false" customHeight="true" outlineLevel="0" collapsed="false">
      <c r="A325" s="47" t="s">
        <v>21</v>
      </c>
      <c r="B325" s="47" t="s">
        <v>269</v>
      </c>
      <c r="C325" s="47" t="s">
        <v>286</v>
      </c>
      <c r="D325" s="47" t="s">
        <v>158</v>
      </c>
      <c r="E325" s="47" t="s">
        <v>268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319</v>
      </c>
    </row>
    <row r="326" customFormat="false" ht="14.25" hidden="false" customHeight="true" outlineLevel="0" collapsed="false">
      <c r="A326" s="47" t="s">
        <v>21</v>
      </c>
      <c r="B326" s="47" t="s">
        <v>269</v>
      </c>
      <c r="C326" s="47" t="s">
        <v>289</v>
      </c>
      <c r="D326" s="47" t="s">
        <v>186</v>
      </c>
      <c r="E326" s="47" t="s">
        <v>268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293</v>
      </c>
    </row>
    <row r="327" customFormat="false" ht="14.25" hidden="false" customHeight="true" outlineLevel="0" collapsed="false">
      <c r="A327" s="47" t="s">
        <v>21</v>
      </c>
      <c r="B327" s="47" t="s">
        <v>269</v>
      </c>
      <c r="C327" s="47" t="s">
        <v>281</v>
      </c>
      <c r="D327" s="47" t="s">
        <v>308</v>
      </c>
      <c r="E327" s="47" t="s">
        <v>268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321</v>
      </c>
    </row>
    <row r="328" customFormat="false" ht="14.25" hidden="false" customHeight="true" outlineLevel="0" collapsed="false">
      <c r="A328" s="47" t="s">
        <v>21</v>
      </c>
      <c r="B328" s="47" t="s">
        <v>264</v>
      </c>
      <c r="C328" s="47" t="s">
        <v>281</v>
      </c>
      <c r="D328" s="47" t="s">
        <v>220</v>
      </c>
      <c r="E328" s="47" t="s">
        <v>262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329</v>
      </c>
    </row>
    <row r="329" customFormat="false" ht="14.25" hidden="false" customHeight="true" outlineLevel="0" collapsed="false">
      <c r="A329" s="47" t="s">
        <v>21</v>
      </c>
      <c r="B329" s="47" t="s">
        <v>264</v>
      </c>
      <c r="C329" s="47" t="s">
        <v>281</v>
      </c>
      <c r="D329" s="47" t="s">
        <v>180</v>
      </c>
      <c r="E329" s="47" t="s">
        <v>262</v>
      </c>
      <c r="F329" s="47" t="n">
        <v>2</v>
      </c>
      <c r="G329" s="48" t="n">
        <v>26</v>
      </c>
      <c r="H329" s="48" t="n">
        <f aca="false">G329*F329</f>
        <v>52</v>
      </c>
      <c r="I329" s="47" t="s">
        <v>319</v>
      </c>
    </row>
    <row r="330" customFormat="false" ht="14.25" hidden="false" customHeight="true" outlineLevel="0" collapsed="false">
      <c r="A330" s="47" t="s">
        <v>21</v>
      </c>
      <c r="B330" s="47" t="s">
        <v>264</v>
      </c>
      <c r="C330" s="47" t="s">
        <v>281</v>
      </c>
      <c r="D330" s="47" t="s">
        <v>181</v>
      </c>
      <c r="E330" s="47" t="s">
        <v>262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319</v>
      </c>
    </row>
    <row r="331" customFormat="false" ht="14.25" hidden="false" customHeight="true" outlineLevel="0" collapsed="false">
      <c r="A331" s="47" t="s">
        <v>21</v>
      </c>
      <c r="B331" s="47" t="s">
        <v>264</v>
      </c>
      <c r="C331" s="47" t="s">
        <v>44</v>
      </c>
      <c r="D331" s="47" t="s">
        <v>182</v>
      </c>
      <c r="E331" s="47" t="s">
        <v>262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319</v>
      </c>
    </row>
    <row r="332" customFormat="false" ht="14.25" hidden="false" customHeight="true" outlineLevel="0" collapsed="false">
      <c r="A332" s="47" t="s">
        <v>21</v>
      </c>
      <c r="B332" s="47" t="s">
        <v>264</v>
      </c>
      <c r="C332" s="47" t="s">
        <v>288</v>
      </c>
      <c r="D332" s="47" t="s">
        <v>179</v>
      </c>
      <c r="E332" s="47" t="s">
        <v>262</v>
      </c>
      <c r="F332" s="47" t="n">
        <v>2</v>
      </c>
      <c r="G332" s="48" t="n">
        <v>30</v>
      </c>
      <c r="H332" s="48" t="n">
        <f aca="false">G332*F332</f>
        <v>60</v>
      </c>
      <c r="I332" s="47" t="s">
        <v>319</v>
      </c>
    </row>
    <row r="333" customFormat="false" ht="14.25" hidden="false" customHeight="true" outlineLevel="0" collapsed="false">
      <c r="A333" s="47" t="s">
        <v>21</v>
      </c>
      <c r="B333" s="47" t="s">
        <v>264</v>
      </c>
      <c r="C333" s="47" t="s">
        <v>286</v>
      </c>
      <c r="D333" s="47" t="s">
        <v>157</v>
      </c>
      <c r="E333" s="47" t="s">
        <v>262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319</v>
      </c>
    </row>
    <row r="334" customFormat="false" ht="14.25" hidden="false" customHeight="true" outlineLevel="0" collapsed="false">
      <c r="A334" s="47" t="s">
        <v>21</v>
      </c>
      <c r="B334" s="47" t="s">
        <v>264</v>
      </c>
      <c r="C334" s="47" t="s">
        <v>286</v>
      </c>
      <c r="D334" s="47" t="s">
        <v>158</v>
      </c>
      <c r="E334" s="47" t="s">
        <v>262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319</v>
      </c>
    </row>
    <row r="335" customFormat="false" ht="14.25" hidden="false" customHeight="true" outlineLevel="0" collapsed="false">
      <c r="A335" s="47" t="s">
        <v>21</v>
      </c>
      <c r="B335" s="47" t="s">
        <v>264</v>
      </c>
      <c r="C335" s="47" t="s">
        <v>289</v>
      </c>
      <c r="D335" s="47" t="s">
        <v>186</v>
      </c>
      <c r="E335" s="47" t="s">
        <v>262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293</v>
      </c>
    </row>
    <row r="336" customFormat="false" ht="14.25" hidden="false" customHeight="true" outlineLevel="0" collapsed="false">
      <c r="A336" s="47" t="s">
        <v>21</v>
      </c>
      <c r="B336" s="47" t="s">
        <v>272</v>
      </c>
      <c r="C336" s="47" t="s">
        <v>281</v>
      </c>
      <c r="D336" s="47" t="s">
        <v>220</v>
      </c>
      <c r="E336" s="47" t="s">
        <v>268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330</v>
      </c>
    </row>
    <row r="337" customFormat="false" ht="14.25" hidden="false" customHeight="true" outlineLevel="0" collapsed="false">
      <c r="A337" s="47" t="s">
        <v>21</v>
      </c>
      <c r="B337" s="47" t="s">
        <v>272</v>
      </c>
      <c r="C337" s="47" t="s">
        <v>281</v>
      </c>
      <c r="D337" s="47" t="s">
        <v>283</v>
      </c>
      <c r="E337" s="47" t="s">
        <v>268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328</v>
      </c>
    </row>
    <row r="338" customFormat="false" ht="14.25" hidden="false" customHeight="true" outlineLevel="0" collapsed="false">
      <c r="A338" s="47" t="s">
        <v>21</v>
      </c>
      <c r="B338" s="47" t="s">
        <v>272</v>
      </c>
      <c r="C338" s="47" t="s">
        <v>281</v>
      </c>
      <c r="D338" s="47" t="s">
        <v>180</v>
      </c>
      <c r="E338" s="47" t="s">
        <v>268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319</v>
      </c>
    </row>
    <row r="339" customFormat="false" ht="14.25" hidden="false" customHeight="true" outlineLevel="0" collapsed="false">
      <c r="A339" s="47" t="s">
        <v>21</v>
      </c>
      <c r="B339" s="47" t="s">
        <v>272</v>
      </c>
      <c r="C339" s="47" t="s">
        <v>281</v>
      </c>
      <c r="D339" s="47" t="s">
        <v>181</v>
      </c>
      <c r="E339" s="47" t="s">
        <v>268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319</v>
      </c>
    </row>
    <row r="340" customFormat="false" ht="14.25" hidden="false" customHeight="true" outlineLevel="0" collapsed="false">
      <c r="A340" s="47" t="s">
        <v>21</v>
      </c>
      <c r="B340" s="47" t="s">
        <v>272</v>
      </c>
      <c r="C340" s="47" t="s">
        <v>44</v>
      </c>
      <c r="D340" s="47" t="s">
        <v>182</v>
      </c>
      <c r="E340" s="47" t="s">
        <v>268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319</v>
      </c>
    </row>
    <row r="341" customFormat="false" ht="14.25" hidden="false" customHeight="true" outlineLevel="0" collapsed="false">
      <c r="A341" s="47" t="s">
        <v>21</v>
      </c>
      <c r="B341" s="47" t="s">
        <v>272</v>
      </c>
      <c r="C341" s="47" t="s">
        <v>288</v>
      </c>
      <c r="D341" s="47" t="s">
        <v>179</v>
      </c>
      <c r="E341" s="47" t="s">
        <v>268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319</v>
      </c>
    </row>
    <row r="342" customFormat="false" ht="14.25" hidden="false" customHeight="true" outlineLevel="0" collapsed="false">
      <c r="A342" s="47" t="s">
        <v>21</v>
      </c>
      <c r="B342" s="47" t="s">
        <v>272</v>
      </c>
      <c r="C342" s="47" t="s">
        <v>286</v>
      </c>
      <c r="D342" s="47" t="s">
        <v>157</v>
      </c>
      <c r="E342" s="47" t="s">
        <v>268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319</v>
      </c>
    </row>
    <row r="343" customFormat="false" ht="14.25" hidden="false" customHeight="true" outlineLevel="0" collapsed="false">
      <c r="A343" s="47" t="s">
        <v>21</v>
      </c>
      <c r="B343" s="47" t="s">
        <v>272</v>
      </c>
      <c r="C343" s="47" t="s">
        <v>286</v>
      </c>
      <c r="D343" s="47" t="s">
        <v>158</v>
      </c>
      <c r="E343" s="47" t="s">
        <v>268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319</v>
      </c>
    </row>
    <row r="344" customFormat="false" ht="14.25" hidden="false" customHeight="true" outlineLevel="0" collapsed="false">
      <c r="A344" s="47" t="s">
        <v>21</v>
      </c>
      <c r="B344" s="47" t="s">
        <v>272</v>
      </c>
      <c r="C344" s="47" t="s">
        <v>289</v>
      </c>
      <c r="D344" s="47" t="s">
        <v>186</v>
      </c>
      <c r="E344" s="47" t="s">
        <v>268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293</v>
      </c>
    </row>
    <row r="345" customFormat="false" ht="14.25" hidden="false" customHeight="true" outlineLevel="0" collapsed="false">
      <c r="A345" s="47" t="s">
        <v>21</v>
      </c>
      <c r="B345" s="47" t="s">
        <v>272</v>
      </c>
      <c r="C345" s="47" t="s">
        <v>281</v>
      </c>
      <c r="D345" s="47" t="s">
        <v>308</v>
      </c>
      <c r="E345" s="47" t="s">
        <v>268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321</v>
      </c>
    </row>
    <row r="346" customFormat="false" ht="14.25" hidden="false" customHeight="true" outlineLevel="0" collapsed="false">
      <c r="A346" s="47" t="s">
        <v>21</v>
      </c>
      <c r="B346" s="47" t="s">
        <v>267</v>
      </c>
      <c r="C346" s="47" t="s">
        <v>281</v>
      </c>
      <c r="D346" s="47" t="s">
        <v>220</v>
      </c>
      <c r="E346" s="47" t="s">
        <v>265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331</v>
      </c>
    </row>
    <row r="347" customFormat="false" ht="14.25" hidden="false" customHeight="true" outlineLevel="0" collapsed="false">
      <c r="A347" s="47" t="s">
        <v>21</v>
      </c>
      <c r="B347" s="47" t="s">
        <v>267</v>
      </c>
      <c r="C347" s="47" t="s">
        <v>281</v>
      </c>
      <c r="D347" s="47" t="s">
        <v>180</v>
      </c>
      <c r="E347" s="47" t="s">
        <v>265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319</v>
      </c>
    </row>
    <row r="348" customFormat="false" ht="14.25" hidden="false" customHeight="true" outlineLevel="0" collapsed="false">
      <c r="A348" s="47" t="s">
        <v>21</v>
      </c>
      <c r="B348" s="47" t="s">
        <v>267</v>
      </c>
      <c r="C348" s="47" t="s">
        <v>281</v>
      </c>
      <c r="D348" s="47" t="s">
        <v>181</v>
      </c>
      <c r="E348" s="47" t="s">
        <v>265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319</v>
      </c>
    </row>
    <row r="349" customFormat="false" ht="15" hidden="false" customHeight="true" outlineLevel="0" collapsed="false">
      <c r="A349" s="47" t="s">
        <v>21</v>
      </c>
      <c r="B349" s="47" t="s">
        <v>267</v>
      </c>
      <c r="C349" s="47" t="s">
        <v>44</v>
      </c>
      <c r="D349" s="47" t="s">
        <v>182</v>
      </c>
      <c r="E349" s="47" t="s">
        <v>265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319</v>
      </c>
    </row>
    <row r="350" customFormat="false" ht="14.25" hidden="false" customHeight="true" outlineLevel="0" collapsed="false">
      <c r="A350" s="47" t="s">
        <v>21</v>
      </c>
      <c r="B350" s="47" t="s">
        <v>267</v>
      </c>
      <c r="C350" s="47" t="s">
        <v>288</v>
      </c>
      <c r="D350" s="47" t="s">
        <v>179</v>
      </c>
      <c r="E350" s="47" t="s">
        <v>265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319</v>
      </c>
    </row>
    <row r="351" customFormat="false" ht="14.25" hidden="false" customHeight="true" outlineLevel="0" collapsed="false">
      <c r="A351" s="47" t="s">
        <v>21</v>
      </c>
      <c r="B351" s="47" t="s">
        <v>267</v>
      </c>
      <c r="C351" s="47" t="s">
        <v>286</v>
      </c>
      <c r="D351" s="47" t="s">
        <v>157</v>
      </c>
      <c r="E351" s="47" t="s">
        <v>265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319</v>
      </c>
    </row>
    <row r="352" customFormat="false" ht="14.25" hidden="false" customHeight="true" outlineLevel="0" collapsed="false">
      <c r="A352" s="47" t="s">
        <v>21</v>
      </c>
      <c r="B352" s="47" t="s">
        <v>267</v>
      </c>
      <c r="C352" s="47" t="s">
        <v>286</v>
      </c>
      <c r="D352" s="47" t="s">
        <v>158</v>
      </c>
      <c r="E352" s="47" t="s">
        <v>265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319</v>
      </c>
    </row>
    <row r="353" customFormat="false" ht="14.25" hidden="false" customHeight="true" outlineLevel="0" collapsed="false">
      <c r="A353" s="47" t="s">
        <v>21</v>
      </c>
      <c r="B353" s="47" t="s">
        <v>267</v>
      </c>
      <c r="C353" s="47" t="s">
        <v>289</v>
      </c>
      <c r="D353" s="47" t="s">
        <v>186</v>
      </c>
      <c r="E353" s="47" t="s">
        <v>265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49" t="s">
        <v>348</v>
      </c>
      <c r="B390" s="50"/>
      <c r="C390" s="50"/>
      <c r="D390" s="50"/>
      <c r="E390" s="50"/>
      <c r="F390" s="50"/>
      <c r="G390" s="51"/>
      <c r="H390" s="52" t="n">
        <f aca="false">SUM(H21:H389)</f>
        <v>1146254.46875554</v>
      </c>
      <c r="I390" s="43"/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53" t="s">
        <v>349</v>
      </c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6" t="s">
        <v>9</v>
      </c>
      <c r="B393" s="46" t="s">
        <v>251</v>
      </c>
      <c r="C393" s="46" t="s">
        <v>3</v>
      </c>
      <c r="D393" s="46" t="s">
        <v>350</v>
      </c>
      <c r="E393" s="46" t="s">
        <v>351</v>
      </c>
      <c r="F393" s="46" t="s">
        <v>352</v>
      </c>
      <c r="G393" s="46" t="s">
        <v>353</v>
      </c>
      <c r="H393" s="46" t="s">
        <v>354</v>
      </c>
      <c r="I393" s="46" t="s">
        <v>355</v>
      </c>
      <c r="J393" s="46" t="s">
        <v>356</v>
      </c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 t="s">
        <v>11</v>
      </c>
      <c r="B394" s="47" t="s">
        <v>256</v>
      </c>
      <c r="C394" s="47" t="s">
        <v>257</v>
      </c>
      <c r="D394" s="48" t="n">
        <v>121496.64</v>
      </c>
      <c r="E394" s="47" t="n">
        <v>537</v>
      </c>
      <c r="F394" s="47" t="n">
        <v>11</v>
      </c>
      <c r="G394" s="48" t="n">
        <v>41961.99</v>
      </c>
      <c r="H394" s="48" t="n">
        <v>1017.98</v>
      </c>
      <c r="I394" s="48" t="n">
        <v>42979.97</v>
      </c>
      <c r="J394" s="48" t="n">
        <v>221.71</v>
      </c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 t="s">
        <v>11</v>
      </c>
      <c r="B395" s="47" t="s">
        <v>259</v>
      </c>
      <c r="C395" s="47" t="s">
        <v>257</v>
      </c>
      <c r="D395" s="48" t="n">
        <v>9414.77</v>
      </c>
      <c r="E395" s="47" t="n">
        <v>26</v>
      </c>
      <c r="F395" s="47" t="n">
        <v>1</v>
      </c>
      <c r="G395" s="48" t="n">
        <v>2047.79</v>
      </c>
      <c r="H395" s="48" t="n">
        <v>99.9</v>
      </c>
      <c r="I395" s="48" t="n">
        <v>2147.69</v>
      </c>
      <c r="J395" s="48" t="n">
        <v>348.7</v>
      </c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 t="s">
        <v>11</v>
      </c>
      <c r="B396" s="47" t="s">
        <v>261</v>
      </c>
      <c r="C396" s="47" t="s">
        <v>257</v>
      </c>
      <c r="D396" s="48" t="n">
        <v>34081.23</v>
      </c>
      <c r="E396" s="47" t="n">
        <v>143</v>
      </c>
      <c r="F396" s="47" t="n">
        <v>2</v>
      </c>
      <c r="G396" s="48" t="n">
        <v>13522.34</v>
      </c>
      <c r="H396" s="48" t="n">
        <v>154.79</v>
      </c>
      <c r="I396" s="48" t="n">
        <v>13677.13</v>
      </c>
      <c r="J396" s="48" t="n">
        <v>235.04</v>
      </c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 t="s">
        <v>11</v>
      </c>
      <c r="B397" s="47" t="s">
        <v>262</v>
      </c>
      <c r="C397" s="47" t="s">
        <v>257</v>
      </c>
      <c r="D397" s="48" t="n">
        <v>41714.55</v>
      </c>
      <c r="E397" s="47" t="n">
        <v>199</v>
      </c>
      <c r="F397" s="47" t="n">
        <v>1</v>
      </c>
      <c r="G397" s="48" t="n">
        <v>17552.26</v>
      </c>
      <c r="H397" s="48" t="n">
        <v>109.89</v>
      </c>
      <c r="I397" s="48" t="n">
        <v>17662.15</v>
      </c>
      <c r="J397" s="48" t="n">
        <v>208.57</v>
      </c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 t="s">
        <v>11</v>
      </c>
      <c r="B398" s="47" t="s">
        <v>262</v>
      </c>
      <c r="C398" s="47" t="s">
        <v>264</v>
      </c>
      <c r="D398" s="48" t="n">
        <v>3825.46</v>
      </c>
      <c r="E398" s="47" t="n">
        <v>40</v>
      </c>
      <c r="F398" s="47" t="n">
        <v>0</v>
      </c>
      <c r="G398" s="48" t="n">
        <v>4285.58</v>
      </c>
      <c r="H398" s="48" t="n">
        <v>0</v>
      </c>
      <c r="I398" s="48" t="n">
        <v>4285.58</v>
      </c>
      <c r="J398" s="48" t="n">
        <v>95.64</v>
      </c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 t="s">
        <v>11</v>
      </c>
      <c r="B399" s="47" t="s">
        <v>265</v>
      </c>
      <c r="C399" s="47" t="s">
        <v>257</v>
      </c>
      <c r="D399" s="48" t="n">
        <v>72373.67</v>
      </c>
      <c r="E399" s="47" t="n">
        <v>225</v>
      </c>
      <c r="F399" s="47" t="n">
        <v>3</v>
      </c>
      <c r="G399" s="48" t="n">
        <v>18783.87</v>
      </c>
      <c r="H399" s="48" t="n">
        <v>329.8</v>
      </c>
      <c r="I399" s="48" t="n">
        <v>19113.67</v>
      </c>
      <c r="J399" s="48" t="n">
        <v>317.43</v>
      </c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 t="s">
        <v>11</v>
      </c>
      <c r="B400" s="47" t="s">
        <v>265</v>
      </c>
      <c r="C400" s="47" t="s">
        <v>266</v>
      </c>
      <c r="D400" s="48" t="n">
        <v>4567.99</v>
      </c>
      <c r="E400" s="47" t="n">
        <v>25</v>
      </c>
      <c r="F400" s="47" t="n">
        <v>0</v>
      </c>
      <c r="G400" s="48" t="n">
        <v>2382.58</v>
      </c>
      <c r="H400" s="48" t="n">
        <v>0</v>
      </c>
      <c r="I400" s="48" t="n">
        <v>2382.58</v>
      </c>
      <c r="J400" s="48" t="n">
        <v>182.72</v>
      </c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 t="s">
        <v>11</v>
      </c>
      <c r="B401" s="47" t="s">
        <v>265</v>
      </c>
      <c r="C401" s="47" t="s">
        <v>267</v>
      </c>
      <c r="D401" s="48" t="n">
        <v>13934.06</v>
      </c>
      <c r="E401" s="47" t="n">
        <v>42</v>
      </c>
      <c r="F401" s="47" t="n">
        <v>0</v>
      </c>
      <c r="G401" s="48" t="n">
        <v>2931.3</v>
      </c>
      <c r="H401" s="48" t="n">
        <v>0</v>
      </c>
      <c r="I401" s="48" t="n">
        <v>2931.3</v>
      </c>
      <c r="J401" s="48" t="n">
        <v>331.76</v>
      </c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 t="s">
        <v>11</v>
      </c>
      <c r="B402" s="47" t="s">
        <v>268</v>
      </c>
      <c r="C402" s="47" t="s">
        <v>269</v>
      </c>
      <c r="D402" s="48" t="n">
        <v>21039.53</v>
      </c>
      <c r="E402" s="47" t="n">
        <v>137</v>
      </c>
      <c r="F402" s="47" t="n">
        <v>4</v>
      </c>
      <c r="G402" s="48" t="n">
        <v>11142.14</v>
      </c>
      <c r="H402" s="48" t="n">
        <v>249.69</v>
      </c>
      <c r="I402" s="48" t="n">
        <v>11391.83</v>
      </c>
      <c r="J402" s="48" t="n">
        <v>149.22</v>
      </c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 t="s">
        <v>11</v>
      </c>
      <c r="B403" s="47" t="s">
        <v>268</v>
      </c>
      <c r="C403" s="47" t="s">
        <v>271</v>
      </c>
      <c r="D403" s="47" t="s">
        <v>357</v>
      </c>
      <c r="E403" s="47" t="n">
        <v>49</v>
      </c>
      <c r="F403" s="47" t="n">
        <v>2</v>
      </c>
      <c r="G403" s="48" t="n">
        <v>4205.1</v>
      </c>
      <c r="H403" s="48" t="n">
        <v>249.8</v>
      </c>
      <c r="I403" s="48" t="n">
        <v>4454.9</v>
      </c>
      <c r="J403" s="47" t="s">
        <v>358</v>
      </c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 t="s">
        <v>11</v>
      </c>
      <c r="B404" s="47" t="s">
        <v>268</v>
      </c>
      <c r="C404" s="47" t="s">
        <v>272</v>
      </c>
      <c r="D404" s="48" t="n">
        <v>24386.42</v>
      </c>
      <c r="E404" s="47" t="n">
        <v>78</v>
      </c>
      <c r="F404" s="47" t="n">
        <v>2</v>
      </c>
      <c r="G404" s="48" t="n">
        <v>7338.18</v>
      </c>
      <c r="H404" s="48" t="n">
        <v>234.77</v>
      </c>
      <c r="I404" s="48" t="n">
        <v>7572.95</v>
      </c>
      <c r="J404" s="48" t="n">
        <v>304.83</v>
      </c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 t="s">
        <v>11</v>
      </c>
      <c r="B405" s="47" t="s">
        <v>274</v>
      </c>
      <c r="C405" s="47" t="s">
        <v>275</v>
      </c>
      <c r="D405" s="48" t="n">
        <v>3703.62</v>
      </c>
      <c r="E405" s="47" t="n">
        <v>26</v>
      </c>
      <c r="F405" s="47" t="n">
        <v>0</v>
      </c>
      <c r="G405" s="48" t="n">
        <v>2307.4</v>
      </c>
      <c r="H405" s="48" t="n">
        <v>0</v>
      </c>
      <c r="I405" s="48" t="n">
        <v>2307.4</v>
      </c>
      <c r="J405" s="48" t="n">
        <v>142.45</v>
      </c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 t="s">
        <v>20</v>
      </c>
      <c r="B406" s="47" t="s">
        <v>256</v>
      </c>
      <c r="C406" s="47" t="s">
        <v>257</v>
      </c>
      <c r="D406" s="48" t="n">
        <v>119150.38</v>
      </c>
      <c r="E406" s="47" t="n">
        <v>658</v>
      </c>
      <c r="F406" s="47" t="n">
        <v>10</v>
      </c>
      <c r="G406" s="48" t="n">
        <v>56085.27</v>
      </c>
      <c r="H406" s="48" t="n">
        <v>963.98</v>
      </c>
      <c r="I406" s="48" t="n">
        <v>57049.25</v>
      </c>
      <c r="J406" s="48" t="n">
        <v>178.37</v>
      </c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 t="s">
        <v>20</v>
      </c>
      <c r="B407" s="47" t="s">
        <v>259</v>
      </c>
      <c r="C407" s="47" t="s">
        <v>257</v>
      </c>
      <c r="D407" s="48" t="n">
        <v>7367.92</v>
      </c>
      <c r="E407" s="47" t="n">
        <v>0</v>
      </c>
      <c r="F407" s="47" t="n">
        <v>0</v>
      </c>
      <c r="G407" s="48" t="n">
        <v>0</v>
      </c>
      <c r="H407" s="48" t="n">
        <v>0</v>
      </c>
      <c r="I407" s="48" t="n">
        <v>0</v>
      </c>
      <c r="J407" s="47" t="s">
        <v>358</v>
      </c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 t="s">
        <v>20</v>
      </c>
      <c r="B408" s="47" t="s">
        <v>261</v>
      </c>
      <c r="C408" s="47" t="s">
        <v>257</v>
      </c>
      <c r="D408" s="48" t="n">
        <v>34042.65</v>
      </c>
      <c r="E408" s="47" t="n">
        <v>115</v>
      </c>
      <c r="F408" s="47" t="n">
        <v>5</v>
      </c>
      <c r="G408" s="48" t="n">
        <v>10449.44</v>
      </c>
      <c r="H408" s="48" t="n">
        <v>519.48</v>
      </c>
      <c r="I408" s="48" t="n">
        <v>10968.92</v>
      </c>
      <c r="J408" s="48" t="n">
        <v>283.69</v>
      </c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 t="s">
        <v>20</v>
      </c>
      <c r="B409" s="47" t="s">
        <v>262</v>
      </c>
      <c r="C409" s="47" t="s">
        <v>257</v>
      </c>
      <c r="D409" s="48" t="n">
        <v>36033.93</v>
      </c>
      <c r="E409" s="47" t="n">
        <v>170</v>
      </c>
      <c r="F409" s="47" t="n">
        <v>0</v>
      </c>
      <c r="G409" s="48" t="n">
        <v>15679.02</v>
      </c>
      <c r="H409" s="48" t="n">
        <v>0</v>
      </c>
      <c r="I409" s="48" t="n">
        <v>15679.02</v>
      </c>
      <c r="J409" s="48" t="n">
        <v>211.96</v>
      </c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 t="s">
        <v>20</v>
      </c>
      <c r="B410" s="47" t="s">
        <v>262</v>
      </c>
      <c r="C410" s="47" t="s">
        <v>264</v>
      </c>
      <c r="D410" s="48" t="n">
        <v>28510.03</v>
      </c>
      <c r="E410" s="47" t="n">
        <v>20</v>
      </c>
      <c r="F410" s="47" t="n">
        <v>0</v>
      </c>
      <c r="G410" s="48" t="n">
        <v>1988.05</v>
      </c>
      <c r="H410" s="48" t="n">
        <v>0</v>
      </c>
      <c r="I410" s="48" t="n">
        <v>1988.05</v>
      </c>
      <c r="J410" s="48" t="n">
        <v>1425.5</v>
      </c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 t="s">
        <v>20</v>
      </c>
      <c r="B411" s="47" t="s">
        <v>265</v>
      </c>
      <c r="C411" s="47" t="s">
        <v>257</v>
      </c>
      <c r="D411" s="48" t="n">
        <v>83230</v>
      </c>
      <c r="E411" s="47" t="n">
        <v>514</v>
      </c>
      <c r="F411" s="47" t="n">
        <v>4</v>
      </c>
      <c r="G411" s="48" t="n">
        <v>44226.53</v>
      </c>
      <c r="H411" s="48" t="n">
        <v>389.59</v>
      </c>
      <c r="I411" s="48" t="n">
        <v>44616.12</v>
      </c>
      <c r="J411" s="48" t="n">
        <v>160.68</v>
      </c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 t="s">
        <v>20</v>
      </c>
      <c r="B412" s="47" t="s">
        <v>265</v>
      </c>
      <c r="C412" s="47" t="s">
        <v>266</v>
      </c>
      <c r="D412" s="48" t="n">
        <v>5633.61</v>
      </c>
      <c r="E412" s="47" t="n">
        <v>3</v>
      </c>
      <c r="F412" s="47" t="n">
        <v>0</v>
      </c>
      <c r="G412" s="48" t="n">
        <v>329.8</v>
      </c>
      <c r="H412" s="48" t="n">
        <v>0</v>
      </c>
      <c r="I412" s="48" t="n">
        <v>329.8</v>
      </c>
      <c r="J412" s="48" t="n">
        <v>1877.87</v>
      </c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 t="s">
        <v>20</v>
      </c>
      <c r="B413" s="47" t="s">
        <v>265</v>
      </c>
      <c r="C413" s="47" t="s">
        <v>267</v>
      </c>
      <c r="D413" s="48" t="n">
        <v>14128.9</v>
      </c>
      <c r="E413" s="47" t="n">
        <v>59</v>
      </c>
      <c r="F413" s="47" t="n">
        <v>2</v>
      </c>
      <c r="G413" s="48" t="n">
        <v>3804.88</v>
      </c>
      <c r="H413" s="48" t="n">
        <v>199.8</v>
      </c>
      <c r="I413" s="48" t="n">
        <v>4004.68</v>
      </c>
      <c r="J413" s="48" t="n">
        <v>231.62</v>
      </c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 t="s">
        <v>20</v>
      </c>
      <c r="B414" s="47" t="s">
        <v>268</v>
      </c>
      <c r="C414" s="47" t="s">
        <v>269</v>
      </c>
      <c r="D414" s="48" t="n">
        <v>17908.6</v>
      </c>
      <c r="E414" s="47" t="n">
        <v>89</v>
      </c>
      <c r="F414" s="47" t="n">
        <v>8</v>
      </c>
      <c r="G414" s="48" t="n">
        <v>7236.53</v>
      </c>
      <c r="H414" s="48" t="n">
        <v>799.2</v>
      </c>
      <c r="I414" s="48" t="n">
        <v>8035.73</v>
      </c>
      <c r="J414" s="48" t="n">
        <v>184.62</v>
      </c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 t="s">
        <v>20</v>
      </c>
      <c r="B415" s="47" t="s">
        <v>268</v>
      </c>
      <c r="C415" s="47" t="s">
        <v>271</v>
      </c>
      <c r="D415" s="47" t="s">
        <v>357</v>
      </c>
      <c r="E415" s="47" t="n">
        <v>18</v>
      </c>
      <c r="F415" s="47" t="n">
        <v>2</v>
      </c>
      <c r="G415" s="48" t="n">
        <v>1818.3</v>
      </c>
      <c r="H415" s="48" t="n">
        <v>219.7</v>
      </c>
      <c r="I415" s="48" t="n">
        <v>2038</v>
      </c>
      <c r="J415" s="47" t="s">
        <v>358</v>
      </c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 t="s">
        <v>20</v>
      </c>
      <c r="B416" s="47" t="s">
        <v>268</v>
      </c>
      <c r="C416" s="47" t="s">
        <v>272</v>
      </c>
      <c r="D416" s="48" t="n">
        <v>23774</v>
      </c>
      <c r="E416" s="47" t="n">
        <v>89</v>
      </c>
      <c r="F416" s="47" t="n">
        <v>1</v>
      </c>
      <c r="G416" s="48" t="n">
        <v>8720.26</v>
      </c>
      <c r="H416" s="48" t="n">
        <v>89.89</v>
      </c>
      <c r="I416" s="48" t="n">
        <v>8810.15</v>
      </c>
      <c r="J416" s="48" t="n">
        <v>264.16</v>
      </c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 t="s">
        <v>20</v>
      </c>
      <c r="B417" s="47" t="s">
        <v>274</v>
      </c>
      <c r="C417" s="47" t="s">
        <v>275</v>
      </c>
      <c r="D417" s="48" t="n">
        <v>3712.16</v>
      </c>
      <c r="E417" s="47" t="n">
        <v>23</v>
      </c>
      <c r="F417" s="47" t="n">
        <v>0</v>
      </c>
      <c r="G417" s="48" t="n">
        <v>1988.18</v>
      </c>
      <c r="H417" s="48" t="n">
        <v>0</v>
      </c>
      <c r="I417" s="48" t="n">
        <v>1988.18</v>
      </c>
      <c r="J417" s="48" t="n">
        <v>161.4</v>
      </c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 t="s">
        <v>21</v>
      </c>
      <c r="B418" s="47" t="s">
        <v>256</v>
      </c>
      <c r="C418" s="47" t="s">
        <v>257</v>
      </c>
      <c r="D418" s="48" t="n">
        <v>161849.96</v>
      </c>
      <c r="E418" s="47" t="n">
        <v>808</v>
      </c>
      <c r="F418" s="47" t="n">
        <v>3</v>
      </c>
      <c r="G418" s="48" t="n">
        <v>67103</v>
      </c>
      <c r="H418" s="48" t="n">
        <v>74.9</v>
      </c>
      <c r="I418" s="48" t="n">
        <v>67177.9</v>
      </c>
    </row>
    <row r="419" customFormat="false" ht="14.25" hidden="false" customHeight="true" outlineLevel="0" collapsed="false">
      <c r="A419" s="47" t="s">
        <v>21</v>
      </c>
      <c r="B419" s="47" t="s">
        <v>259</v>
      </c>
      <c r="C419" s="47" t="s">
        <v>257</v>
      </c>
      <c r="D419" s="48" t="n">
        <v>7410.09</v>
      </c>
      <c r="E419" s="47" t="n">
        <v>138</v>
      </c>
      <c r="F419" s="47" t="n">
        <v>0</v>
      </c>
      <c r="G419" s="48" t="n">
        <v>11731.77</v>
      </c>
      <c r="H419" s="48" t="n">
        <v>0</v>
      </c>
      <c r="I419" s="48" t="n">
        <v>11731.77</v>
      </c>
    </row>
    <row r="420" customFormat="false" ht="14.25" hidden="false" customHeight="true" outlineLevel="0" collapsed="false">
      <c r="A420" s="47" t="s">
        <v>21</v>
      </c>
      <c r="B420" s="47" t="s">
        <v>261</v>
      </c>
      <c r="C420" s="47" t="s">
        <v>257</v>
      </c>
      <c r="D420" s="48" t="n">
        <v>17008.44</v>
      </c>
      <c r="E420" s="47" t="n">
        <v>128</v>
      </c>
      <c r="F420" s="47" t="n">
        <v>0</v>
      </c>
      <c r="G420" s="48" t="n">
        <v>11678.14</v>
      </c>
      <c r="H420" s="48" t="n">
        <v>0</v>
      </c>
      <c r="I420" s="48" t="n">
        <v>11678.14</v>
      </c>
    </row>
    <row r="421" customFormat="false" ht="14.25" hidden="false" customHeight="true" outlineLevel="0" collapsed="false">
      <c r="A421" s="47" t="s">
        <v>21</v>
      </c>
      <c r="B421" s="47" t="s">
        <v>262</v>
      </c>
      <c r="C421" s="47" t="s">
        <v>257</v>
      </c>
      <c r="D421" s="48" t="n">
        <v>33561.65</v>
      </c>
      <c r="E421" s="47" t="n">
        <v>301</v>
      </c>
      <c r="F421" s="47" t="n">
        <v>0</v>
      </c>
      <c r="G421" s="48" t="n">
        <v>26440.99</v>
      </c>
      <c r="H421" s="48" t="n">
        <v>0</v>
      </c>
      <c r="I421" s="48" t="n">
        <v>26440.99</v>
      </c>
    </row>
    <row r="422" customFormat="false" ht="14.25" hidden="false" customHeight="true" outlineLevel="0" collapsed="false">
      <c r="A422" s="47" t="s">
        <v>21</v>
      </c>
      <c r="B422" s="47" t="s">
        <v>265</v>
      </c>
      <c r="C422" s="47" t="s">
        <v>257</v>
      </c>
      <c r="D422" s="48" t="n">
        <v>52291.74</v>
      </c>
      <c r="E422" s="47" t="n">
        <v>316</v>
      </c>
      <c r="F422" s="47" t="n">
        <v>2</v>
      </c>
      <c r="G422" s="48" t="n">
        <v>26217.75</v>
      </c>
      <c r="H422" s="48" t="n">
        <v>25</v>
      </c>
      <c r="I422" s="48" t="n">
        <v>26242.75</v>
      </c>
    </row>
    <row r="423" customFormat="false" ht="14.25" hidden="false" customHeight="true" outlineLevel="0" collapsed="false">
      <c r="A423" s="47" t="s">
        <v>21</v>
      </c>
      <c r="B423" s="47" t="s">
        <v>359</v>
      </c>
      <c r="C423" s="47" t="s">
        <v>257</v>
      </c>
      <c r="D423" s="48"/>
      <c r="E423" s="47" t="n">
        <v>17</v>
      </c>
      <c r="F423" s="47" t="n">
        <v>0</v>
      </c>
      <c r="G423" s="48" t="n">
        <v>1698.7</v>
      </c>
      <c r="H423" s="48" t="n">
        <v>0</v>
      </c>
      <c r="I423" s="48" t="n">
        <v>1698.7</v>
      </c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 t="s">
        <v>21</v>
      </c>
      <c r="B424" s="47" t="s">
        <v>268</v>
      </c>
      <c r="C424" s="47" t="s">
        <v>269</v>
      </c>
      <c r="D424" s="48" t="n">
        <v>42137.5</v>
      </c>
      <c r="E424" s="47" t="n">
        <v>158</v>
      </c>
      <c r="F424" s="47" t="n">
        <v>4</v>
      </c>
      <c r="G424" s="48" t="n">
        <v>12889.57</v>
      </c>
      <c r="H424" s="48" t="n">
        <v>90.1</v>
      </c>
      <c r="I424" s="48" t="n">
        <v>12979.67</v>
      </c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 t="s">
        <v>21</v>
      </c>
      <c r="B425" s="47" t="s">
        <v>262</v>
      </c>
      <c r="C425" s="47" t="s">
        <v>264</v>
      </c>
      <c r="D425" s="48" t="n">
        <v>7521.05</v>
      </c>
      <c r="E425" s="47" t="n">
        <v>26</v>
      </c>
      <c r="F425" s="47"/>
      <c r="G425" s="48" t="n">
        <v>2647.59</v>
      </c>
      <c r="H425" s="48"/>
      <c r="I425" s="48" t="n">
        <v>2647.59</v>
      </c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 t="s">
        <v>21</v>
      </c>
      <c r="B426" s="47" t="s">
        <v>268</v>
      </c>
      <c r="C426" s="47" t="s">
        <v>272</v>
      </c>
      <c r="D426" s="48" t="n">
        <v>50240.35</v>
      </c>
      <c r="E426" s="47" t="n">
        <v>66</v>
      </c>
      <c r="F426" s="47" t="n">
        <v>1</v>
      </c>
      <c r="G426" s="48" t="n">
        <v>6359.19</v>
      </c>
      <c r="H426" s="48" t="n">
        <v>14.99</v>
      </c>
      <c r="I426" s="48" t="n">
        <v>6374.18</v>
      </c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 t="s">
        <v>21</v>
      </c>
      <c r="B427" s="47" t="s">
        <v>274</v>
      </c>
      <c r="C427" s="47" t="s">
        <v>275</v>
      </c>
      <c r="D427" s="48" t="n">
        <v>0</v>
      </c>
      <c r="E427" s="47" t="n">
        <v>25</v>
      </c>
      <c r="F427" s="47" t="n">
        <v>1</v>
      </c>
      <c r="G427" s="48" t="n">
        <v>2177.7</v>
      </c>
      <c r="H427" s="48" t="n">
        <v>39.97</v>
      </c>
      <c r="I427" s="48" t="n">
        <v>2217.67</v>
      </c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 t="s">
        <v>21</v>
      </c>
      <c r="B428" s="47" t="s">
        <v>265</v>
      </c>
      <c r="C428" s="47" t="s">
        <v>267</v>
      </c>
      <c r="D428" s="48" t="n">
        <v>13514.98</v>
      </c>
      <c r="E428" s="47" t="n">
        <v>26</v>
      </c>
      <c r="F428" s="47"/>
      <c r="G428" s="48" t="n">
        <v>2706.64</v>
      </c>
      <c r="H428" s="48"/>
      <c r="I428" s="48" t="n">
        <v>2706.64</v>
      </c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  <row r="763" customFormat="false" ht="14.25" hidden="false" customHeight="true" outlineLevel="0" collapsed="false">
      <c r="A763" s="47"/>
      <c r="B763" s="47"/>
      <c r="C763" s="47"/>
      <c r="D763" s="48"/>
      <c r="E763" s="47"/>
      <c r="F763" s="47"/>
      <c r="G763" s="48"/>
      <c r="H763" s="48"/>
      <c r="I763" s="48"/>
      <c r="J763" s="43"/>
      <c r="K763" s="43"/>
      <c r="L763" s="43"/>
      <c r="M763" s="43"/>
      <c r="N763" s="43"/>
      <c r="O763" s="43"/>
    </row>
    <row r="764" customFormat="false" ht="14.25" hidden="false" customHeight="true" outlineLevel="0" collapsed="false">
      <c r="A764" s="47"/>
      <c r="B764" s="47"/>
      <c r="C764" s="47"/>
      <c r="D764" s="48"/>
      <c r="E764" s="47"/>
      <c r="F764" s="47"/>
      <c r="G764" s="48"/>
      <c r="H764" s="48"/>
      <c r="I764" s="48"/>
      <c r="J764" s="43"/>
      <c r="K764" s="43"/>
      <c r="L764" s="43"/>
      <c r="M764" s="43"/>
      <c r="N764" s="43"/>
      <c r="O764" s="43"/>
    </row>
    <row r="765" customFormat="false" ht="14.25" hidden="false" customHeight="true" outlineLevel="0" collapsed="false">
      <c r="A765" s="47"/>
      <c r="B765" s="47"/>
      <c r="C765" s="47"/>
      <c r="D765" s="48"/>
      <c r="E765" s="47"/>
      <c r="F765" s="47"/>
      <c r="G765" s="48"/>
      <c r="H765" s="48"/>
      <c r="I765" s="48"/>
      <c r="J765" s="43"/>
      <c r="K765" s="43"/>
      <c r="L765" s="43"/>
      <c r="M765" s="43"/>
      <c r="N765" s="43"/>
      <c r="O765" s="43"/>
    </row>
    <row r="766" customFormat="false" ht="14.25" hidden="false" customHeight="true" outlineLevel="0" collapsed="false">
      <c r="A766" s="47"/>
      <c r="B766" s="47"/>
      <c r="C766" s="47"/>
      <c r="D766" s="48"/>
      <c r="E766" s="47"/>
      <c r="F766" s="47"/>
      <c r="G766" s="48"/>
      <c r="H766" s="48"/>
      <c r="I766" s="48"/>
      <c r="J766" s="43"/>
      <c r="K766" s="43"/>
      <c r="L766" s="43"/>
      <c r="M766" s="43"/>
      <c r="N766" s="43"/>
      <c r="O766" s="43"/>
    </row>
    <row r="767" customFormat="false" ht="14.25" hidden="false" customHeight="true" outlineLevel="0" collapsed="false">
      <c r="A767" s="47"/>
      <c r="B767" s="47"/>
      <c r="C767" s="47"/>
      <c r="D767" s="48"/>
      <c r="E767" s="47"/>
      <c r="F767" s="47"/>
      <c r="G767" s="48"/>
      <c r="H767" s="48"/>
      <c r="I767" s="48"/>
      <c r="J767" s="43"/>
      <c r="K767" s="43"/>
      <c r="L767" s="43"/>
      <c r="M767" s="43"/>
      <c r="N767" s="43"/>
      <c r="O767" s="43"/>
    </row>
    <row r="768" customFormat="false" ht="14.25" hidden="false" customHeight="true" outlineLevel="0" collapsed="false">
      <c r="A768" s="47"/>
      <c r="B768" s="47"/>
      <c r="C768" s="47"/>
      <c r="D768" s="48"/>
      <c r="E768" s="47"/>
      <c r="F768" s="47"/>
      <c r="G768" s="48"/>
      <c r="H768" s="48"/>
      <c r="I768" s="48"/>
      <c r="J768" s="43"/>
      <c r="K768" s="43"/>
      <c r="L768" s="43"/>
      <c r="M768" s="43"/>
      <c r="N768" s="43"/>
      <c r="O768" s="43"/>
    </row>
    <row r="769" customFormat="false" ht="14.25" hidden="false" customHeight="true" outlineLevel="0" collapsed="false">
      <c r="A769" s="47"/>
      <c r="B769" s="47"/>
      <c r="C769" s="47"/>
      <c r="D769" s="48"/>
      <c r="E769" s="47"/>
      <c r="F769" s="47"/>
      <c r="G769" s="48"/>
      <c r="H769" s="48"/>
      <c r="I769" s="48"/>
      <c r="J769" s="43"/>
      <c r="K769" s="43"/>
      <c r="L769" s="43"/>
      <c r="M769" s="43"/>
      <c r="N769" s="43"/>
      <c r="O769" s="43"/>
    </row>
    <row r="770" customFormat="false" ht="14.25" hidden="false" customHeight="true" outlineLevel="0" collapsed="false">
      <c r="A770" s="47"/>
      <c r="B770" s="47"/>
      <c r="C770" s="47"/>
      <c r="D770" s="48"/>
      <c r="E770" s="47"/>
      <c r="F770" s="47"/>
      <c r="G770" s="48"/>
      <c r="H770" s="48"/>
      <c r="I770" s="48"/>
      <c r="J770" s="43"/>
      <c r="K770" s="43"/>
      <c r="L770" s="43"/>
      <c r="M770" s="43"/>
      <c r="N770" s="43"/>
      <c r="O770" s="43"/>
    </row>
    <row r="771" customFormat="false" ht="14.25" hidden="false" customHeight="true" outlineLevel="0" collapsed="false">
      <c r="A771" s="47"/>
      <c r="B771" s="47"/>
      <c r="C771" s="47"/>
      <c r="D771" s="48"/>
      <c r="E771" s="47"/>
      <c r="F771" s="47"/>
      <c r="G771" s="48"/>
      <c r="H771" s="48"/>
      <c r="I771" s="48"/>
      <c r="J771" s="43"/>
      <c r="K771" s="43"/>
      <c r="L771" s="43"/>
      <c r="M771" s="43"/>
      <c r="N771" s="43"/>
      <c r="O771" s="43"/>
    </row>
    <row r="772" customFormat="false" ht="14.25" hidden="false" customHeight="true" outlineLevel="0" collapsed="false">
      <c r="A772" s="47"/>
      <c r="B772" s="47"/>
      <c r="C772" s="47"/>
      <c r="D772" s="48"/>
      <c r="E772" s="47"/>
      <c r="F772" s="47"/>
      <c r="G772" s="48"/>
      <c r="H772" s="48"/>
      <c r="I772" s="48"/>
      <c r="J772" s="43"/>
      <c r="K772" s="43"/>
      <c r="L772" s="43"/>
      <c r="M772" s="43"/>
      <c r="N772" s="43"/>
      <c r="O772" s="43"/>
    </row>
    <row r="773" customFormat="false" ht="14.25" hidden="false" customHeight="true" outlineLevel="0" collapsed="false">
      <c r="A773" s="47"/>
      <c r="B773" s="47"/>
      <c r="C773" s="47"/>
      <c r="D773" s="48"/>
      <c r="E773" s="47"/>
      <c r="F773" s="47"/>
      <c r="G773" s="48"/>
      <c r="H773" s="48"/>
      <c r="I773" s="48"/>
      <c r="J773" s="43"/>
      <c r="K773" s="43"/>
      <c r="L773" s="43"/>
      <c r="M773" s="43"/>
      <c r="N773" s="43"/>
      <c r="O773" s="43"/>
    </row>
    <row r="774" customFormat="false" ht="14.25" hidden="false" customHeight="true" outlineLevel="0" collapsed="false">
      <c r="A774" s="47"/>
      <c r="B774" s="47"/>
      <c r="C774" s="47"/>
      <c r="D774" s="48"/>
      <c r="E774" s="47"/>
      <c r="F774" s="47"/>
      <c r="G774" s="48"/>
      <c r="H774" s="48"/>
      <c r="I774" s="48"/>
      <c r="J774" s="43"/>
      <c r="K774" s="43"/>
      <c r="L774" s="43"/>
      <c r="M774" s="43"/>
      <c r="N774" s="43"/>
      <c r="O774" s="43"/>
    </row>
    <row r="775" customFormat="false" ht="14.25" hidden="false" customHeight="true" outlineLevel="0" collapsed="false">
      <c r="A775" s="47"/>
      <c r="B775" s="47"/>
      <c r="C775" s="47"/>
      <c r="D775" s="48"/>
      <c r="E775" s="47"/>
      <c r="F775" s="47"/>
      <c r="G775" s="48"/>
      <c r="H775" s="48"/>
      <c r="I775" s="48"/>
      <c r="J775" s="43"/>
      <c r="K775" s="43"/>
      <c r="L775" s="43"/>
      <c r="M775" s="43"/>
      <c r="N775" s="43"/>
      <c r="O775" s="43"/>
    </row>
    <row r="776" customFormat="false" ht="14.25" hidden="false" customHeight="true" outlineLevel="0" collapsed="false">
      <c r="A776" s="47"/>
      <c r="B776" s="47"/>
      <c r="C776" s="47"/>
      <c r="D776" s="48"/>
      <c r="E776" s="47"/>
      <c r="F776" s="47"/>
      <c r="G776" s="48"/>
      <c r="H776" s="48"/>
      <c r="I776" s="48"/>
      <c r="J776" s="43"/>
      <c r="K776" s="43"/>
      <c r="L776" s="43"/>
      <c r="M776" s="43"/>
      <c r="N776" s="43"/>
      <c r="O776" s="43"/>
    </row>
    <row r="777" customFormat="false" ht="14.25" hidden="false" customHeight="true" outlineLevel="0" collapsed="false">
      <c r="A777" s="47"/>
      <c r="B777" s="47"/>
      <c r="C777" s="47"/>
      <c r="D777" s="48"/>
      <c r="E777" s="47"/>
      <c r="F777" s="47"/>
      <c r="G777" s="48"/>
      <c r="H777" s="48"/>
      <c r="I777" s="48"/>
      <c r="J777" s="43"/>
      <c r="K777" s="43"/>
      <c r="L777" s="43"/>
      <c r="M777" s="43"/>
      <c r="N777" s="43"/>
      <c r="O777" s="43"/>
    </row>
    <row r="778" customFormat="false" ht="14.25" hidden="false" customHeight="true" outlineLevel="0" collapsed="false">
      <c r="A778" s="47"/>
      <c r="B778" s="47"/>
      <c r="C778" s="47"/>
      <c r="D778" s="48"/>
      <c r="E778" s="47"/>
      <c r="F778" s="47"/>
      <c r="G778" s="48"/>
      <c r="H778" s="48"/>
      <c r="I778" s="48"/>
      <c r="J778" s="43"/>
      <c r="K778" s="43"/>
      <c r="L778" s="43"/>
      <c r="M778" s="43"/>
      <c r="N778" s="43"/>
      <c r="O778" s="43"/>
    </row>
    <row r="779" customFormat="false" ht="14.25" hidden="false" customHeight="true" outlineLevel="0" collapsed="false">
      <c r="A779" s="47"/>
      <c r="B779" s="47"/>
      <c r="C779" s="47"/>
      <c r="D779" s="48"/>
      <c r="E779" s="47"/>
      <c r="F779" s="47"/>
      <c r="G779" s="48"/>
      <c r="H779" s="48"/>
      <c r="I779" s="48"/>
      <c r="J779" s="43"/>
      <c r="K779" s="43"/>
      <c r="L779" s="43"/>
      <c r="M779" s="43"/>
      <c r="N779" s="43"/>
      <c r="O779" s="43"/>
    </row>
    <row r="780" customFormat="false" ht="14.25" hidden="false" customHeight="true" outlineLevel="0" collapsed="false">
      <c r="A780" s="47"/>
      <c r="B780" s="47"/>
      <c r="C780" s="47"/>
      <c r="D780" s="48"/>
      <c r="E780" s="47"/>
      <c r="F780" s="47"/>
      <c r="G780" s="48"/>
      <c r="H780" s="48"/>
      <c r="I780" s="48"/>
      <c r="J780" s="43"/>
      <c r="K780" s="43"/>
      <c r="L780" s="43"/>
      <c r="M780" s="43"/>
      <c r="N780" s="43"/>
      <c r="O780" s="43"/>
    </row>
    <row r="781" customFormat="false" ht="14.25" hidden="false" customHeight="true" outlineLevel="0" collapsed="false">
      <c r="A781" s="47"/>
      <c r="B781" s="47"/>
      <c r="C781" s="47"/>
      <c r="D781" s="48"/>
      <c r="E781" s="47"/>
      <c r="F781" s="47"/>
      <c r="G781" s="48"/>
      <c r="H781" s="48"/>
      <c r="I781" s="48"/>
      <c r="J781" s="43"/>
      <c r="K781" s="43"/>
      <c r="L781" s="43"/>
      <c r="M781" s="43"/>
      <c r="N781" s="43"/>
      <c r="O781" s="43"/>
    </row>
    <row r="782" customFormat="false" ht="14.25" hidden="false" customHeight="true" outlineLevel="0" collapsed="false">
      <c r="A782" s="47"/>
      <c r="B782" s="47"/>
      <c r="C782" s="47"/>
      <c r="D782" s="48"/>
      <c r="E782" s="47"/>
      <c r="F782" s="47"/>
      <c r="G782" s="48"/>
      <c r="H782" s="48"/>
      <c r="I782" s="48"/>
      <c r="J782" s="43"/>
      <c r="K782" s="43"/>
      <c r="L782" s="43"/>
      <c r="M782" s="43"/>
      <c r="N782" s="43"/>
      <c r="O782" s="43"/>
    </row>
    <row r="783" customFormat="false" ht="14.25" hidden="false" customHeight="true" outlineLevel="0" collapsed="false">
      <c r="A783" s="47"/>
      <c r="B783" s="47"/>
      <c r="C783" s="47"/>
      <c r="D783" s="48"/>
      <c r="E783" s="47"/>
      <c r="F783" s="47"/>
      <c r="G783" s="48"/>
      <c r="H783" s="48"/>
      <c r="I783" s="48"/>
      <c r="J783" s="43"/>
      <c r="K783" s="43"/>
      <c r="L783" s="43"/>
      <c r="M783" s="43"/>
      <c r="N783" s="43"/>
      <c r="O783" s="43"/>
    </row>
    <row r="784" customFormat="false" ht="14.25" hidden="false" customHeight="true" outlineLevel="0" collapsed="false">
      <c r="A784" s="47"/>
      <c r="B784" s="47"/>
      <c r="C784" s="47"/>
      <c r="D784" s="48"/>
      <c r="E784" s="47"/>
      <c r="F784" s="47"/>
      <c r="G784" s="48"/>
      <c r="H784" s="48"/>
      <c r="I784" s="48"/>
      <c r="J784" s="43"/>
      <c r="K784" s="43"/>
      <c r="L784" s="43"/>
      <c r="M784" s="43"/>
      <c r="N784" s="43"/>
      <c r="O784" s="43"/>
    </row>
    <row r="785" customFormat="false" ht="14.25" hidden="false" customHeight="true" outlineLevel="0" collapsed="false">
      <c r="A785" s="47"/>
      <c r="B785" s="47"/>
      <c r="C785" s="47"/>
      <c r="D785" s="48"/>
      <c r="E785" s="47"/>
      <c r="F785" s="47"/>
      <c r="G785" s="48"/>
      <c r="H785" s="48"/>
      <c r="I785" s="48"/>
      <c r="J785" s="43"/>
      <c r="K785" s="43"/>
      <c r="L785" s="43"/>
      <c r="M785" s="43"/>
      <c r="N785" s="43"/>
      <c r="O785" s="43"/>
    </row>
    <row r="786" customFormat="false" ht="14.25" hidden="false" customHeight="true" outlineLevel="0" collapsed="false">
      <c r="A786" s="47"/>
      <c r="B786" s="47"/>
      <c r="C786" s="47"/>
      <c r="D786" s="48"/>
      <c r="E786" s="47"/>
      <c r="F786" s="47"/>
      <c r="G786" s="48"/>
      <c r="H786" s="48"/>
      <c r="I786" s="48"/>
      <c r="J786" s="43"/>
      <c r="K786" s="43"/>
      <c r="L786" s="43"/>
      <c r="M786" s="43"/>
      <c r="N786" s="43"/>
      <c r="O786" s="43"/>
    </row>
    <row r="787" customFormat="false" ht="14.25" hidden="false" customHeight="true" outlineLevel="0" collapsed="false">
      <c r="A787" s="47"/>
      <c r="B787" s="47"/>
      <c r="C787" s="47"/>
      <c r="D787" s="48"/>
      <c r="E787" s="47"/>
      <c r="F787" s="47"/>
      <c r="G787" s="48"/>
      <c r="H787" s="48"/>
      <c r="I787" s="48"/>
      <c r="J787" s="43"/>
      <c r="K787" s="43"/>
      <c r="L787" s="43"/>
      <c r="M787" s="43"/>
      <c r="N787" s="43"/>
      <c r="O787" s="43"/>
    </row>
    <row r="788" customFormat="false" ht="14.25" hidden="false" customHeight="true" outlineLevel="0" collapsed="false">
      <c r="A788" s="47"/>
      <c r="B788" s="47"/>
      <c r="C788" s="47"/>
      <c r="D788" s="48"/>
      <c r="E788" s="47"/>
      <c r="F788" s="47"/>
      <c r="G788" s="48"/>
      <c r="H788" s="48"/>
      <c r="I788" s="48"/>
      <c r="J788" s="43"/>
      <c r="K788" s="43"/>
      <c r="L788" s="43"/>
      <c r="M788" s="43"/>
      <c r="N788" s="43"/>
      <c r="O788" s="43"/>
    </row>
    <row r="789" customFormat="false" ht="14.25" hidden="false" customHeight="true" outlineLevel="0" collapsed="false">
      <c r="A789" s="47"/>
      <c r="B789" s="47"/>
      <c r="C789" s="47"/>
      <c r="D789" s="48"/>
      <c r="E789" s="47"/>
      <c r="F789" s="47"/>
      <c r="G789" s="48"/>
      <c r="H789" s="48"/>
      <c r="I789" s="48"/>
      <c r="J789" s="43"/>
      <c r="K789" s="43"/>
      <c r="L789" s="43"/>
      <c r="M789" s="43"/>
      <c r="N789" s="43"/>
      <c r="O789" s="43"/>
    </row>
    <row r="790" customFormat="false" ht="14.25" hidden="false" customHeight="true" outlineLevel="0" collapsed="false">
      <c r="A790" s="47"/>
      <c r="B790" s="47"/>
      <c r="C790" s="47"/>
      <c r="D790" s="48"/>
      <c r="E790" s="47"/>
      <c r="F790" s="47"/>
      <c r="G790" s="48"/>
      <c r="H790" s="48"/>
      <c r="I790" s="48"/>
      <c r="J790" s="43"/>
      <c r="K790" s="43"/>
      <c r="L790" s="43"/>
      <c r="M790" s="43"/>
      <c r="N790" s="43"/>
      <c r="O790" s="43"/>
    </row>
    <row r="791" customFormat="false" ht="14.25" hidden="false" customHeight="true" outlineLevel="0" collapsed="false">
      <c r="A791" s="47"/>
      <c r="B791" s="47"/>
      <c r="C791" s="47"/>
      <c r="D791" s="48"/>
      <c r="E791" s="47"/>
      <c r="F791" s="47"/>
      <c r="G791" s="48"/>
      <c r="H791" s="48"/>
      <c r="I791" s="48"/>
      <c r="J791" s="43"/>
      <c r="K791" s="43"/>
      <c r="L791" s="43"/>
      <c r="M791" s="43"/>
      <c r="N791" s="43"/>
      <c r="O791" s="43"/>
    </row>
    <row r="792" customFormat="false" ht="14.25" hidden="false" customHeight="true" outlineLevel="0" collapsed="false">
      <c r="A792" s="47"/>
      <c r="B792" s="47"/>
      <c r="C792" s="47"/>
      <c r="D792" s="48"/>
      <c r="E792" s="47"/>
      <c r="F792" s="47"/>
      <c r="G792" s="48"/>
      <c r="H792" s="48"/>
      <c r="I792" s="48"/>
      <c r="J792" s="43"/>
      <c r="K792" s="43"/>
      <c r="L792" s="43"/>
      <c r="M792" s="43"/>
      <c r="N792" s="43"/>
      <c r="O792" s="43"/>
    </row>
    <row r="793" customFormat="false" ht="14.25" hidden="false" customHeight="true" outlineLevel="0" collapsed="false">
      <c r="A793" s="47"/>
      <c r="B793" s="47"/>
      <c r="C793" s="47"/>
      <c r="D793" s="48"/>
      <c r="E793" s="47"/>
      <c r="F793" s="47"/>
      <c r="G793" s="48"/>
      <c r="H793" s="48"/>
      <c r="I793" s="48"/>
      <c r="J793" s="43"/>
      <c r="K793" s="43"/>
      <c r="L793" s="43"/>
      <c r="M793" s="43"/>
      <c r="N793" s="43"/>
      <c r="O793" s="43"/>
    </row>
    <row r="794" customFormat="false" ht="14.25" hidden="false" customHeight="true" outlineLevel="0" collapsed="false">
      <c r="A794" s="47"/>
      <c r="B794" s="47"/>
      <c r="C794" s="47"/>
      <c r="D794" s="48"/>
      <c r="E794" s="47"/>
      <c r="F794" s="47"/>
      <c r="G794" s="48"/>
      <c r="H794" s="48"/>
      <c r="I794" s="48"/>
      <c r="J794" s="43"/>
      <c r="K794" s="43"/>
      <c r="L794" s="43"/>
      <c r="M794" s="43"/>
      <c r="N794" s="43"/>
      <c r="O794" s="43"/>
    </row>
    <row r="795" customFormat="false" ht="14.25" hidden="false" customHeight="true" outlineLevel="0" collapsed="false">
      <c r="A795" s="47"/>
      <c r="B795" s="47"/>
      <c r="C795" s="47"/>
      <c r="D795" s="48"/>
      <c r="E795" s="47"/>
      <c r="F795" s="47"/>
      <c r="G795" s="48"/>
      <c r="H795" s="48"/>
      <c r="I795" s="48"/>
      <c r="J795" s="43"/>
      <c r="K795" s="43"/>
      <c r="L795" s="43"/>
      <c r="M795" s="43"/>
      <c r="N795" s="43"/>
      <c r="O795" s="43"/>
    </row>
    <row r="796" customFormat="false" ht="14.25" hidden="false" customHeight="true" outlineLevel="0" collapsed="false">
      <c r="A796" s="47"/>
      <c r="B796" s="47"/>
      <c r="C796" s="47"/>
      <c r="D796" s="48"/>
      <c r="E796" s="47"/>
      <c r="F796" s="47"/>
      <c r="G796" s="48"/>
      <c r="H796" s="48"/>
      <c r="I796" s="48"/>
      <c r="J796" s="43"/>
      <c r="K796" s="43"/>
      <c r="L796" s="43"/>
      <c r="M796" s="43"/>
      <c r="N796" s="43"/>
      <c r="O796" s="43"/>
    </row>
    <row r="797" customFormat="false" ht="14.25" hidden="false" customHeight="true" outlineLevel="0" collapsed="false">
      <c r="A797" s="47"/>
      <c r="B797" s="47"/>
      <c r="C797" s="47"/>
      <c r="D797" s="48"/>
      <c r="E797" s="47"/>
      <c r="F797" s="47"/>
      <c r="G797" s="48"/>
      <c r="H797" s="48"/>
      <c r="I797" s="48"/>
      <c r="J797" s="43"/>
      <c r="K797" s="43"/>
      <c r="L797" s="43"/>
      <c r="M797" s="43"/>
      <c r="N797" s="43"/>
      <c r="O797" s="43"/>
    </row>
    <row r="798" customFormat="false" ht="14.25" hidden="false" customHeight="true" outlineLevel="0" collapsed="false">
      <c r="A798" s="47"/>
      <c r="B798" s="47"/>
      <c r="C798" s="47"/>
      <c r="D798" s="48"/>
      <c r="E798" s="47"/>
      <c r="F798" s="47"/>
      <c r="G798" s="48"/>
      <c r="H798" s="48"/>
      <c r="I798" s="48"/>
      <c r="J798" s="43"/>
      <c r="K798" s="43"/>
      <c r="L798" s="43"/>
      <c r="M798" s="43"/>
      <c r="N798" s="43"/>
      <c r="O798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360</v>
      </c>
      <c r="B1" s="54"/>
      <c r="C1" s="54"/>
      <c r="D1" s="54"/>
    </row>
    <row r="2" customFormat="false" ht="15" hidden="false" customHeight="true" outlineLevel="0" collapsed="false">
      <c r="A2" s="55" t="s">
        <v>361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277</v>
      </c>
      <c r="D4" s="56" t="s">
        <v>279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978.6072</v>
      </c>
    </row>
    <row r="6" customFormat="false" ht="15" hidden="false" customHeight="true" outlineLevel="0" collapsed="false">
      <c r="A6" s="41" t="s">
        <v>11</v>
      </c>
      <c r="B6" s="41" t="s">
        <v>304</v>
      </c>
      <c r="C6" s="41" t="s">
        <v>178</v>
      </c>
      <c r="D6" s="58" t="n">
        <f aca="false">'CUSTOS MENSAIS'!F273</f>
        <v>0.3</v>
      </c>
    </row>
    <row r="7" customFormat="false" ht="15" hidden="false" customHeight="true" outlineLevel="0" collapsed="false">
      <c r="A7" s="40" t="s">
        <v>11</v>
      </c>
      <c r="B7" s="40" t="s">
        <v>281</v>
      </c>
      <c r="C7" s="40" t="s">
        <v>220</v>
      </c>
      <c r="D7" s="57" t="n">
        <f aca="false">'CUSTOS MENSAIS'!F274</f>
        <v>99.999</v>
      </c>
    </row>
    <row r="8" customFormat="false" ht="15" hidden="false" customHeight="true" outlineLevel="0" collapsed="false">
      <c r="A8" s="41" t="s">
        <v>11</v>
      </c>
      <c r="B8" s="41" t="s">
        <v>288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281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281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287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287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287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289</v>
      </c>
      <c r="C16" s="41" t="s">
        <v>186</v>
      </c>
      <c r="D16" s="58" t="n">
        <f aca="false">'CUSTOS MENSAIS'!F298</f>
        <v>692.28</v>
      </c>
    </row>
    <row r="17" customFormat="false" ht="15" hidden="false" customHeight="true" outlineLevel="0" collapsed="false">
      <c r="A17" s="40" t="s">
        <v>11</v>
      </c>
      <c r="B17" s="40" t="s">
        <v>286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286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281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304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304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304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304</v>
      </c>
      <c r="C23" s="40" t="s">
        <v>191</v>
      </c>
      <c r="D23" s="57" t="n">
        <f aca="false">'CUSTOS MENSAIS'!F305</f>
        <v>8.0792</v>
      </c>
    </row>
    <row r="24" customFormat="false" ht="15" hidden="false" customHeight="true" outlineLevel="0" collapsed="false">
      <c r="A24" s="59" t="s">
        <v>11</v>
      </c>
      <c r="B24" s="59"/>
      <c r="C24" s="59" t="s">
        <v>362</v>
      </c>
      <c r="D24" s="60" t="n">
        <f aca="false">SUM(D5:D23)</f>
        <v>64434.1654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652.4048</v>
      </c>
    </row>
    <row r="27" customFormat="false" ht="15" hidden="false" customHeight="true" outlineLevel="0" collapsed="false">
      <c r="A27" s="41" t="s">
        <v>20</v>
      </c>
      <c r="B27" s="41" t="s">
        <v>304</v>
      </c>
      <c r="C27" s="41" t="s">
        <v>178</v>
      </c>
      <c r="D27" s="58" t="n">
        <f aca="false">'CUSTOS MENSAIS'!F308</f>
        <v>0.2</v>
      </c>
    </row>
    <row r="28" customFormat="false" ht="15" hidden="false" customHeight="true" outlineLevel="0" collapsed="false">
      <c r="A28" s="40" t="s">
        <v>20</v>
      </c>
      <c r="B28" s="40" t="s">
        <v>281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288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281</v>
      </c>
      <c r="C30" s="40" t="s">
        <v>180</v>
      </c>
      <c r="D30" s="57" t="n">
        <f aca="false">'CUSTOS MENSAIS'!F329</f>
        <v>86.18</v>
      </c>
    </row>
    <row r="31" customFormat="false" ht="15" hidden="false" customHeight="true" outlineLevel="0" collapsed="false">
      <c r="A31" s="41" t="s">
        <v>20</v>
      </c>
      <c r="B31" s="41" t="s">
        <v>281</v>
      </c>
      <c r="C31" s="41" t="s">
        <v>181</v>
      </c>
      <c r="D31" s="58" t="n">
        <f aca="false">'CUSTOS MENSAIS'!F330</f>
        <v>0.25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287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287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287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289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286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286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281</v>
      </c>
      <c r="C40" s="40" t="s">
        <v>187</v>
      </c>
      <c r="D40" s="57" t="n">
        <f aca="false">'CUSTOS MENSAIS'!F339</f>
        <v>285.96</v>
      </c>
    </row>
    <row r="41" customFormat="false" ht="15" hidden="false" customHeight="true" outlineLevel="0" collapsed="false">
      <c r="A41" s="41" t="s">
        <v>20</v>
      </c>
      <c r="B41" s="41" t="s">
        <v>304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304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304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304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363</v>
      </c>
      <c r="D45" s="60" t="n">
        <f aca="false">SUM(D26:D44)</f>
        <v>154516.9248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364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365</v>
      </c>
      <c r="C49" s="62" t="s">
        <v>366</v>
      </c>
      <c r="D49" s="62" t="s">
        <v>367</v>
      </c>
      <c r="E49" s="62" t="s">
        <v>368</v>
      </c>
      <c r="F49" s="62" t="s">
        <v>369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145737.2604</v>
      </c>
      <c r="F50" s="57" t="n">
        <f aca="false">IFERROR(E50/C50,0)</f>
        <v>792.05032826087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55262.36</v>
      </c>
      <c r="F51" s="58" t="n">
        <f aca="false">IFERROR(E51/C51,0)</f>
        <v>383.766388888889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370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371</v>
      </c>
      <c r="C54" s="62" t="s">
        <v>372</v>
      </c>
      <c r="D54" s="62" t="s">
        <v>373</v>
      </c>
      <c r="E54" s="62" t="s">
        <v>374</v>
      </c>
      <c r="F54" s="62" t="s">
        <v>375</v>
      </c>
      <c r="G54" s="63" t="s">
        <v>376</v>
      </c>
      <c r="H54" s="63" t="s">
        <v>377</v>
      </c>
      <c r="I54" s="62" t="s">
        <v>378</v>
      </c>
      <c r="J54" s="62" t="s">
        <v>379</v>
      </c>
      <c r="K54" s="62" t="s">
        <v>380</v>
      </c>
      <c r="L54" s="62" t="s">
        <v>381</v>
      </c>
      <c r="M54" s="62" t="s">
        <v>356</v>
      </c>
      <c r="O54" s="1" t="s">
        <v>382</v>
      </c>
    </row>
    <row r="55" customFormat="false" ht="14.25" hidden="false" customHeight="true" outlineLevel="0" collapsed="false">
      <c r="A55" s="40" t="s">
        <v>11</v>
      </c>
      <c r="B55" s="40" t="s">
        <v>383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384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385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383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384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385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2026-08-25T13:25:54Z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