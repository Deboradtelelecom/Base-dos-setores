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<sst xmlns="http://schemas.openxmlformats.org/spreadsheetml/2006/main" count="12538" uniqueCount="386">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</sst>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00;[RED]&quot;-R$ &quot;#,##0.0000"/>
    <numFmt numFmtId="168" formatCode="#,##0.0000;\(#,##0.0000\);\-"/>
    <numFmt numFmtId="169" formatCode="_-&quot;R$ &quot;* #,##0.0000_-;&quot;-R$ &quot;* #,##0.00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29086.34</v>
      </c>
      <c r="F47" s="21" t="n">
        <f aca="false">IFERROR(D47*E47,0)</f>
        <v>942.7412392755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942.7412392755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29086.34</v>
      </c>
      <c r="F48" s="22" t="n">
        <f aca="false">IFERROR(D48*E48,0)</f>
        <v>887.285872259295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887.285872259295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29086.34</v>
      </c>
      <c r="F49" s="21" t="n">
        <f aca="false">IFERROR(D49*E49,0)</f>
        <v>1164.56270734032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1164.56270734032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29086.34</v>
      </c>
      <c r="F50" s="22" t="n">
        <f aca="false">IFERROR(D50*E50,0)</f>
        <v>305.004518589133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305.004518589133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29086.34</v>
      </c>
      <c r="F51" s="21" t="n">
        <f aca="false">IFERROR(D51*E51,0)</f>
        <v>1164.56270734032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1164.56270734032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29086.34</v>
      </c>
      <c r="F52" s="22" t="n">
        <f aca="false">IFERROR(D52*E52,0)</f>
        <v>499.098303145853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499.098303145853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29086.34</v>
      </c>
      <c r="F53" s="21" t="n">
        <f aca="false">IFERROR(D53*E53,0)</f>
        <v>471.37061963775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471.37061963775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29086.34</v>
      </c>
      <c r="F54" s="22" t="n">
        <f aca="false">IFERROR(D54*E54,0)</f>
        <v>23651.7140324118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23651.7140324118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43118.9397</v>
      </c>
      <c r="F55" s="21" t="n">
        <f aca="false">IFERROR(D55*E55,0)</f>
        <v>1397.56334585319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1397.56334585319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43118.9397</v>
      </c>
      <c r="F56" s="22" t="n">
        <f aca="false">IFERROR(D56*E56,0)</f>
        <v>1315.35373727359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1315.35373727359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43118.9397</v>
      </c>
      <c r="F57" s="21" t="n">
        <f aca="false">IFERROR(D57*E57,0)</f>
        <v>1726.40178017159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1726.40178017159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43118.9397</v>
      </c>
      <c r="F58" s="22" t="n">
        <f aca="false">IFERROR(D58*E58,0)</f>
        <v>452.152847187798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452.152847187798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43118.9397</v>
      </c>
      <c r="F59" s="21" t="n">
        <f aca="false">IFERROR(D59*E59,0)</f>
        <v>1726.40178017159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1726.40178017159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43118.9397</v>
      </c>
      <c r="F60" s="22" t="n">
        <f aca="false">IFERROR(D60*E60,0)</f>
        <v>739.886477216397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739.886477216397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43118.9397</v>
      </c>
      <c r="F61" s="21" t="n">
        <f aca="false">IFERROR(D61*E61,0)</f>
        <v>698.781672926597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698.781672926597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43118.9397</v>
      </c>
      <c r="F62" s="22" t="n">
        <f aca="false">IFERROR(D62*E62,0)</f>
        <v>35062.3980591992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35062.3980591992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24338.6</v>
      </c>
      <c r="F63" s="21" t="n">
        <f aca="false">IFERROR(D63*E63,0)</f>
        <v>805.070117992435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805.070117992435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24338.6</v>
      </c>
      <c r="F64" s="22" t="n">
        <f aca="false">IFERROR(D64*E64,0)</f>
        <v>1676.09477784678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1676.09477784678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24338.6</v>
      </c>
      <c r="F65" s="21" t="n">
        <f aca="false">IFERROR(D65*E65,0)</f>
        <v>1803.88170270423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1803.88170270423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24338.6</v>
      </c>
      <c r="F66" s="22" t="n">
        <f aca="false">IFERROR(D66*E66,0)</f>
        <v>462.681104273697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462.681104273697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24338.6</v>
      </c>
      <c r="F67" s="21" t="n">
        <f aca="false">IFERROR(D67*E67,0)</f>
        <v>803.696065036978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803.696065036978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24338.6</v>
      </c>
      <c r="F68" s="22" t="n">
        <f aca="false">IFERROR(D68*E68,0)</f>
        <v>593.21613504206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593.21613504206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24338.6</v>
      </c>
      <c r="F69" s="21" t="n">
        <f aca="false">IFERROR(D69*E69,0)</f>
        <v>598.962174673968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598.962174673968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24338.6</v>
      </c>
      <c r="F70" s="22" t="n">
        <f aca="false">IFERROR(D70*E70,0)</f>
        <v>17594.9979224299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17594.9979224299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16782.38</v>
      </c>
      <c r="F71" s="21" t="n">
        <f aca="false">IFERROR(D71*E71,0)</f>
        <v>555.12612257048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555.12612257048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16782.38</v>
      </c>
      <c r="F72" s="22" t="n">
        <f aca="false">IFERROR(D72*E72,0)</f>
        <v>1155.73038210251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1155.73038210251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16782.38</v>
      </c>
      <c r="F73" s="21" t="n">
        <f aca="false">IFERROR(D73*E73,0)</f>
        <v>1243.84427246552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1243.84427246552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16782.38</v>
      </c>
      <c r="F74" s="22" t="n">
        <f aca="false">IFERROR(D74*E74,0)</f>
        <v>319.036021412111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319.036021412111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16782.38</v>
      </c>
      <c r="F75" s="21" t="n">
        <f aca="false">IFERROR(D75*E75,0)</f>
        <v>554.178661383781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554.178661383781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16782.38</v>
      </c>
      <c r="F76" s="22" t="n">
        <f aca="false">IFERROR(D76*E76,0)</f>
        <v>409.04483414852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409.04483414852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16782.38</v>
      </c>
      <c r="F77" s="21" t="n">
        <f aca="false">IFERROR(D77*E77,0)</f>
        <v>413.006944565625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413.006944565625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16782.38</v>
      </c>
      <c r="F78" s="22" t="n">
        <f aca="false">IFERROR(D78*E78,0)</f>
        <v>12132.4127613514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12132.4127613514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69777.21</v>
      </c>
      <c r="F79" s="21" t="n">
        <f aca="false">IFERROR(D79*E79,0)</f>
        <v>2308.08455243452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2308.08455243452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69777.21</v>
      </c>
      <c r="F80" s="22" t="n">
        <f aca="false">IFERROR(D80*E80,0)</f>
        <v>4805.25655928106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4805.25655928106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69777.21</v>
      </c>
      <c r="F81" s="21" t="n">
        <f aca="false">IFERROR(D81*E81,0)</f>
        <v>5171.61350220434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5171.61350220434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69777.21</v>
      </c>
      <c r="F82" s="22" t="n">
        <f aca="false">IFERROR(D82*E82,0)</f>
        <v>1326.47714231458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1326.47714231458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69777.21</v>
      </c>
      <c r="F83" s="21" t="n">
        <f aca="false">IFERROR(D83*E83,0)</f>
        <v>2304.14523046761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2304.14523046761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69777.21</v>
      </c>
      <c r="F84" s="22" t="n">
        <f aca="false">IFERROR(D84*E84,0)</f>
        <v>1700.71272917169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1700.71272917169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69777.21</v>
      </c>
      <c r="F85" s="21" t="n">
        <f aca="false">IFERROR(D85*E85,0)</f>
        <v>1717.18625739698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1717.18625739698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69777.21</v>
      </c>
      <c r="F86" s="22" t="n">
        <f aca="false">IFERROR(D86*E86,0)</f>
        <v>50443.7340267292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50443.7340267292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171548.4276</v>
      </c>
      <c r="F87" s="21" t="n">
        <f aca="false">IFERROR(D87*E87,0)</f>
        <v>5674.46413718738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5674.46413718738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171548.4276</v>
      </c>
      <c r="F88" s="22" t="n">
        <f aca="false">IFERROR(D88*E88,0)</f>
        <v>11813.8029158697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11813.8029158697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171548.4276</v>
      </c>
      <c r="F89" s="21" t="n">
        <f aca="false">IFERROR(D89*E89,0)</f>
        <v>12714.4975337662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12714.4975337662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171548.4276</v>
      </c>
      <c r="F90" s="22" t="n">
        <f aca="false">IFERROR(D90*E90,0)</f>
        <v>3261.1660456388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3261.1660456388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171548.4276</v>
      </c>
      <c r="F91" s="21" t="n">
        <f aca="false">IFERROR(D91*E91,0)</f>
        <v>5664.7792488229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5664.7792488229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171548.4276</v>
      </c>
      <c r="F92" s="22" t="n">
        <f aca="false">IFERROR(D92*E92,0)</f>
        <v>4181.23044026421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4181.23044026421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171548.4276</v>
      </c>
      <c r="F93" s="21" t="n">
        <f aca="false">IFERROR(D93*E93,0)</f>
        <v>4221.73088251567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4221.73088251567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171548.4276</v>
      </c>
      <c r="F94" s="22" t="n">
        <f aca="false">IFERROR(D94*E94,0)</f>
        <v>124016.756395935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124016.756395935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47328.3594</v>
      </c>
      <c r="F95" s="21" t="n">
        <f aca="false">IFERROR(D95*E95,0)</f>
        <v>1565.52340260107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1565.52340260107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47328.3594</v>
      </c>
      <c r="F96" s="22" t="n">
        <f aca="false">IFERROR(D96*E96,0)</f>
        <v>3259.30070071391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3259.30070071391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47328.3594</v>
      </c>
      <c r="F97" s="21" t="n">
        <f aca="false">IFERROR(D97*E97,0)</f>
        <v>3507.79262326796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3507.79262326796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47328.3594</v>
      </c>
      <c r="F98" s="22" t="n">
        <f aca="false">IFERROR(D98*E98,0)</f>
        <v>899.720509423485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899.720509423485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47328.3594</v>
      </c>
      <c r="F99" s="21" t="n">
        <f aca="false">IFERROR(D99*E99,0)</f>
        <v>1562.85144644457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1562.85144644457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47328.3594</v>
      </c>
      <c r="F100" s="22" t="n">
        <f aca="false">IFERROR(D100*E100,0)</f>
        <v>1153.55634429053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1153.55634429053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47328.3594</v>
      </c>
      <c r="F101" s="21" t="n">
        <f aca="false">IFERROR(D101*E101,0)</f>
        <v>1164.72997912678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1164.72997912678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47328.3594</v>
      </c>
      <c r="F102" s="22" t="n">
        <f aca="false">IFERROR(D102*E102,0)</f>
        <v>34214.8843941317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34214.8843941317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55092.7156</v>
      </c>
      <c r="F103" s="21" t="n">
        <f aca="false">IFERROR(D103*E103,0)</f>
        <v>1822.35210934958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1822.35210934958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55092.7156</v>
      </c>
      <c r="F104" s="22" t="n">
        <f aca="false">IFERROR(D104*E104,0)</f>
        <v>3793.99854200972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3793.99854200972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55092.7156</v>
      </c>
      <c r="F105" s="21" t="n">
        <f aca="false">IFERROR(D105*E105,0)</f>
        <v>4083.25629342394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4083.25629342394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55092.7156</v>
      </c>
      <c r="F106" s="22" t="n">
        <f aca="false">IFERROR(D106*E106,0)</f>
        <v>1047.32229837562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1047.32229837562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55092.7156</v>
      </c>
      <c r="F107" s="21" t="n">
        <f aca="false">IFERROR(D107*E107,0)</f>
        <v>1819.24181094728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1819.24181094728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55092.7156</v>
      </c>
      <c r="F108" s="22" t="n">
        <f aca="false">IFERROR(D108*E108,0)</f>
        <v>1342.80064659444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1342.80064659444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55092.7156</v>
      </c>
      <c r="F109" s="21" t="n">
        <f aca="false">IFERROR(D109*E109,0)</f>
        <v>1355.80734900407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1355.80734900407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55092.7156</v>
      </c>
      <c r="F110" s="22" t="n">
        <f aca="false">IFERROR(D110*E110,0)</f>
        <v>39827.9365502954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39827.9365502954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35473.06</v>
      </c>
      <c r="F111" s="21" t="n">
        <f aca="false">IFERROR(D111*E111,0)</f>
        <v>1173.37482845163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1173.37482845163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35473.06</v>
      </c>
      <c r="F112" s="22" t="n">
        <f aca="false">IFERROR(D112*E112,0)</f>
        <v>2442.87718357857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2442.87718357857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35473.06</v>
      </c>
      <c r="F113" s="21" t="n">
        <f aca="false">IFERROR(D113*E113,0)</f>
        <v>2629.12426651201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2629.12426651201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35473.06</v>
      </c>
      <c r="F114" s="22" t="n">
        <f aca="false">IFERROR(D114*E114,0)</f>
        <v>674.349164404161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674.349164404161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35473.06</v>
      </c>
      <c r="F115" s="21" t="n">
        <f aca="false">IFERROR(D115*E115,0)</f>
        <v>1171.37217164589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1171.37217164589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35473.06</v>
      </c>
      <c r="F116" s="22" t="n">
        <f aca="false">IFERROR(D116*E116,0)</f>
        <v>864.601560949072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864.601560949072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35473.06</v>
      </c>
      <c r="F117" s="21" t="n">
        <f aca="false">IFERROR(D117*E117,0)</f>
        <v>872.97630759124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872.97630759124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35473.06</v>
      </c>
      <c r="F118" s="22" t="n">
        <f aca="false">IFERROR(D118*E118,0)</f>
        <v>25644.3845168674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25644.3845168674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28942.0106607408</v>
      </c>
      <c r="F127" s="21" t="n">
        <f aca="false">IFERROR(D127*E127,0)</f>
        <v>957.341339994121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957.341339994121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28942.0106607408</v>
      </c>
      <c r="F128" s="22" t="n">
        <f aca="false">IFERROR(D128*E128,0)</f>
        <v>1993.11188518869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1993.11188518869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28942.0106607408</v>
      </c>
      <c r="F129" s="21" t="n">
        <f aca="false">IFERROR(D129*E129,0)</f>
        <v>2145.06847026456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2145.06847026456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28942.0106607408</v>
      </c>
      <c r="F130" s="22" t="n">
        <f aca="false">IFERROR(D130*E130,0)</f>
        <v>550.192757694061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550.192757694061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28942.0106607408</v>
      </c>
      <c r="F131" s="21" t="n">
        <f aca="false">IFERROR(D131*E131,0)</f>
        <v>955.707398219111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955.707398219111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28942.0106607408</v>
      </c>
      <c r="F132" s="22" t="n">
        <f aca="false">IFERROR(D132*E132,0)</f>
        <v>705.41722631995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705.41722631995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28942.0106607408</v>
      </c>
      <c r="F133" s="21" t="n">
        <f aca="false">IFERROR(D133*E133,0)</f>
        <v>712.250073742717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712.250073742717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28942.0106607408</v>
      </c>
      <c r="F134" s="22" t="n">
        <f aca="false">IFERROR(D134*E134,0)</f>
        <v>20922.9215093176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20922.9215093176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122515.064</v>
      </c>
      <c r="F199" s="21" t="n">
        <f aca="false">IFERROR(D199*E199,0)</f>
        <v>4052.54275226721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4052.54275226721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122515.064</v>
      </c>
      <c r="F200" s="22" t="n">
        <f aca="false">IFERROR(D200*E200,0)</f>
        <v>8437.08590378921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8437.08590378921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122515.064</v>
      </c>
      <c r="F201" s="21" t="n">
        <f aca="false">IFERROR(D201*E201,0)</f>
        <v>9080.33667734535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9080.33667734535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122515.064</v>
      </c>
      <c r="F202" s="22" t="n">
        <f aca="false">IFERROR(D202*E202,0)</f>
        <v>2329.03310386311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2329.03310386311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122515.064</v>
      </c>
      <c r="F203" s="21" t="n">
        <f aca="false">IFERROR(D203*E203,0)</f>
        <v>4045.62607728274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4045.62607728274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122515.064</v>
      </c>
      <c r="F204" s="22" t="n">
        <f aca="false">IFERROR(D204*E204,0)</f>
        <v>2986.11722738821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2986.11722738821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122515.064</v>
      </c>
      <c r="F205" s="21" t="n">
        <f aca="false">IFERROR(D205*E205,0)</f>
        <v>3015.04150459601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3015.04150459601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122515.064</v>
      </c>
      <c r="F206" s="22" t="n">
        <f aca="false">IFERROR(D206*E206,0)</f>
        <v>88569.2807534682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88569.2807534682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40419.3832</v>
      </c>
      <c r="F207" s="21" t="n">
        <f aca="false">IFERROR(D207*E207,0)</f>
        <v>1336.98888194084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1336.98888194084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40419.3832</v>
      </c>
      <c r="F208" s="22" t="n">
        <f aca="false">IFERROR(D208*E208,0)</f>
        <v>2783.50920370555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2783.50920370555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40419.3832</v>
      </c>
      <c r="F209" s="21" t="n">
        <f aca="false">IFERROR(D209*E209,0)</f>
        <v>2995.72636836427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2995.72636836427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40419.3832</v>
      </c>
      <c r="F210" s="22" t="n">
        <f aca="false">IFERROR(D210*E210,0)</f>
        <v>768.379646037066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768.379646037066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40419.3832</v>
      </c>
      <c r="F211" s="21" t="n">
        <f aca="false">IFERROR(D211*E211,0)</f>
        <v>1334.70697694451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1334.70697694451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40419.3832</v>
      </c>
      <c r="F212" s="22" t="n">
        <f aca="false">IFERROR(D212*E212,0)</f>
        <v>985.160620688452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985.160620688452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40419.3832</v>
      </c>
      <c r="F213" s="21" t="n">
        <f aca="false">IFERROR(D213*E213,0)</f>
        <v>994.703132491288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994.703132491288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40419.3832</v>
      </c>
      <c r="F214" s="22" t="n">
        <f aca="false">IFERROR(D214*E214,0)</f>
        <v>29220.208369828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29220.208369828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127541.7028</v>
      </c>
      <c r="F215" s="21" t="n">
        <f aca="false">IFERROR(D215*E215,0)</f>
        <v>4218.81347826712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4218.81347826712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127541.7028</v>
      </c>
      <c r="F216" s="22" t="n">
        <f aca="false">IFERROR(D216*E216,0)</f>
        <v>8783.24891410212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8783.24891410212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127541.7028</v>
      </c>
      <c r="F217" s="21" t="n">
        <f aca="false">IFERROR(D217*E217,0)</f>
        <v>9452.89145688991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9452.89145688991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127541.7028</v>
      </c>
      <c r="F218" s="22" t="n">
        <f aca="false">IFERROR(D218*E218,0)</f>
        <v>2424.590399302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2424.590399302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127541.7028</v>
      </c>
      <c r="F219" s="21" t="n">
        <f aca="false">IFERROR(D219*E219,0)</f>
        <v>4211.61302081779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4211.61302081779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127541.7028</v>
      </c>
      <c r="F220" s="22" t="n">
        <f aca="false">IFERROR(D220*E220,0)</f>
        <v>3108.63385698845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3108.63385698845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127541.7028</v>
      </c>
      <c r="F221" s="21" t="n">
        <f aca="false">IFERROR(D221*E221,0)</f>
        <v>3138.74486086747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3138.74486086747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127541.7028</v>
      </c>
      <c r="F222" s="22" t="n">
        <f aca="false">IFERROR(D222*E222,0)</f>
        <v>92203.1668127652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92203.1668127652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143950.1104</v>
      </c>
      <c r="F223" s="21" t="n">
        <f aca="false">IFERROR(D223*E223,0)</f>
        <v>4761.56937394723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4761.56937394723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143950.1104</v>
      </c>
      <c r="F224" s="22" t="n">
        <f aca="false">IFERROR(D224*E224,0)</f>
        <v>9913.22542430162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9913.22542430162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143950.1104</v>
      </c>
      <c r="F225" s="21" t="n">
        <f aca="false">IFERROR(D225*E225,0)</f>
        <v>10669.0183598405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10669.0183598405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143950.1104</v>
      </c>
      <c r="F226" s="22" t="n">
        <f aca="false">IFERROR(D226*E226,0)</f>
        <v>2736.5171390381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2736.5171390381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143950.1104</v>
      </c>
      <c r="F227" s="21" t="n">
        <f aca="false">IFERROR(D227*E227,0)</f>
        <v>4753.44256818875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4753.44256818875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143950.1104</v>
      </c>
      <c r="F228" s="22" t="n">
        <f aca="false">IFERROR(D228*E228,0)</f>
        <v>3508.56368609393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3508.56368609393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143950.1104</v>
      </c>
      <c r="F229" s="21" t="n">
        <f aca="false">IFERROR(D229*E229,0)</f>
        <v>3542.54851017486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3542.54851017486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143950.1104</v>
      </c>
      <c r="F230" s="22" t="n">
        <f aca="false">IFERROR(D230*E230,0)</f>
        <v>104065.225338415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104065.225338415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22895.05</v>
      </c>
      <c r="F247" s="21" t="n">
        <f aca="false">IFERROR(D247*E247,0)</f>
        <v>760.994064577398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760.994064577398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22895.05</v>
      </c>
      <c r="F248" s="22" t="n">
        <f aca="false">IFERROR(D248*E248,0)</f>
        <v>760.994064577398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760.994064577398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22895.05</v>
      </c>
      <c r="F249" s="21" t="n">
        <f aca="false">IFERROR(D249*E249,0)</f>
        <v>913.192877492877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913.192877492877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22895.05</v>
      </c>
      <c r="F250" s="22" t="n">
        <f aca="false">IFERROR(D250*E250,0)</f>
        <v>239.169563152896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239.169563152896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22895.05</v>
      </c>
      <c r="F251" s="21" t="n">
        <f aca="false">IFERROR(D251*E251,0)</f>
        <v>913.192877492877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913.192877492877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22895.05</v>
      </c>
      <c r="F252" s="22" t="n">
        <f aca="false">IFERROR(D252*E252,0)</f>
        <v>391.368376068376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391.368376068376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22895.05</v>
      </c>
      <c r="F253" s="21" t="n">
        <f aca="false">IFERROR(D253*E253,0)</f>
        <v>434.853751187084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434.853751187084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22895.05</v>
      </c>
      <c r="F254" s="22" t="n">
        <f aca="false">IFERROR(D254*E254,0)</f>
        <v>18481.2844254511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18481.2844254511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38462.9303</v>
      </c>
      <c r="F255" s="21" t="n">
        <f aca="false">IFERROR(D255*E255,0)</f>
        <v>1278.44497673314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1278.44497673314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38462.9303</v>
      </c>
      <c r="F256" s="22" t="n">
        <f aca="false">IFERROR(D256*E256,0)</f>
        <v>1278.44497673314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1278.44497673314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38462.9303</v>
      </c>
      <c r="F257" s="21" t="n">
        <f aca="false">IFERROR(D257*E257,0)</f>
        <v>1534.13397207977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1534.13397207977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38462.9303</v>
      </c>
      <c r="F258" s="22" t="n">
        <f aca="false">IFERROR(D258*E258,0)</f>
        <v>401.796992687559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401.796992687559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38462.9303</v>
      </c>
      <c r="F259" s="21" t="n">
        <f aca="false">IFERROR(D259*E259,0)</f>
        <v>1534.13397207977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1534.13397207977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38462.9303</v>
      </c>
      <c r="F260" s="22" t="n">
        <f aca="false">IFERROR(D260*E260,0)</f>
        <v>657.485988034188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657.485988034188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38462.9303</v>
      </c>
      <c r="F261" s="21" t="n">
        <f aca="false">IFERROR(D261*E261,0)</f>
        <v>730.539986704653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730.539986704653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38462.9303</v>
      </c>
      <c r="F262" s="22" t="n">
        <f aca="false">IFERROR(D262*E262,0)</f>
        <v>31047.9494349478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31047.9494349478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20765.83</v>
      </c>
      <c r="F263" s="21" t="n">
        <f aca="false">IFERROR(D263*E263,0)</f>
        <v>681.604856606752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681.604856606752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20765.83</v>
      </c>
      <c r="F264" s="22" t="n">
        <f aca="false">IFERROR(D264*E264,0)</f>
        <v>1454.5968611853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1454.5968611853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20765.83</v>
      </c>
      <c r="F265" s="21" t="n">
        <f aca="false">IFERROR(D265*E265,0)</f>
        <v>1555.42662420882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1555.42662420882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20765.83</v>
      </c>
      <c r="F266" s="22" t="n">
        <f aca="false">IFERROR(D266*E266,0)</f>
        <v>396.155688951377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396.155688951377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20765.83</v>
      </c>
      <c r="F267" s="21" t="n">
        <f aca="false">IFERROR(D267*E267,0)</f>
        <v>694.195010009042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694.195010009042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20765.83</v>
      </c>
      <c r="F268" s="22" t="n">
        <f aca="false">IFERROR(D268*E268,0)</f>
        <v>513.374358558907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513.374358558907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20765.83</v>
      </c>
      <c r="F269" s="21" t="n">
        <f aca="false">IFERROR(D269*E269,0)</f>
        <v>519.018220428899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519.018220428899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20765.83</v>
      </c>
      <c r="F270" s="22" t="n">
        <f aca="false">IFERROR(D270*E270,0)</f>
        <v>14951.4583800509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14951.4583800509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16368.2</v>
      </c>
      <c r="F271" s="21" t="n">
        <f aca="false">IFERROR(D271*E271,0)</f>
        <v>537.259749016082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537.259749016082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16368.2</v>
      </c>
      <c r="F272" s="22" t="n">
        <f aca="false">IFERROR(D272*E272,0)</f>
        <v>1146.55336883974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1146.55336883974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16368.2</v>
      </c>
      <c r="F273" s="21" t="n">
        <f aca="false">IFERROR(D273*E273,0)</f>
        <v>1226.03016929132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1226.03016929132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16368.2</v>
      </c>
      <c r="F274" s="22" t="n">
        <f aca="false">IFERROR(D274*E274,0)</f>
        <v>312.260841386736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312.260841386736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16368.2</v>
      </c>
      <c r="F275" s="21" t="n">
        <f aca="false">IFERROR(D275*E275,0)</f>
        <v>547.183655208099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547.183655208099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16368.2</v>
      </c>
      <c r="F276" s="22" t="n">
        <f aca="false">IFERROR(D276*E276,0)</f>
        <v>404.65583007103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404.65583007103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16368.2</v>
      </c>
      <c r="F277" s="21" t="n">
        <f aca="false">IFERROR(D277*E277,0)</f>
        <v>409.104477674348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409.104477674348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16368.2</v>
      </c>
      <c r="F278" s="22" t="n">
        <f aca="false">IFERROR(D278*E278,0)</f>
        <v>11785.1519085127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11785.1519085127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69854.9</v>
      </c>
      <c r="F279" s="21" t="n">
        <f aca="false">IFERROR(D279*E279,0)</f>
        <v>2292.87435646825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2292.87435646825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69854.9</v>
      </c>
      <c r="F280" s="22" t="n">
        <f aca="false">IFERROR(D280*E280,0)</f>
        <v>4893.16912824641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4893.16912824641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69854.9</v>
      </c>
      <c r="F281" s="21" t="n">
        <f aca="false">IFERROR(D281*E281,0)</f>
        <v>5232.3538857558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5232.3538857558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69854.9</v>
      </c>
      <c r="F282" s="22" t="n">
        <f aca="false">IFERROR(D282*E282,0)</f>
        <v>1332.64194285177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1332.64194285177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69854.9</v>
      </c>
      <c r="F283" s="21" t="n">
        <f aca="false">IFERROR(D283*E283,0)</f>
        <v>2335.22681273422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2335.22681273422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69854.9</v>
      </c>
      <c r="F284" s="22" t="n">
        <f aca="false">IFERROR(D284*E284,0)</f>
        <v>1726.95791498325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1726.95791498325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69854.9</v>
      </c>
      <c r="F285" s="21" t="n">
        <f aca="false">IFERROR(D285*E285,0)</f>
        <v>1745.94349882662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1745.94349882662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69854.9</v>
      </c>
      <c r="F286" s="22" t="n">
        <f aca="false">IFERROR(D286*E286,0)</f>
        <v>50295.7324601337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50295.7324601337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161605.5371</v>
      </c>
      <c r="F287" s="21" t="n">
        <f aca="false">IFERROR(D287*E287,0)</f>
        <v>5304.44094658882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5304.44094658882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161605.5371</v>
      </c>
      <c r="F288" s="22" t="n">
        <f aca="false">IFERROR(D288*E288,0)</f>
        <v>11320.0824149974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11320.0824149974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161605.5371</v>
      </c>
      <c r="F289" s="21" t="n">
        <f aca="false">IFERROR(D289*E289,0)</f>
        <v>12104.7680263638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12104.7680263638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161605.5371</v>
      </c>
      <c r="F290" s="22" t="n">
        <f aca="false">IFERROR(D290*E290,0)</f>
        <v>3082.99513615433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3082.99513615433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161605.5371</v>
      </c>
      <c r="F291" s="21" t="n">
        <f aca="false">IFERROR(D291*E291,0)</f>
        <v>5402.42106598441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5402.42106598441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161605.5371</v>
      </c>
      <c r="F292" s="22" t="n">
        <f aca="false">IFERROR(D292*E292,0)</f>
        <v>3995.22383397534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3995.22383397534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161605.5371</v>
      </c>
      <c r="F293" s="21" t="n">
        <f aca="false">IFERROR(D293*E293,0)</f>
        <v>4039.14595646302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4039.14595646302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161605.5371</v>
      </c>
      <c r="F294" s="22" t="n">
        <f aca="false">IFERROR(D294*E294,0)</f>
        <v>116356.459719473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116356.459719473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52211.2772</v>
      </c>
      <c r="F295" s="21" t="n">
        <f aca="false">IFERROR(D295*E295,0)</f>
        <v>1713.75091239606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1713.75091239606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52211.2772</v>
      </c>
      <c r="F296" s="22" t="n">
        <f aca="false">IFERROR(D296*E296,0)</f>
        <v>3657.27543438406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3657.27543438406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52211.2772</v>
      </c>
      <c r="F297" s="21" t="n">
        <f aca="false">IFERROR(D297*E297,0)</f>
        <v>3910.7904976987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3910.7904976987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52211.2772</v>
      </c>
      <c r="F298" s="22" t="n">
        <f aca="false">IFERROR(D298*E298,0)</f>
        <v>996.049495262038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996.049495262038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52211.2772</v>
      </c>
      <c r="F299" s="21" t="n">
        <f aca="false">IFERROR(D299*E299,0)</f>
        <v>1745.4061840263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1745.4061840263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52211.2772</v>
      </c>
      <c r="F300" s="22" t="n">
        <f aca="false">IFERROR(D300*E300,0)</f>
        <v>1290.77098975053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1290.77098975053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52211.2772</v>
      </c>
      <c r="F301" s="21" t="n">
        <f aca="false">IFERROR(D301*E301,0)</f>
        <v>1304.96128392961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1304.96128392961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52211.2772</v>
      </c>
      <c r="F302" s="22" t="n">
        <f aca="false">IFERROR(D302*E302,0)</f>
        <v>37592.2724025527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37592.2724025527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46827.301</v>
      </c>
      <c r="F303" s="21" t="n">
        <f aca="false">IFERROR(D303*E303,0)</f>
        <v>1537.0305826151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1537.0305826151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46827.301</v>
      </c>
      <c r="F304" s="22" t="n">
        <f aca="false">IFERROR(D304*E304,0)</f>
        <v>3280.14074334516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3280.14074334516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46827.301</v>
      </c>
      <c r="F305" s="21" t="n">
        <f aca="false">IFERROR(D305*E305,0)</f>
        <v>3507.51357953138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3507.51357953138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46827.301</v>
      </c>
      <c r="F306" s="22" t="n">
        <f aca="false">IFERROR(D306*E306,0)</f>
        <v>893.337838621836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893.337838621836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46827.301</v>
      </c>
      <c r="F307" s="21" t="n">
        <f aca="false">IFERROR(D307*E307,0)</f>
        <v>1565.42159337678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1565.42159337678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46827.301</v>
      </c>
      <c r="F308" s="22" t="n">
        <f aca="false">IFERROR(D308*E308,0)</f>
        <v>1157.66793881679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1157.66793881679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46827.301</v>
      </c>
      <c r="F309" s="21" t="n">
        <f aca="false">IFERROR(D309*E309,0)</f>
        <v>1170.39494364099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1170.39494364099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46827.301</v>
      </c>
      <c r="F310" s="22" t="n">
        <f aca="false">IFERROR(D310*E310,0)</f>
        <v>33715.793780052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33715.793780052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24839.91</v>
      </c>
      <c r="F311" s="21" t="n">
        <f aca="false">IFERROR(D311*E311,0)</f>
        <v>815.329957611837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815.329957611837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24839.91</v>
      </c>
      <c r="F312" s="22" t="n">
        <f aca="false">IFERROR(D312*E312,0)</f>
        <v>1739.97644775698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1739.97644775698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24839.91</v>
      </c>
      <c r="F313" s="21" t="n">
        <f aca="false">IFERROR(D313*E313,0)</f>
        <v>1860.58815645466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1860.58815645466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24839.91</v>
      </c>
      <c r="F314" s="22" t="n">
        <f aca="false">IFERROR(D314*E314,0)</f>
        <v>473.878080459109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473.878080459109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24839.91</v>
      </c>
      <c r="F315" s="21" t="n">
        <f aca="false">IFERROR(D315*E315,0)</f>
        <v>830.390192497661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830.390192497661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24839.91</v>
      </c>
      <c r="F316" s="22" t="n">
        <f aca="false">IFERROR(D316*E316,0)</f>
        <v>614.094060430572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614.094060430572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24839.91</v>
      </c>
      <c r="F317" s="21" t="n">
        <f aca="false">IFERROR(D317*E317,0)</f>
        <v>620.845200206976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620.845200206976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24839.91</v>
      </c>
      <c r="F318" s="22" t="n">
        <f aca="false">IFERROR(D318*E318,0)</f>
        <v>17884.8079045822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17884.8079045822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27847.0633777778</v>
      </c>
      <c r="F327" s="21" t="n">
        <f aca="false">IFERROR(D327*E327,0)</f>
        <v>914.034914112721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914.034914112721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27847.0633777778</v>
      </c>
      <c r="F328" s="22" t="n">
        <f aca="false">IFERROR(D328*E328,0)</f>
        <v>1950.62036925775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1950.62036925775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27847.0633777778</v>
      </c>
      <c r="F329" s="21" t="n">
        <f aca="false">IFERROR(D329*E329,0)</f>
        <v>2085.83349588366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2085.83349588366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27847.0633777778</v>
      </c>
      <c r="F330" s="22" t="n">
        <f aca="false">IFERROR(D330*E330,0)</f>
        <v>531.246407087808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531.246407087808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27847.0633777778</v>
      </c>
      <c r="F331" s="21" t="n">
        <f aca="false">IFERROR(D331*E331,0)</f>
        <v>930.918361570854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930.918361570854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27847.0633777778</v>
      </c>
      <c r="F332" s="22" t="n">
        <f aca="false">IFERROR(D332*E332,0)</f>
        <v>688.43712480146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688.43712480146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27847.0633777778</v>
      </c>
      <c r="F333" s="21" t="n">
        <f aca="false">IFERROR(D333*E333,0)</f>
        <v>696.005566765451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696.005566765451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27847.0633777778</v>
      </c>
      <c r="F334" s="22" t="n">
        <f aca="false">IFERROR(D334*E334,0)</f>
        <v>20049.9671382981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20049.9671382981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56892.621</v>
      </c>
      <c r="F399" s="21" t="n">
        <f aca="false">IFERROR(D399*E399,0)</f>
        <v>1867.40846759736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1867.40846759736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56892.621</v>
      </c>
      <c r="F400" s="22" t="n">
        <f aca="false">IFERROR(D400*E400,0)</f>
        <v>3985.19240171016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3985.19240171016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56892.621</v>
      </c>
      <c r="F401" s="21" t="n">
        <f aca="false">IFERROR(D401*E401,0)</f>
        <v>4261.43801737862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4261.43801737862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56892.621</v>
      </c>
      <c r="F402" s="22" t="n">
        <f aca="false">IFERROR(D402*E402,0)</f>
        <v>1085.3568322819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1085.3568322819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56892.621</v>
      </c>
      <c r="F403" s="21" t="n">
        <f aca="false">IFERROR(D403*E403,0)</f>
        <v>1901.90199980139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1901.90199980139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56892.621</v>
      </c>
      <c r="F404" s="22" t="n">
        <f aca="false">IFERROR(D404*E404,0)</f>
        <v>1406.50351142285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1406.50351142285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56892.621</v>
      </c>
      <c r="F405" s="21" t="n">
        <f aca="false">IFERROR(D405*E405,0)</f>
        <v>1421.96612930742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1421.96612930742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56892.621</v>
      </c>
      <c r="F406" s="22" t="n">
        <f aca="false">IFERROR(D406*E406,0)</f>
        <v>40962.8536405003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40962.8536405003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124871.9361</v>
      </c>
      <c r="F415" s="21" t="n">
        <f aca="false">IFERROR(D415*E415,0)</f>
        <v>4098.71977665463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4098.71977665463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124871.9361</v>
      </c>
      <c r="F416" s="22" t="n">
        <f aca="false">IFERROR(D416*E416,0)</f>
        <v>8746.98128132569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8746.98128132569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124871.9361</v>
      </c>
      <c r="F417" s="21" t="n">
        <f aca="false">IFERROR(D417*E417,0)</f>
        <v>9353.30463682125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9353.30463682125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124871.9361</v>
      </c>
      <c r="F418" s="22" t="n">
        <f aca="false">IFERROR(D418*E418,0)</f>
        <v>2382.2177045843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2382.2177045843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124871.9361</v>
      </c>
      <c r="F419" s="21" t="n">
        <f aca="false">IFERROR(D419*E419,0)</f>
        <v>4174.42861329347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4174.42861329347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124871.9361</v>
      </c>
      <c r="F420" s="22" t="n">
        <f aca="false">IFERROR(D420*E420,0)</f>
        <v>3087.09308018732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3087.09308018732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124871.9361</v>
      </c>
      <c r="F421" s="21" t="n">
        <f aca="false">IFERROR(D421*E421,0)</f>
        <v>3121.03152419784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3121.03152419784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124871.9361</v>
      </c>
      <c r="F422" s="22" t="n">
        <f aca="false">IFERROR(D422*E422,0)</f>
        <v>89908.1594829355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89908.1594829355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115147.13</v>
      </c>
      <c r="F423" s="21" t="n">
        <f aca="false">IFERROR(D423*E423,0)</f>
        <v>3779.5187108981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3779.5187108981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115147.13</v>
      </c>
      <c r="F424" s="22" t="n">
        <f aca="false">IFERROR(D424*E424,0)</f>
        <v>8065.78180946756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8065.78180946756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115147.13</v>
      </c>
      <c r="F425" s="21" t="n">
        <f aca="false">IFERROR(D425*E425,0)</f>
        <v>8624.88577163704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8624.88577163704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115147.13</v>
      </c>
      <c r="F426" s="22" t="n">
        <f aca="false">IFERROR(D426*E426,0)</f>
        <v>2196.69479216211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2196.69479216211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115147.13</v>
      </c>
      <c r="F427" s="21" t="n">
        <f aca="false">IFERROR(D427*E427,0)</f>
        <v>3849.33147689558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3849.33147689558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115147.13</v>
      </c>
      <c r="F428" s="22" t="n">
        <f aca="false">IFERROR(D428*E428,0)</f>
        <v>2846.67571696624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2846.67571696624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115147.13</v>
      </c>
      <c r="F429" s="21" t="n">
        <f aca="false">IFERROR(D429*E429,0)</f>
        <v>2877.97109482718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2877.97109482718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115147.13</v>
      </c>
      <c r="F430" s="22" t="n">
        <f aca="false">IFERROR(D430*E430,0)</f>
        <v>82906.2706271462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82906.2706271462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31896.6</v>
      </c>
      <c r="F447" s="21" t="n">
        <f aca="false">IFERROR(D447*E447,0)</f>
        <v>994.939816513762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994.939816513762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31896.6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31896.6</v>
      </c>
      <c r="F449" s="21" t="n">
        <f aca="false">IFERROR(D449*E449,0)</f>
        <v>1375.35798165138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1375.35798165138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31896.6</v>
      </c>
      <c r="F450" s="22" t="n">
        <f aca="false">IFERROR(D450*E450,0)</f>
        <v>321.892293577982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321.892293577982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31896.6</v>
      </c>
      <c r="F451" s="21" t="n">
        <f aca="false">IFERROR(D451*E451,0)</f>
        <v>1463.14678899083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1463.14678899083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31896.6</v>
      </c>
      <c r="F452" s="22" t="n">
        <f aca="false">IFERROR(D452*E452,0)</f>
        <v>526.732844036697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526.732844036697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31896.6</v>
      </c>
      <c r="F453" s="21" t="n">
        <f aca="false">IFERROR(D453*E453,0)</f>
        <v>702.310458715596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702.310458715596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31896.6</v>
      </c>
      <c r="F454" s="22" t="n">
        <f aca="false">IFERROR(D454*E454,0)</f>
        <v>26512.2198165138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26512.2198165138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45621.1801</v>
      </c>
      <c r="F455" s="21" t="n">
        <f aca="false">IFERROR(D455*E455,0)</f>
        <v>1423.04598477064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1423.04598477064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45621.1801</v>
      </c>
      <c r="F457" s="21" t="n">
        <f aca="false">IFERROR(D457*E457,0)</f>
        <v>1967.15180247706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1967.15180247706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45621.1801</v>
      </c>
      <c r="F458" s="22" t="n">
        <f aca="false">IFERROR(D458*E458,0)</f>
        <v>460.397230366973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460.397230366973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45621.1801</v>
      </c>
      <c r="F459" s="21" t="n">
        <f aca="false">IFERROR(D459*E459,0)</f>
        <v>2092.71468348624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2092.71468348624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45621.1801</v>
      </c>
      <c r="F460" s="22" t="n">
        <f aca="false">IFERROR(D460*E460,0)</f>
        <v>753.377286055046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753.377286055046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45621.1801</v>
      </c>
      <c r="F461" s="21" t="n">
        <f aca="false">IFERROR(D461*E461,0)</f>
        <v>1004.50304807339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1004.50304807339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45621.1801</v>
      </c>
      <c r="F462" s="22" t="n">
        <f aca="false">IFERROR(D462*E462,0)</f>
        <v>37919.9900647706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37919.9900647706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28237.4898</v>
      </c>
      <c r="F463" s="21" t="n">
        <f aca="false">IFERROR(D463*E463,0)</f>
        <v>923.260010632733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923.260010632733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28237.4898</v>
      </c>
      <c r="F464" s="22" t="n">
        <f aca="false">IFERROR(D464*E464,0)</f>
        <v>1896.13053185502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1896.13053185502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28237.4898</v>
      </c>
      <c r="F465" s="21" t="n">
        <f aca="false">IFERROR(D465*E465,0)</f>
        <v>2058.55590409596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2058.55590409596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28237.4898</v>
      </c>
      <c r="F466" s="22" t="n">
        <f aca="false">IFERROR(D466*E466,0)</f>
        <v>527.637210083825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527.637210083825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28237.4898</v>
      </c>
      <c r="F467" s="21" t="n">
        <f aca="false">IFERROR(D467*E467,0)</f>
        <v>920.457156927109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920.457156927109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28237.4898</v>
      </c>
      <c r="F468" s="22" t="n">
        <f aca="false">IFERROR(D468*E468,0)</f>
        <v>673.385602776303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673.385602776303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28237.4898</v>
      </c>
      <c r="F469" s="21" t="n">
        <f aca="false">IFERROR(D469*E469,0)</f>
        <v>673.525745461584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673.525745461584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28237.4898</v>
      </c>
      <c r="F470" s="22" t="n">
        <f aca="false">IFERROR(D470*E470,0)</f>
        <v>20564.5376381675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20564.5376381675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11205.9601</v>
      </c>
      <c r="F471" s="21" t="n">
        <f aca="false">IFERROR(D471*E471,0)</f>
        <v>366.392866871473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366.392866871473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11205.9601</v>
      </c>
      <c r="F472" s="22" t="n">
        <f aca="false">IFERROR(D472*E472,0)</f>
        <v>752.473510742415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752.473510742415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11205.9601</v>
      </c>
      <c r="F473" s="21" t="n">
        <f aca="false">IFERROR(D473*E473,0)</f>
        <v>816.931515099434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816.931515099434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11205.9601</v>
      </c>
      <c r="F474" s="22" t="n">
        <f aca="false">IFERROR(D474*E474,0)</f>
        <v>209.391187579098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209.391187579098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11205.9601</v>
      </c>
      <c r="F475" s="21" t="n">
        <f aca="false">IFERROR(D475*E475,0)</f>
        <v>365.280563086192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365.280563086192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11205.9601</v>
      </c>
      <c r="F476" s="22" t="n">
        <f aca="false">IFERROR(D476*E476,0)</f>
        <v>267.230984413696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267.230984413696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11205.9601</v>
      </c>
      <c r="F477" s="21" t="n">
        <f aca="false">IFERROR(D477*E477,0)</f>
        <v>267.28659960296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267.28659960296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11205.9601</v>
      </c>
      <c r="F478" s="22" t="n">
        <f aca="false">IFERROR(D478*E478,0)</f>
        <v>8160.97287260473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8160.97287260473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74933.1801</v>
      </c>
      <c r="F479" s="21" t="n">
        <f aca="false">IFERROR(D479*E479,0)</f>
        <v>2450.03394940121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2450.03394940121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74933.1801</v>
      </c>
      <c r="F480" s="22" t="n">
        <f aca="false">IFERROR(D480*E480,0)</f>
        <v>5031.71817477207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5031.71817477207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74933.1801</v>
      </c>
      <c r="F481" s="21" t="n">
        <f aca="false">IFERROR(D481*E481,0)</f>
        <v>5462.74266587044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5462.74266587044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74933.1801</v>
      </c>
      <c r="F482" s="22" t="n">
        <f aca="false">IFERROR(D482*E482,0)</f>
        <v>1400.17878255853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1400.17878255853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74933.1801</v>
      </c>
      <c r="F483" s="21" t="n">
        <f aca="false">IFERROR(D483*E483,0)</f>
        <v>2442.59608070236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2442.59608070236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74933.1801</v>
      </c>
      <c r="F484" s="22" t="n">
        <f aca="false">IFERROR(D484*E484,0)</f>
        <v>1786.94795489873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1786.94795489873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74933.1801</v>
      </c>
      <c r="F485" s="21" t="n">
        <f aca="false">IFERROR(D485*E485,0)</f>
        <v>1787.31984833367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1787.31984833367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74933.1801</v>
      </c>
      <c r="F486" s="22" t="n">
        <f aca="false">IFERROR(D486*E486,0)</f>
        <v>54571.642643463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54571.642643463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169118.6915</v>
      </c>
      <c r="F487" s="21" t="n">
        <f aca="false">IFERROR(D487*E487,0)</f>
        <v>5529.54692567906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5529.54692567906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169118.6915</v>
      </c>
      <c r="F488" s="22" t="n">
        <f aca="false">IFERROR(D488*E488,0)</f>
        <v>11356.2188683117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11356.2188683117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169118.6915</v>
      </c>
      <c r="F489" s="21" t="n">
        <f aca="false">IFERROR(D489*E489,0)</f>
        <v>12329.0095311627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12329.0095311627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169118.6915</v>
      </c>
      <c r="F490" s="22" t="n">
        <f aca="false">IFERROR(D490*E490,0)</f>
        <v>3160.10081590493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3160.10081590493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169118.6915</v>
      </c>
      <c r="F491" s="21" t="n">
        <f aca="false">IFERROR(D491*E491,0)</f>
        <v>5512.76020155739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5512.76020155739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169118.6915</v>
      </c>
      <c r="F492" s="22" t="n">
        <f aca="false">IFERROR(D492*E492,0)</f>
        <v>4033.01047023192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4033.01047023192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169118.6915</v>
      </c>
      <c r="F493" s="21" t="n">
        <f aca="false">IFERROR(D493*E493,0)</f>
        <v>4033.84980643801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4033.84980643801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169118.6915</v>
      </c>
      <c r="F494" s="22" t="n">
        <f aca="false">IFERROR(D494*E494,0)</f>
        <v>123164.194880714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123164.194880714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49854.8765</v>
      </c>
      <c r="F495" s="21" t="n">
        <f aca="false">IFERROR(D495*E495,0)</f>
        <v>1630.06747885514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1630.06747885514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49854.8765</v>
      </c>
      <c r="F496" s="22" t="n">
        <f aca="false">IFERROR(D496*E496,0)</f>
        <v>3347.72510457043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3347.72510457043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49854.8765</v>
      </c>
      <c r="F497" s="21" t="n">
        <f aca="false">IFERROR(D497*E497,0)</f>
        <v>3634.49623510976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3634.49623510976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49854.8765</v>
      </c>
      <c r="F498" s="22" t="n">
        <f aca="false">IFERROR(D498*E498,0)</f>
        <v>931.573172114387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931.573172114387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49854.8765</v>
      </c>
      <c r="F499" s="21" t="n">
        <f aca="false">IFERROR(D499*E499,0)</f>
        <v>1625.11888298733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1625.11888298733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49854.8765</v>
      </c>
      <c r="F500" s="22" t="n">
        <f aca="false">IFERROR(D500*E500,0)</f>
        <v>1188.90015724027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1188.90015724027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49854.8765</v>
      </c>
      <c r="F501" s="21" t="n">
        <f aca="false">IFERROR(D501*E501,0)</f>
        <v>1189.14758703366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1189.14758703366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49854.8765</v>
      </c>
      <c r="F502" s="22" t="n">
        <f aca="false">IFERROR(D502*E502,0)</f>
        <v>36307.847882089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36307.847882089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59228.036</v>
      </c>
      <c r="F503" s="21" t="n">
        <f aca="false">IFERROR(D503*E503,0)</f>
        <v>1936.53464009807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1936.53464009807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59228.036</v>
      </c>
      <c r="F504" s="22" t="n">
        <f aca="false">IFERROR(D504*E504,0)</f>
        <v>3977.12715247827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3977.12715247827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59228.036</v>
      </c>
      <c r="F505" s="21" t="n">
        <f aca="false">IFERROR(D505*E505,0)</f>
        <v>4317.81380212516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4317.81380212516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59228.036</v>
      </c>
      <c r="F506" s="22" t="n">
        <f aca="false">IFERROR(D506*E506,0)</f>
        <v>1106.71720096679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1106.71720096679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59228.036</v>
      </c>
      <c r="F507" s="21" t="n">
        <f aca="false">IFERROR(D507*E507,0)</f>
        <v>1930.65566426292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1930.65566426292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59228.036</v>
      </c>
      <c r="F508" s="22" t="n">
        <f aca="false">IFERROR(D508*E508,0)</f>
        <v>1412.42394439454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1412.42394439454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59228.036</v>
      </c>
      <c r="F509" s="21" t="n">
        <f aca="false">IFERROR(D509*E509,0)</f>
        <v>1412.7178931863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1412.7178931863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59228.036</v>
      </c>
      <c r="F510" s="22" t="n">
        <f aca="false">IFERROR(D510*E510,0)</f>
        <v>43134.045702488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43134.045702488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34333.57</v>
      </c>
      <c r="F511" s="21" t="n">
        <f aca="false">IFERROR(D511*E511,0)</f>
        <v>1122.57896958177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1122.57896958177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34333.57</v>
      </c>
      <c r="F512" s="22" t="n">
        <f aca="false">IFERROR(D512*E512,0)</f>
        <v>2305.47866703724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2305.47866703724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34333.57</v>
      </c>
      <c r="F513" s="21" t="n">
        <f aca="false">IFERROR(D513*E513,0)</f>
        <v>2502.96941168588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2502.96941168588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34333.57</v>
      </c>
      <c r="F514" s="22" t="n">
        <f aca="false">IFERROR(D514*E514,0)</f>
        <v>641.546724419453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641.546724419453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34333.57</v>
      </c>
      <c r="F515" s="21" t="n">
        <f aca="false">IFERROR(D515*E515,0)</f>
        <v>1119.17101885444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1119.17101885444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34333.57</v>
      </c>
      <c r="F516" s="22" t="n">
        <f aca="false">IFERROR(D516*E516,0)</f>
        <v>818.760162240497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818.760162240497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34333.57</v>
      </c>
      <c r="F517" s="21" t="n">
        <f aca="false">IFERROR(D517*E517,0)</f>
        <v>818.930559776863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818.930559776863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34333.57</v>
      </c>
      <c r="F518" s="22" t="n">
        <f aca="false">IFERROR(D518*E518,0)</f>
        <v>25004.1344864039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25004.1344864039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28043.2633777778</v>
      </c>
      <c r="F527" s="21" t="n">
        <f aca="false">IFERROR(D527*E527,0)</f>
        <v>916.90953507998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916.90953507998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28043.2633777778</v>
      </c>
      <c r="F528" s="22" t="n">
        <f aca="false">IFERROR(D528*E528,0)</f>
        <v>1883.08834390287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1883.08834390287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28043.2633777778</v>
      </c>
      <c r="F529" s="21" t="n">
        <f aca="false">IFERROR(D529*E529,0)</f>
        <v>2044.39650285213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2044.39650285213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28043.2633777778</v>
      </c>
      <c r="F530" s="22" t="n">
        <f aca="false">IFERROR(D530*E530,0)</f>
        <v>524.007953791154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524.007953791154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28043.2633777778</v>
      </c>
      <c r="F531" s="21" t="n">
        <f aca="false">IFERROR(D531*E531,0)</f>
        <v>914.125960292244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914.125960292244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28043.2633777778</v>
      </c>
      <c r="F532" s="22" t="n">
        <f aca="false">IFERROR(D532*E532,0)</f>
        <v>668.753842753385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668.753842753385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28043.2633777778</v>
      </c>
      <c r="F533" s="21" t="n">
        <f aca="false">IFERROR(D533*E533,0)</f>
        <v>668.893021492772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668.893021492772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28043.2633777778</v>
      </c>
      <c r="F534" s="22" t="n">
        <f aca="false">IFERROR(D534*E534,0)</f>
        <v>20423.0882176133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20423.0882176133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113310.545</v>
      </c>
      <c r="F599" s="21" t="n">
        <f aca="false">IFERROR(D599*E599,0)</f>
        <v>3704.82984579956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3704.82984579956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113310.545</v>
      </c>
      <c r="F600" s="22" t="n">
        <f aca="false">IFERROR(D600*E600,0)</f>
        <v>7608.73524797634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7608.73524797634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113310.545</v>
      </c>
      <c r="F601" s="21" t="n">
        <f aca="false">IFERROR(D601*E601,0)</f>
        <v>8260.51086899663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8260.51086899663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113310.545</v>
      </c>
      <c r="F602" s="22" t="n">
        <f aca="false">IFERROR(D602*E602,0)</f>
        <v>2117.28663774064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2117.28663774064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113310.545</v>
      </c>
      <c r="F603" s="21" t="n">
        <f aca="false">IFERROR(D603*E603,0)</f>
        <v>3693.58263922458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3693.58263922458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113310.545</v>
      </c>
      <c r="F604" s="22" t="n">
        <f aca="false">IFERROR(D604*E604,0)</f>
        <v>2702.14137963979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2702.14137963979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113310.545</v>
      </c>
      <c r="F605" s="21" t="n">
        <f aca="false">IFERROR(D605*E605,0)</f>
        <v>2702.70373996853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2702.70373996853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113310.545</v>
      </c>
      <c r="F606" s="22" t="n">
        <f aca="false">IFERROR(D606*E606,0)</f>
        <v>82520.7546406539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82520.7546406539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35640.274</v>
      </c>
      <c r="F607" s="21" t="n">
        <f aca="false">IFERROR(D607*E607,0)</f>
        <v>1165.30328953651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1165.30328953651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35640.274</v>
      </c>
      <c r="F608" s="22" t="n">
        <f aca="false">IFERROR(D608*E608,0)</f>
        <v>2393.22305820111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2393.22305820111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35640.274</v>
      </c>
      <c r="F609" s="21" t="n">
        <f aca="false">IFERROR(D609*E609,0)</f>
        <v>2598.23011839735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2598.23011839735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35640.274</v>
      </c>
      <c r="F610" s="22" t="n">
        <f aca="false">IFERROR(D610*E610,0)</f>
        <v>665.963400896318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665.963400896318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35640.274</v>
      </c>
      <c r="F611" s="21" t="n">
        <f aca="false">IFERROR(D611*E611,0)</f>
        <v>1161.76563534848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1161.76563534848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35640.274</v>
      </c>
      <c r="F612" s="22" t="n">
        <f aca="false">IFERROR(D612*E612,0)</f>
        <v>849.921418673787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849.921418673787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35640.274</v>
      </c>
      <c r="F613" s="21" t="n">
        <f aca="false">IFERROR(D613*E613,0)</f>
        <v>850.098301383188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850.098301383188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35640.274</v>
      </c>
      <c r="F614" s="22" t="n">
        <f aca="false">IFERROR(D614*E614,0)</f>
        <v>25955.7687775633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25955.7687775633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220038.0165</v>
      </c>
      <c r="F615" s="21" t="n">
        <f aca="false">IFERROR(D615*E615,0)</f>
        <v>7194.41787822781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7194.41787822781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220038.0165</v>
      </c>
      <c r="F616" s="22" t="n">
        <f aca="false">IFERROR(D616*E616,0)</f>
        <v>14775.4210522803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14775.4210522803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220038.0165</v>
      </c>
      <c r="F617" s="21" t="n">
        <f aca="false">IFERROR(D617*E617,0)</f>
        <v>16041.1056790055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16041.1056790055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220038.0165</v>
      </c>
      <c r="F618" s="22" t="n">
        <f aca="false">IFERROR(D618*E618,0)</f>
        <v>4111.56395135515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4111.56395135515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220038.0165</v>
      </c>
      <c r="F619" s="21" t="n">
        <f aca="false">IFERROR(D619*E619,0)</f>
        <v>7172.57690106258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7172.57690106258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220038.0165</v>
      </c>
      <c r="F620" s="22" t="n">
        <f aca="false">IFERROR(D620*E620,0)</f>
        <v>5247.29476394727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5247.29476394727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220038.0165</v>
      </c>
      <c r="F621" s="21" t="n">
        <f aca="false">IFERROR(D621*E621,0)</f>
        <v>5248.38681280554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5248.38681280554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220038.0165</v>
      </c>
      <c r="F622" s="22" t="n">
        <f aca="false">IFERROR(D622*E622,0)</f>
        <v>160247.249461316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160247.249461316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125853.5699</v>
      </c>
      <c r="F623" s="21" t="n">
        <f aca="false">IFERROR(D623*E623,0)</f>
        <v>4114.93971691639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4114.93971691639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125853.5699</v>
      </c>
      <c r="F624" s="22" t="n">
        <f aca="false">IFERROR(D624*E624,0)</f>
        <v>8450.991859423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8450.991859423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125853.5699</v>
      </c>
      <c r="F625" s="21" t="n">
        <f aca="false">IFERROR(D625*E625,0)</f>
        <v>9174.91643925089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9174.91643925089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125853.5699</v>
      </c>
      <c r="F626" s="22" t="n">
        <f aca="false">IFERROR(D626*E626,0)</f>
        <v>2351.6618145401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2351.6618145401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125853.5699</v>
      </c>
      <c r="F627" s="21" t="n">
        <f aca="false">IFERROR(D627*E627,0)</f>
        <v>4102.44748948191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4102.44748948191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125853.5699</v>
      </c>
      <c r="F628" s="22" t="n">
        <f aca="false">IFERROR(D628*E628,0)</f>
        <v>3001.25764113285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3001.25764113285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125853.5699</v>
      </c>
      <c r="F629" s="21" t="n">
        <f aca="false">IFERROR(D629*E629,0)</f>
        <v>3001.88225250458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3001.88225250458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125853.5699</v>
      </c>
      <c r="F630" s="22" t="n">
        <f aca="false">IFERROR(D630*E630,0)</f>
        <v>91655.4726867503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91655.4726867503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61320.91</v>
      </c>
      <c r="F844" s="1" t="n">
        <f aca="false">IFERROR(D844*E844,0)</f>
        <v>2004.96377049099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2004.96377049099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61320.91</v>
      </c>
      <c r="F845" s="1" t="n">
        <f aca="false">IFERROR(D845*E845,0)</f>
        <v>4117.66238839452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4117.66238839452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61320.91</v>
      </c>
      <c r="F846" s="1" t="n">
        <f aca="false">IFERROR(D846*E846,0)</f>
        <v>4470.38749616608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4470.38749616608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61320.91</v>
      </c>
      <c r="F847" s="1" t="n">
        <f aca="false">IFERROR(D847*E847,0)</f>
        <v>1145.82401273506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1145.82401273506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61320.91</v>
      </c>
      <c r="F848" s="1" t="n">
        <f aca="false">IFERROR(D848*E848,0)</f>
        <v>1998.87705594791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1998.87705594791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61320.91</v>
      </c>
      <c r="F849" s="1" t="n">
        <f aca="false">IFERROR(D849*E849,0)</f>
        <v>1462.33316897529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1462.33316897529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61320.91</v>
      </c>
      <c r="F850" s="1" t="n">
        <f aca="false">IFERROR(D850*E850,0)</f>
        <v>1462.63750470244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1462.63750470244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61320.91</v>
      </c>
      <c r="F851" s="1" t="n">
        <f aca="false">IFERROR(D851*E851,0)</f>
        <v>44658.2246025877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44658.2246025877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34690.5803</v>
      </c>
      <c r="F892" s="1" t="n">
        <f aca="false">IFERROR(D892*E892,0)</f>
        <v>1134.25186741046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1134.25186741046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34690.5803</v>
      </c>
      <c r="F893" s="1" t="n">
        <f aca="false">IFERROR(D893*E893,0)</f>
        <v>2329.45169490945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2329.45169490945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34690.5803</v>
      </c>
      <c r="F894" s="1" t="n">
        <f aca="false">IFERROR(D894*E894,0)</f>
        <v>2528.99600491685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2528.99600491685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34690.5803</v>
      </c>
      <c r="F895" s="1" t="n">
        <f aca="false">IFERROR(D895*E895,0)</f>
        <v>648.217711111166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648.217711111166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34690.5803</v>
      </c>
      <c r="F896" s="1" t="n">
        <f aca="false">IFERROR(D896*E896,0)</f>
        <v>1130.80847983483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1130.80847983483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34690.5803</v>
      </c>
      <c r="F897" s="1" t="n">
        <f aca="false">IFERROR(D897*E897,0)</f>
        <v>827.2738650436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827.2738650436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34690.5803</v>
      </c>
      <c r="F898" s="1" t="n">
        <f aca="false">IFERROR(D898*E898,0)</f>
        <v>827.446034422381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827.446034422381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34690.5803</v>
      </c>
      <c r="F899" s="1" t="n">
        <f aca="false">IFERROR(D899*E899,0)</f>
        <v>25264.1346423513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25264.1346423513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29086.34</v>
      </c>
      <c r="E6" s="21" t="n">
        <f aca="false">IFERROR(D6/IF(B6="Clientes",SUMIFS(PARÂMETROS!$B$8:$B$33,PARÂMETROS!$G$8:$G$33,F6),SUMIFS(PARÂMETROS!$C$8:$C$33,PARÂMETROS!$G$8:$G$33,F6)),0)</f>
        <v>27.727683508103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43118.9397</v>
      </c>
      <c r="E7" s="21" t="n">
        <f aca="false">IFERROR(D7/IF(B7="Clientes",SUMIFS(PARÂMETROS!$B$8:$B$33,PARÂMETROS!$G$8:$G$33,F7),SUMIFS(PARÂMETROS!$C$8:$C$33,PARÂMETROS!$G$8:$G$33,F7)),0)</f>
        <v>41.1048042897998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24338.6</v>
      </c>
      <c r="E8" s="21" t="n">
        <f aca="false">IFERROR(D8/IF(B8="Clientes",SUMIFS(PARÂMETROS!$B$8:$B$33,PARÂMETROS!$G$8:$G$33,F8),SUMIFS(PARÂMETROS!$C$8:$C$33,PARÂMETROS!$G$8:$G$33,F8)),0)</f>
        <v>0.124913905041495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16782.38</v>
      </c>
      <c r="E9" s="21" t="n">
        <f aca="false">IFERROR(D9/IF(B9="Clientes",SUMIFS(PARÂMETROS!$B$8:$B$33,PARÂMETROS!$G$8:$G$33,F9),SUMIFS(PARÂMETROS!$C$8:$C$33,PARÂMETROS!$G$8:$G$33,F9)),0)</f>
        <v>0.0861328351544577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69777.21</v>
      </c>
      <c r="E10" s="21" t="n">
        <f aca="false">IFERROR(D10/IF(B10="Clientes",SUMIFS(PARÂMETROS!$B$8:$B$33,PARÂMETROS!$G$8:$G$33,F10),SUMIFS(PARÂMETROS!$C$8:$C$33,PARÂMETROS!$G$8:$G$33,F10)),0)</f>
        <v>0.358120178810632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171548.4276</v>
      </c>
      <c r="E11" s="21" t="n">
        <f aca="false">IFERROR(D11/IF(B11="Clientes",SUMIFS(PARÂMETROS!$B$8:$B$33,PARÂMETROS!$G$8:$G$33,F11),SUMIFS(PARÂMETROS!$C$8:$C$33,PARÂMETROS!$G$8:$G$33,F11)),0)</f>
        <v>0.880444396770733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47328.3594</v>
      </c>
      <c r="E12" s="21" t="n">
        <f aca="false">IFERROR(D12/IF(B12="Clientes",SUMIFS(PARÂMETROS!$B$8:$B$33,PARÂMETROS!$G$8:$G$33,F12),SUMIFS(PARÂMETROS!$C$8:$C$33,PARÂMETROS!$G$8:$G$33,F12)),0)</f>
        <v>0.24290510513593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55092.7156</v>
      </c>
      <c r="E13" s="21" t="n">
        <f aca="false">IFERROR(D13/IF(B13="Clientes",SUMIFS(PARÂMETROS!$B$8:$B$33,PARÂMETROS!$G$8:$G$33,F13),SUMIFS(PARÂMETROS!$C$8:$C$33,PARÂMETROS!$G$8:$G$33,F13)),0)</f>
        <v>0.282754400209399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35473.06</v>
      </c>
      <c r="E14" s="21" t="n">
        <f aca="false">IFERROR(D14/IF(B14="Clientes",SUMIFS(PARÂMETROS!$B$8:$B$33,PARÂMETROS!$G$8:$G$33,F14),SUMIFS(PARÂMETROS!$C$8:$C$33,PARÂMETROS!$G$8:$G$33,F14)),0)</f>
        <v>0.182059709612355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28942.0106607408</v>
      </c>
      <c r="E16" s="21" t="n">
        <f aca="false">IFERROR(D16/IF(B16="Clientes",SUMIFS(PARÂMETROS!$B$8:$B$33,PARÂMETROS!$G$8:$G$33,F16),SUMIFS(PARÂMETROS!$C$8:$C$33,PARÂMETROS!$G$8:$G$33,F16)),0)</f>
        <v>0.148540161364487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122515.064</v>
      </c>
      <c r="E25" s="21" t="n">
        <f aca="false">IFERROR(D25/IF(B25="Clientes",SUMIFS(PARÂMETROS!$B$8:$B$33,PARÂMETROS!$G$8:$G$33,F25),SUMIFS(PARÂMETROS!$C$8:$C$33,PARÂMETROS!$G$8:$G$33,F25)),0)</f>
        <v>0.628788634952244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40419.3832</v>
      </c>
      <c r="E26" s="21" t="n">
        <f aca="false">IFERROR(D26/IF(B26="Clientes",SUMIFS(PARÂMETROS!$B$8:$B$33,PARÂMETROS!$G$8:$G$33,F26),SUMIFS(PARÂMETROS!$C$8:$C$33,PARÂMETROS!$G$8:$G$33,F26)),0)</f>
        <v>0.207445908757307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127541.7028</v>
      </c>
      <c r="E27" s="21" t="n">
        <f aca="false">IFERROR(D27/IF(B27="Clientes",SUMIFS(PARÂMETROS!$B$8:$B$33,PARÂMETROS!$G$8:$G$33,F27),SUMIFS(PARÂMETROS!$C$8:$C$33,PARÂMETROS!$G$8:$G$33,F27)),0)</f>
        <v>0.654587040848273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143950.1104</v>
      </c>
      <c r="E28" s="21" t="n">
        <f aca="false">IFERROR(D28/IF(B28="Clientes",SUMIFS(PARÂMETROS!$B$8:$B$33,PARÂMETROS!$G$8:$G$33,F28),SUMIFS(PARÂMETROS!$C$8:$C$33,PARÂMETROS!$G$8:$G$33,F28)),0)</f>
        <v>0.738800523498406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2443259.27366174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22895.05</v>
      </c>
      <c r="E43" s="21" t="n">
        <f aca="false">IFERROR(D43/IF(B43="Clientes",SUMIFS(PARÂMETROS!$B$8:$B$33,PARÂMETROS!$G$8:$G$33,F43),SUMIFS(PARÂMETROS!$C$8:$C$33,PARÂMETROS!$G$8:$G$33,F43)),0)</f>
        <v>21.7426875593542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38462.9303</v>
      </c>
      <c r="E44" s="21" t="n">
        <f aca="false">IFERROR(D44/IF(B44="Clientes",SUMIFS(PARÂMETROS!$B$8:$B$33,PARÂMETROS!$G$8:$G$33,F44),SUMIFS(PARÂMETROS!$C$8:$C$33,PARÂMETROS!$G$8:$G$33,F44)),0)</f>
        <v>36.5269993352327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20765.83</v>
      </c>
      <c r="E45" s="21" t="n">
        <f aca="false">IFERROR(D45/IF(B45="Clientes",SUMIFS(PARÂMETROS!$B$8:$B$33,PARÂMETROS!$G$8:$G$33,F45),SUMIFS(PARÂMETROS!$C$8:$C$33,PARÂMETROS!$G$8:$G$33,F45)),0)</f>
        <v>0.108535805192158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16368.2</v>
      </c>
      <c r="E46" s="21" t="n">
        <f aca="false">IFERROR(D46/IF(B46="Clientes",SUMIFS(PARÂMETROS!$B$8:$B$33,PARÂMETROS!$G$8:$G$33,F46),SUMIFS(PARÂMETROS!$C$8:$C$33,PARÂMETROS!$G$8:$G$33,F46)),0)</f>
        <v>0.0855509154484208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69854.9</v>
      </c>
      <c r="E47" s="21" t="n">
        <f aca="false">IFERROR(D47/IF(B47="Clientes",SUMIFS(PARÂMETROS!$B$8:$B$33,PARÂMETROS!$G$8:$G$33,F47),SUMIFS(PARÂMETROS!$C$8:$C$33,PARÂMETROS!$G$8:$G$33,F47)),0)</f>
        <v>0.365107381603224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161605.5371</v>
      </c>
      <c r="E48" s="21" t="n">
        <f aca="false">IFERROR(D48/IF(B48="Clientes",SUMIFS(PARÂMETROS!$B$8:$B$33,PARÂMETROS!$G$8:$G$33,F48),SUMIFS(PARÂMETROS!$C$8:$C$33,PARÂMETROS!$G$8:$G$33,F48)),0)</f>
        <v>0.844656201686118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52211.2772</v>
      </c>
      <c r="E49" s="21" t="n">
        <f aca="false">IFERROR(D49/IF(B49="Clientes",SUMIFS(PARÂMETROS!$B$8:$B$33,PARÂMETROS!$G$8:$G$33,F49),SUMIFS(PARÂMETROS!$C$8:$C$33,PARÂMETROS!$G$8:$G$33,F49)),0)</f>
        <v>0.272890272674531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46827.301</v>
      </c>
      <c r="E50" s="21" t="n">
        <f aca="false">IFERROR(D50/IF(B50="Clientes",SUMIFS(PARÂMETROS!$B$8:$B$33,PARÂMETROS!$G$8:$G$33,F50),SUMIFS(PARÂMETROS!$C$8:$C$33,PARÂMETROS!$G$8:$G$33,F50)),0)</f>
        <v>0.244750092773106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24839.91</v>
      </c>
      <c r="E51" s="21" t="n">
        <f aca="false">IFERROR(D51/IF(B51="Clientes",SUMIFS(PARÂMETROS!$B$8:$B$33,PARÂMETROS!$G$8:$G$33,F51),SUMIFS(PARÂMETROS!$C$8:$C$33,PARÂMETROS!$G$8:$G$33,F51)),0)</f>
        <v>0.129829611084687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27847.0633777778</v>
      </c>
      <c r="E53" s="21" t="n">
        <f aca="false">IFERROR(D53/IF(B53="Clientes",SUMIFS(PARÂMETROS!$B$8:$B$33,PARÂMETROS!$G$8:$G$33,F53),SUMIFS(PARÂMETROS!$C$8:$C$33,PARÂMETROS!$G$8:$G$33,F53)),0)</f>
        <v>0.145546960845975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56892.621</v>
      </c>
      <c r="E62" s="21" t="n">
        <f aca="false">IFERROR(D62/IF(B62="Clientes",SUMIFS(PARÂMETROS!$B$8:$B$33,PARÂMETROS!$G$8:$G$33,F62),SUMIFS(PARÂMETROS!$C$8:$C$33,PARÂMETROS!$G$8:$G$33,F62)),0)</f>
        <v>0.297358036241618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124871.9361</v>
      </c>
      <c r="E64" s="21" t="n">
        <f aca="false">IFERROR(D64/IF(B64="Clientes",SUMIFS(PARÂMETROS!$B$8:$B$33,PARÂMETROS!$G$8:$G$33,F64),SUMIFS(PARÂMETROS!$C$8:$C$33,PARÂMETROS!$G$8:$G$33,F64)),0)</f>
        <v>0.652662384817616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115147.13</v>
      </c>
      <c r="E65" s="21" t="n">
        <f aca="false">IFERROR(D65/IF(B65="Clientes",SUMIFS(PARÂMETROS!$B$8:$B$33,PARÂMETROS!$G$8:$G$33,F65),SUMIFS(PARÂMETROS!$C$8:$C$33,PARÂMETROS!$G$8:$G$33,F65)),0)</f>
        <v>0.601834189633455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2135413.89397778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31896.6</v>
      </c>
      <c r="E79" s="21" t="n">
        <f aca="false">IFERROR(D79/IF(B79="Clientes",SUMIFS(PARÂMETROS!$B$8:$B$33,PARÂMETROS!$G$8:$G$33,F79),SUMIFS(PARÂMETROS!$C$8:$C$33,PARÂMETROS!$G$8:$G$33,F79)),0)</f>
        <v>29.2629357798165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45621.1801</v>
      </c>
      <c r="E80" s="21" t="n">
        <f aca="false">IFERROR(D80/IF(B80="Clientes",SUMIFS(PARÂMETROS!$B$8:$B$33,PARÂMETROS!$G$8:$G$33,F80),SUMIFS(PARÂMETROS!$C$8:$C$33,PARÂMETROS!$G$8:$G$33,F80)),0)</f>
        <v>41.8542936697248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28237.4898</v>
      </c>
      <c r="E81" s="21" t="n">
        <f aca="false">IFERROR(D81/IF(B81="Clientes",SUMIFS(PARÂMETROS!$B$8:$B$33,PARÂMETROS!$G$8:$G$33,F81),SUMIFS(PARÂMETROS!$C$8:$C$33,PARÂMETROS!$G$8:$G$33,F81)),0)</f>
        <v>0.140142685281228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11205.9601</v>
      </c>
      <c r="E82" s="21" t="n">
        <f aca="false">IFERROR(D82/IF(B82="Clientes",SUMIFS(PARÂMETROS!$B$8:$B$33,PARÂMETROS!$G$8:$G$33,F82),SUMIFS(PARÂMETROS!$C$8:$C$33,PARÂMETROS!$G$8:$G$33,F82)),0)</f>
        <v>0.0556151892640366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74933.1801</v>
      </c>
      <c r="E83" s="21" t="n">
        <f aca="false">IFERROR(D83/IF(B83="Clientes",SUMIFS(PARÂMETROS!$B$8:$B$33,PARÂMETROS!$G$8:$G$33,F83),SUMIFS(PARÂMETROS!$C$8:$C$33,PARÂMETROS!$G$8:$G$33,F83)),0)</f>
        <v>0.371893434942504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169118.6915</v>
      </c>
      <c r="E84" s="21" t="n">
        <f aca="false">IFERROR(D84/IF(B84="Clientes",SUMIFS(PARÂMETROS!$B$8:$B$33,PARÂMETROS!$G$8:$G$33,F84),SUMIFS(PARÂMETROS!$C$8:$C$33,PARÂMETROS!$G$8:$G$33,F84)),0)</f>
        <v>0.839336206083647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49854.8765</v>
      </c>
      <c r="E85" s="21" t="n">
        <f aca="false">IFERROR(D85/IF(B85="Clientes",SUMIFS(PARÂMETROS!$B$8:$B$33,PARÂMETROS!$G$8:$G$33,F85),SUMIFS(PARÂMETROS!$C$8:$C$33,PARÂMETROS!$G$8:$G$33,F85)),0)</f>
        <v>0.247429793390276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59228.036</v>
      </c>
      <c r="E86" s="21" t="n">
        <f aca="false">IFERROR(D86/IF(B86="Clientes",SUMIFS(PARÂMETROS!$B$8:$B$33,PARÂMETROS!$G$8:$G$33,F86),SUMIFS(PARÂMETROS!$C$8:$C$33,PARÂMETROS!$G$8:$G$33,F86)),0)</f>
        <v>0.293948791757448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34333.57</v>
      </c>
      <c r="E87" s="21" t="n">
        <f aca="false">IFERROR(D87/IF(B87="Clientes",SUMIFS(PARÂMETROS!$B$8:$B$33,PARÂMETROS!$G$8:$G$33,F87),SUMIFS(PARÂMETROS!$C$8:$C$33,PARÂMETROS!$G$8:$G$33,F87)),0)</f>
        <v>0.170397536366389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28043.2633777778</v>
      </c>
      <c r="E89" s="21" t="n">
        <f aca="false">IFERROR(D89/IF(B89="Clientes",SUMIFS(PARÂMETROS!$B$8:$B$33,PARÂMETROS!$G$8:$G$33,F89),SUMIFS(PARÂMETROS!$C$8:$C$33,PARÂMETROS!$G$8:$G$33,F89)),0)</f>
        <v>0.139178739386761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113310.545</v>
      </c>
      <c r="E98" s="21" t="n">
        <f aca="false">IFERROR(D98/IF(B98="Clientes",SUMIFS(PARÂMETROS!$B$8:$B$33,PARÂMETROS!$G$8:$G$33,F98),SUMIFS(PARÂMETROS!$C$8:$C$33,PARÂMETROS!$G$8:$G$33,F98)),0)</f>
        <v>0.562360328749175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35640.274</v>
      </c>
      <c r="E99" s="21" t="n">
        <f aca="false">IFERROR(D99/IF(B99="Clientes",SUMIFS(PARÂMETROS!$B$8:$B$33,PARÂMETROS!$G$8:$G$33,F99),SUMIFS(PARÂMETROS!$C$8:$C$33,PARÂMETROS!$G$8:$G$33,F99)),0)</f>
        <v>0.176882709401412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220038.0165</v>
      </c>
      <c r="E100" s="21" t="n">
        <f aca="false">IFERROR(D100/IF(B100="Clientes",SUMIFS(PARÂMETROS!$B$8:$B$33,PARÂMETROS!$G$8:$G$33,F100),SUMIFS(PARÂMETROS!$C$8:$C$33,PARÂMETROS!$G$8:$G$33,F100)),0)</f>
        <v>1.09204885826166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125853.5699</v>
      </c>
      <c r="E101" s="21" t="n">
        <f aca="false">IFERROR(D101/IF(B101="Clientes",SUMIFS(PARÂMETROS!$B$8:$B$33,PARÂMETROS!$G$8:$G$33,F101),SUMIFS(PARÂMETROS!$C$8:$C$33,PARÂMETROS!$G$8:$G$33,F101)),0)</f>
        <v>0.624611371723799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61320.91</v>
      </c>
      <c r="E105" s="21" t="n">
        <f aca="false">IFERROR(D105/IF(B105="Clientes",SUMIFS(PARÂMETROS!$B$8:$B$33,PARÂMETROS!$G$8:$G$33,F105),SUMIFS(PARÂMETROS!$C$8:$C$33,PARÂMETROS!$G$8:$G$33,F105)),0)</f>
        <v>0.304335727154066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34690.5803</v>
      </c>
      <c r="E106" s="21" t="n">
        <f aca="false">IFERROR(D106/IF(B106="Clientes",SUMIFS(PARÂMETROS!$B$8:$B$33,PARÂMETROS!$G$8:$G$33,F106),SUMIFS(PARÂMETROS!$C$8:$C$33,PARÂMETROS!$G$8:$G$33,F106)),0)</f>
        <v>0.172169378781186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3083911.79327778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83.5046</v>
      </c>
      <c r="F596" s="22" t="n">
        <f aca="false">IFERROR(D596*E596,0)</f>
        <v>918.5506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83.5046</v>
      </c>
      <c r="F772" s="22" t="n">
        <f aca="false">IFERROR(D772*E772,0)</f>
        <v>3674.2024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83.5046</v>
      </c>
      <c r="F825" s="37" t="n">
        <f aca="false">IFERROR(D825*E825,0)</f>
        <v>1169.0644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83.5046</v>
      </c>
      <c r="F855" s="37" t="n">
        <f aca="false">IFERROR(D855*E855,0)</f>
        <v>668.0368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83.5046</v>
      </c>
      <c r="F866" s="22" t="n">
        <f aca="false">IFERROR(D866*E866,0)</f>
        <v>2672.1472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83.5046</v>
      </c>
      <c r="F877" s="37" t="n">
        <f aca="false">IFERROR(D877*E877,0)</f>
        <v>835.046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fals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fals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fals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fals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fals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fals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fals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fals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fals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fals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79254.2030928956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79254.2030928956</v>
      </c>
      <c r="F4" s="11" t="n">
        <f aca="false">IFERROR(B4/B$12,0)</f>
        <v>0.0330197280900166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157249.030600869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157249.030600869</v>
      </c>
      <c r="F5" s="16" t="n">
        <f aca="false">IFERROR(B5/B$12,0)</f>
        <v>0.065514761744224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170748.939145383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170748.939145383</v>
      </c>
      <c r="F6" s="11" t="n">
        <f aca="false">IFERROR(B6/B$12,0)</f>
        <v>0.071139237065204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43841.1645192778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43841.1645192778</v>
      </c>
      <c r="F7" s="16" t="n">
        <f aca="false">IFERROR(B7/B$12,0)</f>
        <v>0.0182655717309963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80729.5263333664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80729.5263333664</v>
      </c>
      <c r="F8" s="11" t="n">
        <f aca="false">IFERROR(B8/B$12,0)</f>
        <v>0.0336343929323106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56988.7881329928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56988.7881329928</v>
      </c>
      <c r="F9" s="16" t="n">
        <f aca="false">IFERROR(B9/B$12,0)</f>
        <v>0.0237432743614284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57306.0732770455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57306.0732770455</v>
      </c>
      <c r="F10" s="11" t="n">
        <f aca="false">IFERROR(B10/B$12,0)</f>
        <v>0.0238754650689842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1754089.89855991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1754089.89855991</v>
      </c>
      <c r="F11" s="16" t="n">
        <f aca="false">IFERROR(B11/B$12,0)</f>
        <v>0.730807569006836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2400207.62366174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2400207.62366174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69317.3398373856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69317.3398373856</v>
      </c>
      <c r="F14" s="11" t="n">
        <f aca="false">IFERROR(B14/B$22,0)</f>
        <v>0.0328608985627912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140740.768150552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140740.768150552</v>
      </c>
      <c r="F15" s="16" t="n">
        <f aca="false">IFERROR(B15/B$22,0)</f>
        <v>0.0667202191644148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151324.895896405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151324.895896405</v>
      </c>
      <c r="F16" s="11" t="n">
        <f aca="false">IFERROR(B16/B$22,0)</f>
        <v>0.0717377796918101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38596.1871732415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38596.1871732415</v>
      </c>
      <c r="F17" s="16" t="n">
        <f aca="false">IFERROR(B17/B$22,0)</f>
        <v>0.0182970869134009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71748.245564339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71748.245564339</v>
      </c>
      <c r="F18" s="11" t="n">
        <f aca="false">IFERROR(B18/B$22,0)</f>
        <v>0.0340133049692765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50694.6279877957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50694.6279877957</v>
      </c>
      <c r="F19" s="16" t="n">
        <f aca="false">IFERROR(B19/B$22,0)</f>
        <v>0.0240325296944953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51578.2825333099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51578.2825333099</v>
      </c>
      <c r="F20" s="11" t="n">
        <f aca="false">IFERROR(B20/B$22,0)</f>
        <v>0.0244514390532908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1535416.70683475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1535416.70683475</v>
      </c>
      <c r="F21" s="16" t="n">
        <f aca="false">IFERROR(B21/B$22,0)</f>
        <v>0.72788674195052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2109417.05397778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2109417.05397778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99177.2020102115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99177.2020102115</v>
      </c>
      <c r="F24" s="11" t="n">
        <f aca="false">IFERROR(B24/B$32,0)</f>
        <v>0.0325613886178808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186182.620141819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186182.620141819</v>
      </c>
      <c r="F25" s="16" t="n">
        <f aca="false">IFERROR(B25/B$32,0)</f>
        <v>0.0611265948772064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213911.077794508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213911.077794508</v>
      </c>
      <c r="F26" s="11" t="n">
        <f aca="false">IFERROR(B26/B$32,0)</f>
        <v>0.0702302705920212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54566.1016110098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54566.1016110098</v>
      </c>
      <c r="F27" s="16" t="n">
        <f aca="false">IFERROR(B27/B$32,0)</f>
        <v>0.0179148837021629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102912.12415613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102912.12415613</v>
      </c>
      <c r="F28" s="11" t="n">
        <f aca="false">IFERROR(B28/B$32,0)</f>
        <v>0.0337876205440269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70631.6912378558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70631.6912378558</v>
      </c>
      <c r="F29" s="16" t="n">
        <f aca="false">IFERROR(B29/B$32,0)</f>
        <v>0.0231894618976767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72149.2532119177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72149.2532119177</v>
      </c>
      <c r="F30" s="11" t="n">
        <f aca="false">IFERROR(B30/B$32,0)</f>
        <v>0.0236877006479901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2246322.89311433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2246322.89311433</v>
      </c>
      <c r="F31" s="16" t="n">
        <f aca="false">IFERROR(B31/B$32,0)</f>
        <v>0.737502079121035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3045852.96327778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3045852.96327778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42</v>
      </c>
      <c r="D6" s="49" t="n">
        <v>36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90050.2322774963</v>
      </c>
      <c r="H21" s="50" t="n">
        <f aca="false">F21*G21</f>
        <v>90050.2322774963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1286.07</v>
      </c>
      <c r="H22" s="50" t="n">
        <f aca="false">F22*G22</f>
        <v>1286.07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42</v>
      </c>
      <c r="G23" s="50" t="n">
        <v>28.31</v>
      </c>
      <c r="H23" s="50" t="n">
        <f aca="false">F23*G23</f>
        <v>1189.02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42</v>
      </c>
      <c r="G24" s="50" t="n">
        <v>47.79</v>
      </c>
      <c r="H24" s="50" t="n">
        <f aca="false">F24*G24</f>
        <v>2007.18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42</v>
      </c>
      <c r="G25" s="50" t="n">
        <v>64.54</v>
      </c>
      <c r="H25" s="50" t="n">
        <f aca="false">F25*G25</f>
        <v>2710.68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147.72</v>
      </c>
      <c r="H26" s="50" t="n">
        <f aca="false">F26*G26</f>
        <v>147.72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42</v>
      </c>
      <c r="G27" s="50" t="n">
        <v>10.05</v>
      </c>
      <c r="H27" s="50" t="n">
        <f aca="false">F27*G27</f>
        <v>422.1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42</v>
      </c>
      <c r="G28" s="50" t="n">
        <v>2.07</v>
      </c>
      <c r="H28" s="50" t="n">
        <f aca="false">F28*G28</f>
        <v>86.94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794.9</v>
      </c>
      <c r="H29" s="50" t="n">
        <f aca="false">F29*G29</f>
        <v>794.9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1196.49</v>
      </c>
      <c r="H30" s="50" t="n">
        <f aca="false">F30*G30</f>
        <v>1196.49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275.59</v>
      </c>
      <c r="H34" s="50" t="n">
        <f aca="false">F34*G34</f>
        <v>275.59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31.66</v>
      </c>
      <c r="H38" s="50" t="n">
        <f aca="false">F38*G38</f>
        <v>31.66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170.34</v>
      </c>
      <c r="H41" s="50" t="n">
        <f aca="false">F41*G41</f>
        <v>170.34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256.39</v>
      </c>
      <c r="H42" s="50" t="n">
        <f aca="false">F42*G42</f>
        <v>256.39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214.34</v>
      </c>
      <c r="H45" s="50" t="n">
        <f aca="false">F45*G45</f>
        <v>214.34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24.62</v>
      </c>
      <c r="H49" s="50" t="n">
        <f aca="false">F49*G49</f>
        <v>24.62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132.48</v>
      </c>
      <c r="H52" s="50" t="n">
        <f aca="false">F52*G52</f>
        <v>132.48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199.41</v>
      </c>
      <c r="H53" s="50" t="n">
        <f aca="false">F53*G53</f>
        <v>199.41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336.83</v>
      </c>
      <c r="H57" s="50" t="n">
        <f aca="false">F57*G57</f>
        <v>336.83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38.69</v>
      </c>
      <c r="H61" s="50" t="n">
        <f aca="false">F61*G61</f>
        <v>38.69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208.19</v>
      </c>
      <c r="H64" s="50" t="n">
        <f aca="false">F64*G64</f>
        <v>208.19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313.37</v>
      </c>
      <c r="H65" s="50" t="n">
        <f aca="false">F65*G65</f>
        <v>313.37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551.17</v>
      </c>
      <c r="H77" s="50" t="n">
        <f aca="false">F77*G77</f>
        <v>551.17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63.31</v>
      </c>
      <c r="H81" s="50" t="n">
        <f aca="false">F81*G81</f>
        <v>63.31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340.67</v>
      </c>
      <c r="H84" s="50" t="n">
        <f aca="false">F84*G84</f>
        <v>340.67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512.78</v>
      </c>
      <c r="H85" s="50" t="n">
        <f aca="false">F85*G85</f>
        <v>512.78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85532.0501333333</v>
      </c>
      <c r="H132" s="50" t="n">
        <f aca="false">F132*G132</f>
        <v>85532.0501333333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2832.83</v>
      </c>
      <c r="H133" s="50" t="n">
        <f aca="false">F133*G133</f>
        <v>2832.83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42</v>
      </c>
      <c r="G134" s="50" t="n">
        <v>28.31</v>
      </c>
      <c r="H134" s="50" t="n">
        <f aca="false">F134*G134</f>
        <v>1189.02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42</v>
      </c>
      <c r="G135" s="50" t="n">
        <v>47.79</v>
      </c>
      <c r="H135" s="50" t="n">
        <f aca="false">F135*G135</f>
        <v>2007.18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388.14</v>
      </c>
      <c r="H136" s="50" t="n">
        <f aca="false">F136*G136</f>
        <v>388.14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42</v>
      </c>
      <c r="G137" s="50" t="n">
        <v>64.57</v>
      </c>
      <c r="H137" s="50" t="n">
        <f aca="false">F137*G137</f>
        <v>2711.94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42</v>
      </c>
      <c r="G138" s="50" t="n">
        <v>10.05</v>
      </c>
      <c r="H138" s="50" t="n">
        <f aca="false">F138*G138</f>
        <v>422.1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42</v>
      </c>
      <c r="G139" s="50" t="n">
        <v>2.07</v>
      </c>
      <c r="H139" s="50" t="n">
        <f aca="false">F139*G139</f>
        <v>86.94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74.63</v>
      </c>
      <c r="H140" s="50" t="n">
        <f aca="false">F140*G140</f>
        <v>74.63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-109.75</v>
      </c>
      <c r="H141" s="50" t="n">
        <f aca="false">F141*G141</f>
        <v>-109.75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116.3</v>
      </c>
      <c r="H142" s="50" t="n">
        <f aca="false">F142*G142</f>
        <v>116.3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607.03</v>
      </c>
      <c r="H147" s="50" t="n">
        <f aca="false">F147*G147</f>
        <v>607.03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83.17</v>
      </c>
      <c r="H150" s="50" t="n">
        <f aca="false">F150*G150</f>
        <v>83.17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15.99</v>
      </c>
      <c r="H154" s="50" t="n">
        <f aca="false">F154*G154</f>
        <v>15.99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-23.52</v>
      </c>
      <c r="H155" s="50" t="n">
        <f aca="false">F155*G155</f>
        <v>-23.52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24.92</v>
      </c>
      <c r="H156" s="50" t="n">
        <f aca="false">F156*G156</f>
        <v>24.92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472.14</v>
      </c>
      <c r="H160" s="50" t="n">
        <f aca="false">F160*G160</f>
        <v>472.14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64.69</v>
      </c>
      <c r="H163" s="50" t="n">
        <f aca="false">F163*G163</f>
        <v>64.69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12.44</v>
      </c>
      <c r="H167" s="50" t="n">
        <f aca="false">F167*G167</f>
        <v>12.44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-18.29</v>
      </c>
      <c r="H168" s="50" t="n">
        <f aca="false">F168*G168</f>
        <v>-18.29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19.38</v>
      </c>
      <c r="H169" s="50" t="n">
        <f aca="false">F169*G169</f>
        <v>19.38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741.93</v>
      </c>
      <c r="H174" s="50" t="n">
        <f aca="false">F174*G174</f>
        <v>741.93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101.66</v>
      </c>
      <c r="H177" s="50" t="n">
        <f aca="false">F177*G177</f>
        <v>101.66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19.55</v>
      </c>
      <c r="H181" s="50" t="n">
        <f aca="false">F181*G181</f>
        <v>19.55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-28.74</v>
      </c>
      <c r="H182" s="50" t="n">
        <f aca="false">F182*G182</f>
        <v>-28.74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30.46</v>
      </c>
      <c r="H183" s="50" t="n">
        <f aca="false">F183*G183</f>
        <v>30.46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1214.07</v>
      </c>
      <c r="H200" s="50" t="n">
        <f aca="false">F200*G200</f>
        <v>1214.07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166.34</v>
      </c>
      <c r="H203" s="50" t="n">
        <f aca="false">F203*G203</f>
        <v>166.34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31.99</v>
      </c>
      <c r="H207" s="50" t="n">
        <f aca="false">F207*G207</f>
        <v>31.99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-47.04</v>
      </c>
      <c r="H208" s="50" t="n">
        <f aca="false">F208*G208</f>
        <v>-47.04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49.84</v>
      </c>
      <c r="H209" s="50" t="n">
        <f aca="false">F209*G209</f>
        <v>49.84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107937.616302222</v>
      </c>
      <c r="H258" s="50" t="n">
        <f aca="false">G258*F258</f>
        <v>107937.616302222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3574.78</v>
      </c>
      <c r="H259" s="50" t="n">
        <f aca="false">G259*F259</f>
        <v>3574.78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50</v>
      </c>
      <c r="G260" s="50" t="n">
        <v>26</v>
      </c>
      <c r="H260" s="50" t="n">
        <f aca="false">G260*F260</f>
        <v>1300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50</v>
      </c>
      <c r="G261" s="50" t="n">
        <v>42.77</v>
      </c>
      <c r="H261" s="50" t="n">
        <f aca="false">G261*F261</f>
        <v>2138.5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50</v>
      </c>
      <c r="G262" s="50" t="n">
        <v>63.75</v>
      </c>
      <c r="H262" s="50" t="n">
        <f aca="false">G262*F262</f>
        <v>3187.5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480.2</v>
      </c>
      <c r="H263" s="50" t="n">
        <f aca="false">G263*F263</f>
        <v>480.2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921.18</v>
      </c>
      <c r="H264" s="50" t="n">
        <f aca="false">G264*F264</f>
        <v>921.18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267.04</v>
      </c>
      <c r="H265" s="50" t="n">
        <f aca="false">G265*F265</f>
        <v>267.04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50</v>
      </c>
      <c r="G267" s="50" t="n">
        <v>9.85</v>
      </c>
      <c r="H267" s="50" t="n">
        <f aca="false">G267*F267</f>
        <v>492.5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50</v>
      </c>
      <c r="G268" s="50" t="n">
        <v>2.04</v>
      </c>
      <c r="H268" s="50" t="n">
        <f aca="false">G268*F268</f>
        <v>102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1146254.46875554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257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257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257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257</v>
      </c>
      <c r="D397" s="50" t="n">
        <v>41714.55</v>
      </c>
      <c r="E397" s="49" t="n">
        <v>199</v>
      </c>
      <c r="F397" s="49" t="n">
        <v>1</v>
      </c>
      <c r="G397" s="50" t="n">
        <v>17552.26</v>
      </c>
      <c r="H397" s="50" t="n">
        <v>109.89</v>
      </c>
      <c r="I397" s="50" t="n">
        <v>17662.15</v>
      </c>
      <c r="J397" s="50" t="n">
        <v>208.57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262</v>
      </c>
      <c r="C398" s="49" t="s">
        <v>264</v>
      </c>
      <c r="D398" s="50" t="n">
        <v>3825.46</v>
      </c>
      <c r="E398" s="49" t="n">
        <v>40</v>
      </c>
      <c r="F398" s="49" t="n">
        <v>0</v>
      </c>
      <c r="G398" s="50" t="n">
        <v>4285.58</v>
      </c>
      <c r="H398" s="50" t="n">
        <v>0</v>
      </c>
      <c r="I398" s="50" t="n">
        <v>4285.58</v>
      </c>
      <c r="J398" s="50" t="n">
        <v>95.64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265</v>
      </c>
      <c r="C399" s="49" t="s">
        <v>257</v>
      </c>
      <c r="D399" s="50" t="n">
        <v>72373.67</v>
      </c>
      <c r="E399" s="49" t="n">
        <v>225</v>
      </c>
      <c r="F399" s="49" t="n">
        <v>3</v>
      </c>
      <c r="G399" s="50" t="n">
        <v>18783.87</v>
      </c>
      <c r="H399" s="50" t="n">
        <v>329.8</v>
      </c>
      <c r="I399" s="50" t="n">
        <v>19113.67</v>
      </c>
      <c r="J399" s="50" t="n">
        <v>317.43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265</v>
      </c>
      <c r="C400" s="49" t="s">
        <v>266</v>
      </c>
      <c r="D400" s="50" t="n">
        <v>4567.99</v>
      </c>
      <c r="E400" s="49" t="n">
        <v>25</v>
      </c>
      <c r="F400" s="49" t="n">
        <v>0</v>
      </c>
      <c r="G400" s="50" t="n">
        <v>2382.58</v>
      </c>
      <c r="H400" s="50" t="n">
        <v>0</v>
      </c>
      <c r="I400" s="50" t="n">
        <v>2382.58</v>
      </c>
      <c r="J400" s="50" t="n">
        <v>182.72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11</v>
      </c>
      <c r="B401" s="49" t="s">
        <v>265</v>
      </c>
      <c r="C401" s="49" t="s">
        <v>267</v>
      </c>
      <c r="D401" s="50" t="n">
        <v>13934.06</v>
      </c>
      <c r="E401" s="49" t="n">
        <v>42</v>
      </c>
      <c r="F401" s="49" t="n">
        <v>0</v>
      </c>
      <c r="G401" s="50" t="n">
        <v>2931.3</v>
      </c>
      <c r="H401" s="50" t="n">
        <v>0</v>
      </c>
      <c r="I401" s="50" t="n">
        <v>2931.3</v>
      </c>
      <c r="J401" s="50" t="n">
        <v>331.76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11</v>
      </c>
      <c r="B402" s="49" t="s">
        <v>268</v>
      </c>
      <c r="C402" s="49" t="s">
        <v>269</v>
      </c>
      <c r="D402" s="50" t="n">
        <v>21039.53</v>
      </c>
      <c r="E402" s="49" t="n">
        <v>137</v>
      </c>
      <c r="F402" s="49" t="n">
        <v>4</v>
      </c>
      <c r="G402" s="50" t="n">
        <v>11142.14</v>
      </c>
      <c r="H402" s="50" t="n">
        <v>249.69</v>
      </c>
      <c r="I402" s="50" t="n">
        <v>11391.83</v>
      </c>
      <c r="J402" s="50" t="n">
        <v>149.22</v>
      </c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11</v>
      </c>
      <c r="B403" s="49" t="s">
        <v>268</v>
      </c>
      <c r="C403" s="49" t="s">
        <v>271</v>
      </c>
      <c r="D403" s="49" t="s">
        <v>357</v>
      </c>
      <c r="E403" s="49" t="n">
        <v>49</v>
      </c>
      <c r="F403" s="49" t="n">
        <v>2</v>
      </c>
      <c r="G403" s="50" t="n">
        <v>4205.1</v>
      </c>
      <c r="H403" s="50" t="n">
        <v>249.8</v>
      </c>
      <c r="I403" s="50" t="n">
        <v>4454.9</v>
      </c>
      <c r="J403" s="49" t="s">
        <v>358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11</v>
      </c>
      <c r="B404" s="49" t="s">
        <v>268</v>
      </c>
      <c r="C404" s="49" t="s">
        <v>272</v>
      </c>
      <c r="D404" s="50" t="n">
        <v>24386.42</v>
      </c>
      <c r="E404" s="49" t="n">
        <v>78</v>
      </c>
      <c r="F404" s="49" t="n">
        <v>2</v>
      </c>
      <c r="G404" s="50" t="n">
        <v>7338.18</v>
      </c>
      <c r="H404" s="50" t="n">
        <v>234.77</v>
      </c>
      <c r="I404" s="50" t="n">
        <v>7572.95</v>
      </c>
      <c r="J404" s="50" t="n">
        <v>304.83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11</v>
      </c>
      <c r="B405" s="49" t="s">
        <v>274</v>
      </c>
      <c r="C405" s="49" t="s">
        <v>275</v>
      </c>
      <c r="D405" s="50" t="n">
        <v>3703.62</v>
      </c>
      <c r="E405" s="49" t="n">
        <v>26</v>
      </c>
      <c r="F405" s="49" t="n">
        <v>0</v>
      </c>
      <c r="G405" s="50" t="n">
        <v>2307.4</v>
      </c>
      <c r="H405" s="50" t="n">
        <v>0</v>
      </c>
      <c r="I405" s="50" t="n">
        <v>2307.4</v>
      </c>
      <c r="J405" s="50" t="n">
        <v>142.45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256</v>
      </c>
      <c r="C406" s="49" t="s">
        <v>257</v>
      </c>
      <c r="D406" s="50" t="n">
        <v>119150.38</v>
      </c>
      <c r="E406" s="49" t="n">
        <v>658</v>
      </c>
      <c r="F406" s="49" t="n">
        <v>10</v>
      </c>
      <c r="G406" s="50" t="n">
        <v>56085.27</v>
      </c>
      <c r="H406" s="50" t="n">
        <v>963.98</v>
      </c>
      <c r="I406" s="50" t="n">
        <v>57049.25</v>
      </c>
      <c r="J406" s="50" t="n">
        <v>178.37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259</v>
      </c>
      <c r="C407" s="49" t="s">
        <v>257</v>
      </c>
      <c r="D407" s="50" t="n">
        <v>7367.92</v>
      </c>
      <c r="E407" s="49" t="n">
        <v>0</v>
      </c>
      <c r="F407" s="49" t="n">
        <v>0</v>
      </c>
      <c r="G407" s="50" t="n">
        <v>0</v>
      </c>
      <c r="H407" s="50" t="n">
        <v>0</v>
      </c>
      <c r="I407" s="50" t="n">
        <v>0</v>
      </c>
      <c r="J407" s="49" t="s">
        <v>358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20</v>
      </c>
      <c r="B408" s="49" t="s">
        <v>261</v>
      </c>
      <c r="C408" s="49" t="s">
        <v>257</v>
      </c>
      <c r="D408" s="50" t="n">
        <v>34042.65</v>
      </c>
      <c r="E408" s="49" t="n">
        <v>115</v>
      </c>
      <c r="F408" s="49" t="n">
        <v>5</v>
      </c>
      <c r="G408" s="50" t="n">
        <v>10449.44</v>
      </c>
      <c r="H408" s="50" t="n">
        <v>519.48</v>
      </c>
      <c r="I408" s="50" t="n">
        <v>10968.92</v>
      </c>
      <c r="J408" s="50" t="n">
        <v>283.69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20</v>
      </c>
      <c r="B409" s="49" t="s">
        <v>262</v>
      </c>
      <c r="C409" s="49" t="s">
        <v>257</v>
      </c>
      <c r="D409" s="50" t="n">
        <v>36033.93</v>
      </c>
      <c r="E409" s="49" t="n">
        <v>170</v>
      </c>
      <c r="F409" s="49" t="n">
        <v>0</v>
      </c>
      <c r="G409" s="50" t="n">
        <v>15679.02</v>
      </c>
      <c r="H409" s="50" t="n">
        <v>0</v>
      </c>
      <c r="I409" s="50" t="n">
        <v>15679.02</v>
      </c>
      <c r="J409" s="50" t="n">
        <v>211.96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20</v>
      </c>
      <c r="B410" s="49" t="s">
        <v>262</v>
      </c>
      <c r="C410" s="49" t="s">
        <v>264</v>
      </c>
      <c r="D410" s="50" t="n">
        <v>28510.03</v>
      </c>
      <c r="E410" s="49" t="n">
        <v>20</v>
      </c>
      <c r="F410" s="49" t="n">
        <v>0</v>
      </c>
      <c r="G410" s="50" t="n">
        <v>1988.05</v>
      </c>
      <c r="H410" s="50" t="n">
        <v>0</v>
      </c>
      <c r="I410" s="50" t="n">
        <v>1988.05</v>
      </c>
      <c r="J410" s="50" t="n">
        <v>1425.5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20</v>
      </c>
      <c r="B411" s="49" t="s">
        <v>265</v>
      </c>
      <c r="C411" s="49" t="s">
        <v>257</v>
      </c>
      <c r="D411" s="50" t="n">
        <v>83230</v>
      </c>
      <c r="E411" s="49" t="n">
        <v>514</v>
      </c>
      <c r="F411" s="49" t="n">
        <v>4</v>
      </c>
      <c r="G411" s="50" t="n">
        <v>44226.53</v>
      </c>
      <c r="H411" s="50" t="n">
        <v>389.59</v>
      </c>
      <c r="I411" s="50" t="n">
        <v>44616.12</v>
      </c>
      <c r="J411" s="50" t="n">
        <v>160.68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20</v>
      </c>
      <c r="B412" s="49" t="s">
        <v>265</v>
      </c>
      <c r="C412" s="49" t="s">
        <v>266</v>
      </c>
      <c r="D412" s="50" t="n">
        <v>5633.61</v>
      </c>
      <c r="E412" s="49" t="n">
        <v>3</v>
      </c>
      <c r="F412" s="49" t="n">
        <v>0</v>
      </c>
      <c r="G412" s="50" t="n">
        <v>329.8</v>
      </c>
      <c r="H412" s="50" t="n">
        <v>0</v>
      </c>
      <c r="I412" s="50" t="n">
        <v>329.8</v>
      </c>
      <c r="J412" s="50" t="n">
        <v>1877.87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20</v>
      </c>
      <c r="B413" s="49" t="s">
        <v>265</v>
      </c>
      <c r="C413" s="49" t="s">
        <v>267</v>
      </c>
      <c r="D413" s="50" t="n">
        <v>14128.9</v>
      </c>
      <c r="E413" s="49" t="n">
        <v>59</v>
      </c>
      <c r="F413" s="49" t="n">
        <v>2</v>
      </c>
      <c r="G413" s="50" t="n">
        <v>3804.88</v>
      </c>
      <c r="H413" s="50" t="n">
        <v>199.8</v>
      </c>
      <c r="I413" s="50" t="n">
        <v>4004.68</v>
      </c>
      <c r="J413" s="50" t="n">
        <v>231.62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20</v>
      </c>
      <c r="B414" s="49" t="s">
        <v>268</v>
      </c>
      <c r="C414" s="49" t="s">
        <v>269</v>
      </c>
      <c r="D414" s="50" t="n">
        <v>17908.6</v>
      </c>
      <c r="E414" s="49" t="n">
        <v>89</v>
      </c>
      <c r="F414" s="49" t="n">
        <v>8</v>
      </c>
      <c r="G414" s="50" t="n">
        <v>7236.53</v>
      </c>
      <c r="H414" s="50" t="n">
        <v>799.2</v>
      </c>
      <c r="I414" s="50" t="n">
        <v>8035.73</v>
      </c>
      <c r="J414" s="50" t="n">
        <v>184.62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 t="s">
        <v>20</v>
      </c>
      <c r="B415" s="49" t="s">
        <v>268</v>
      </c>
      <c r="C415" s="49" t="s">
        <v>271</v>
      </c>
      <c r="D415" s="49" t="s">
        <v>357</v>
      </c>
      <c r="E415" s="49" t="n">
        <v>18</v>
      </c>
      <c r="F415" s="49" t="n">
        <v>2</v>
      </c>
      <c r="G415" s="50" t="n">
        <v>1818.3</v>
      </c>
      <c r="H415" s="50" t="n">
        <v>219.7</v>
      </c>
      <c r="I415" s="50" t="n">
        <v>2038</v>
      </c>
      <c r="J415" s="49" t="s">
        <v>358</v>
      </c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 t="s">
        <v>20</v>
      </c>
      <c r="B416" s="49" t="s">
        <v>268</v>
      </c>
      <c r="C416" s="49" t="s">
        <v>272</v>
      </c>
      <c r="D416" s="50" t="n">
        <v>23774</v>
      </c>
      <c r="E416" s="49" t="n">
        <v>89</v>
      </c>
      <c r="F416" s="49" t="n">
        <v>1</v>
      </c>
      <c r="G416" s="50" t="n">
        <v>8720.26</v>
      </c>
      <c r="H416" s="50" t="n">
        <v>89.89</v>
      </c>
      <c r="I416" s="50" t="n">
        <v>8810.15</v>
      </c>
      <c r="J416" s="50" t="n">
        <v>264.16</v>
      </c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 t="s">
        <v>20</v>
      </c>
      <c r="B417" s="49" t="s">
        <v>274</v>
      </c>
      <c r="C417" s="49" t="s">
        <v>275</v>
      </c>
      <c r="D417" s="50" t="n">
        <v>3712.16</v>
      </c>
      <c r="E417" s="49" t="n">
        <v>23</v>
      </c>
      <c r="F417" s="49" t="n">
        <v>0</v>
      </c>
      <c r="G417" s="50" t="n">
        <v>1988.18</v>
      </c>
      <c r="H417" s="50" t="n">
        <v>0</v>
      </c>
      <c r="I417" s="50" t="n">
        <v>1988.18</v>
      </c>
      <c r="J417" s="50" t="n">
        <v>161.4</v>
      </c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 t="s">
        <v>21</v>
      </c>
      <c r="B418" s="49" t="s">
        <v>256</v>
      </c>
      <c r="C418" s="49" t="s">
        <v>257</v>
      </c>
      <c r="D418" s="50" t="n">
        <v>161849.96</v>
      </c>
      <c r="E418" s="49" t="n">
        <v>808</v>
      </c>
      <c r="F418" s="49" t="n">
        <v>3</v>
      </c>
      <c r="G418" s="50" t="n">
        <v>67103</v>
      </c>
      <c r="H418" s="50" t="n">
        <v>74.9</v>
      </c>
      <c r="I418" s="50" t="n">
        <v>67177.9</v>
      </c>
    </row>
    <row r="419" customFormat="false" ht="14.25" hidden="false" customHeight="true" outlineLevel="0" collapsed="false">
      <c r="A419" s="49" t="s">
        <v>21</v>
      </c>
      <c r="B419" s="49" t="s">
        <v>259</v>
      </c>
      <c r="C419" s="49" t="s">
        <v>257</v>
      </c>
      <c r="D419" s="50" t="n">
        <v>7410.09</v>
      </c>
      <c r="E419" s="49" t="n">
        <v>138</v>
      </c>
      <c r="F419" s="49" t="n">
        <v>0</v>
      </c>
      <c r="G419" s="50" t="n">
        <v>11731.77</v>
      </c>
      <c r="H419" s="50" t="n">
        <v>0</v>
      </c>
      <c r="I419" s="50" t="n">
        <v>11731.77</v>
      </c>
    </row>
    <row r="420" customFormat="false" ht="14.25" hidden="false" customHeight="true" outlineLevel="0" collapsed="false">
      <c r="A420" s="49" t="s">
        <v>21</v>
      </c>
      <c r="B420" s="49" t="s">
        <v>261</v>
      </c>
      <c r="C420" s="49" t="s">
        <v>257</v>
      </c>
      <c r="D420" s="50" t="n">
        <v>17008.44</v>
      </c>
      <c r="E420" s="49" t="n">
        <v>128</v>
      </c>
      <c r="F420" s="49" t="n">
        <v>0</v>
      </c>
      <c r="G420" s="50" t="n">
        <v>11678.14</v>
      </c>
      <c r="H420" s="50" t="n">
        <v>0</v>
      </c>
      <c r="I420" s="50" t="n">
        <v>11678.14</v>
      </c>
    </row>
    <row r="421" customFormat="false" ht="14.25" hidden="false" customHeight="true" outlineLevel="0" collapsed="false">
      <c r="A421" s="49" t="s">
        <v>21</v>
      </c>
      <c r="B421" s="49" t="s">
        <v>262</v>
      </c>
      <c r="C421" s="49" t="s">
        <v>257</v>
      </c>
      <c r="D421" s="50" t="n">
        <v>33561.65</v>
      </c>
      <c r="E421" s="49" t="n">
        <v>301</v>
      </c>
      <c r="F421" s="49" t="n">
        <v>0</v>
      </c>
      <c r="G421" s="50" t="n">
        <v>26440.99</v>
      </c>
      <c r="H421" s="50" t="n">
        <v>0</v>
      </c>
      <c r="I421" s="50" t="n">
        <v>26440.99</v>
      </c>
    </row>
    <row r="422" customFormat="false" ht="14.25" hidden="false" customHeight="true" outlineLevel="0" collapsed="false">
      <c r="A422" s="49" t="s">
        <v>21</v>
      </c>
      <c r="B422" s="49" t="s">
        <v>265</v>
      </c>
      <c r="C422" s="49" t="s">
        <v>257</v>
      </c>
      <c r="D422" s="50" t="n">
        <v>52291.74</v>
      </c>
      <c r="E422" s="49" t="n">
        <v>316</v>
      </c>
      <c r="F422" s="49" t="n">
        <v>2</v>
      </c>
      <c r="G422" s="50" t="n">
        <v>26217.75</v>
      </c>
      <c r="H422" s="50" t="n">
        <v>25</v>
      </c>
      <c r="I422" s="50" t="n">
        <v>26242.75</v>
      </c>
    </row>
    <row r="423" customFormat="false" ht="14.25" hidden="false" customHeight="true" outlineLevel="0" collapsed="false">
      <c r="A423" s="49" t="s">
        <v>21</v>
      </c>
      <c r="B423" s="49" t="s">
        <v>359</v>
      </c>
      <c r="C423" s="49" t="s">
        <v>257</v>
      </c>
      <c r="D423" s="50"/>
      <c r="E423" s="49" t="n">
        <v>17</v>
      </c>
      <c r="F423" s="49" t="n">
        <v>0</v>
      </c>
      <c r="G423" s="50" t="n">
        <v>1698.7</v>
      </c>
      <c r="H423" s="50" t="n">
        <v>0</v>
      </c>
      <c r="I423" s="50" t="n">
        <v>1698.7</v>
      </c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 t="s">
        <v>21</v>
      </c>
      <c r="B424" s="49" t="s">
        <v>268</v>
      </c>
      <c r="C424" s="49" t="s">
        <v>269</v>
      </c>
      <c r="D424" s="50" t="n">
        <v>42137.5</v>
      </c>
      <c r="E424" s="49" t="n">
        <v>158</v>
      </c>
      <c r="F424" s="49" t="n">
        <v>4</v>
      </c>
      <c r="G424" s="50" t="n">
        <v>12889.57</v>
      </c>
      <c r="H424" s="50" t="n">
        <v>90.1</v>
      </c>
      <c r="I424" s="50" t="n">
        <v>12979.67</v>
      </c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 t="s">
        <v>21</v>
      </c>
      <c r="B425" s="49" t="s">
        <v>262</v>
      </c>
      <c r="C425" s="49" t="s">
        <v>264</v>
      </c>
      <c r="D425" s="50" t="n">
        <v>7521.05</v>
      </c>
      <c r="E425" s="49" t="n">
        <v>26</v>
      </c>
      <c r="F425" s="49"/>
      <c r="G425" s="50" t="n">
        <v>2647.59</v>
      </c>
      <c r="H425" s="50"/>
      <c r="I425" s="50" t="n">
        <v>2647.59</v>
      </c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 t="s">
        <v>21</v>
      </c>
      <c r="B426" s="49" t="s">
        <v>268</v>
      </c>
      <c r="C426" s="49" t="s">
        <v>272</v>
      </c>
      <c r="D426" s="50" t="n">
        <v>50240.35</v>
      </c>
      <c r="E426" s="49" t="n">
        <v>66</v>
      </c>
      <c r="F426" s="49" t="n">
        <v>1</v>
      </c>
      <c r="G426" s="50" t="n">
        <v>6359.19</v>
      </c>
      <c r="H426" s="50" t="n">
        <v>14.99</v>
      </c>
      <c r="I426" s="50" t="n">
        <v>6374.18</v>
      </c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 t="s">
        <v>21</v>
      </c>
      <c r="B427" s="49" t="s">
        <v>274</v>
      </c>
      <c r="C427" s="49" t="s">
        <v>275</v>
      </c>
      <c r="D427" s="50" t="n">
        <v>0</v>
      </c>
      <c r="E427" s="49" t="n">
        <v>25</v>
      </c>
      <c r="F427" s="49" t="n">
        <v>1</v>
      </c>
      <c r="G427" s="50" t="n">
        <v>2177.7</v>
      </c>
      <c r="H427" s="50" t="n">
        <v>39.97</v>
      </c>
      <c r="I427" s="50" t="n">
        <v>2217.67</v>
      </c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 t="s">
        <v>21</v>
      </c>
      <c r="B428" s="49" t="s">
        <v>265</v>
      </c>
      <c r="C428" s="49" t="s">
        <v>267</v>
      </c>
      <c r="D428" s="50" t="n">
        <v>13514.98</v>
      </c>
      <c r="E428" s="49" t="n">
        <v>26</v>
      </c>
      <c r="F428" s="49"/>
      <c r="G428" s="50" t="n">
        <v>2706.64</v>
      </c>
      <c r="H428" s="50"/>
      <c r="I428" s="50" t="n">
        <v>2706.64</v>
      </c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>
      <c r="A785" s="49"/>
      <c r="B785" s="49"/>
      <c r="C785" s="49"/>
      <c r="D785" s="50"/>
      <c r="E785" s="49"/>
      <c r="F785" s="49"/>
      <c r="G785" s="50"/>
      <c r="H785" s="50"/>
      <c r="I785" s="50"/>
      <c r="J785" s="45"/>
      <c r="K785" s="45"/>
      <c r="L785" s="45"/>
      <c r="M785" s="45"/>
      <c r="N785" s="45"/>
      <c r="O785" s="45"/>
    </row>
    <row r="786" customFormat="false" ht="14.25" hidden="false" customHeight="true" outlineLevel="0" collapsed="false">
      <c r="A786" s="49"/>
      <c r="B786" s="49"/>
      <c r="C786" s="49"/>
      <c r="D786" s="50"/>
      <c r="E786" s="49"/>
      <c r="F786" s="49"/>
      <c r="G786" s="50"/>
      <c r="H786" s="50"/>
      <c r="I786" s="50"/>
      <c r="J786" s="45"/>
      <c r="K786" s="45"/>
      <c r="L786" s="45"/>
      <c r="M786" s="45"/>
      <c r="N786" s="45"/>
      <c r="O786" s="45"/>
    </row>
    <row r="787" customFormat="false" ht="14.25" hidden="false" customHeight="true" outlineLevel="0" collapsed="false">
      <c r="A787" s="49"/>
      <c r="B787" s="49"/>
      <c r="C787" s="49"/>
      <c r="D787" s="50"/>
      <c r="E787" s="49"/>
      <c r="F787" s="49"/>
      <c r="G787" s="50"/>
      <c r="H787" s="50"/>
      <c r="I787" s="50"/>
      <c r="J787" s="45"/>
      <c r="K787" s="45"/>
      <c r="L787" s="45"/>
      <c r="M787" s="45"/>
      <c r="N787" s="45"/>
      <c r="O787" s="45"/>
    </row>
    <row r="788" customFormat="false" ht="14.25" hidden="false" customHeight="true" outlineLevel="0" collapsed="false">
      <c r="A788" s="49"/>
      <c r="B788" s="49"/>
      <c r="C788" s="49"/>
      <c r="D788" s="50"/>
      <c r="E788" s="49"/>
      <c r="F788" s="49"/>
      <c r="G788" s="50"/>
      <c r="H788" s="50"/>
      <c r="I788" s="50"/>
      <c r="J788" s="45"/>
      <c r="K788" s="45"/>
      <c r="L788" s="45"/>
      <c r="M788" s="45"/>
      <c r="N788" s="45"/>
      <c r="O788" s="45"/>
    </row>
    <row r="789" customFormat="false" ht="14.25" hidden="false" customHeight="true" outlineLevel="0" collapsed="false">
      <c r="A789" s="49"/>
      <c r="B789" s="49"/>
      <c r="C789" s="49"/>
      <c r="D789" s="50"/>
      <c r="E789" s="49"/>
      <c r="F789" s="49"/>
      <c r="G789" s="50"/>
      <c r="H789" s="50"/>
      <c r="I789" s="50"/>
      <c r="J789" s="45"/>
      <c r="K789" s="45"/>
      <c r="L789" s="45"/>
      <c r="M789" s="45"/>
      <c r="N789" s="45"/>
      <c r="O789" s="45"/>
    </row>
    <row r="790" customFormat="false" ht="14.25" hidden="false" customHeight="true" outlineLevel="0" collapsed="false">
      <c r="A790" s="49"/>
      <c r="B790" s="49"/>
      <c r="C790" s="49"/>
      <c r="D790" s="50"/>
      <c r="E790" s="49"/>
      <c r="F790" s="49"/>
      <c r="G790" s="50"/>
      <c r="H790" s="50"/>
      <c r="I790" s="50"/>
      <c r="J790" s="45"/>
      <c r="K790" s="45"/>
      <c r="L790" s="45"/>
      <c r="M790" s="45"/>
      <c r="N790" s="45"/>
      <c r="O790" s="45"/>
    </row>
    <row r="791" customFormat="false" ht="14.25" hidden="false" customHeight="true" outlineLevel="0" collapsed="false">
      <c r="A791" s="49"/>
      <c r="B791" s="49"/>
      <c r="C791" s="49"/>
      <c r="D791" s="50"/>
      <c r="E791" s="49"/>
      <c r="F791" s="49"/>
      <c r="G791" s="50"/>
      <c r="H791" s="50"/>
      <c r="I791" s="50"/>
      <c r="J791" s="45"/>
      <c r="K791" s="45"/>
      <c r="L791" s="45"/>
      <c r="M791" s="45"/>
      <c r="N791" s="45"/>
      <c r="O791" s="45"/>
    </row>
    <row r="792" customFormat="false" ht="14.25" hidden="false" customHeight="true" outlineLevel="0" collapsed="false">
      <c r="A792" s="49"/>
      <c r="B792" s="49"/>
      <c r="C792" s="49"/>
      <c r="D792" s="50"/>
      <c r="E792" s="49"/>
      <c r="F792" s="49"/>
      <c r="G792" s="50"/>
      <c r="H792" s="50"/>
      <c r="I792" s="50"/>
      <c r="J792" s="45"/>
      <c r="K792" s="45"/>
      <c r="L792" s="45"/>
      <c r="M792" s="45"/>
      <c r="N792" s="45"/>
      <c r="O792" s="45"/>
    </row>
    <row r="793" customFormat="false" ht="14.25" hidden="false" customHeight="true" outlineLevel="0" collapsed="false">
      <c r="A793" s="49"/>
      <c r="B793" s="49"/>
      <c r="C793" s="49"/>
      <c r="D793" s="50"/>
      <c r="E793" s="49"/>
      <c r="F793" s="49"/>
      <c r="G793" s="50"/>
      <c r="H793" s="50"/>
      <c r="I793" s="50"/>
      <c r="J793" s="45"/>
      <c r="K793" s="45"/>
      <c r="L793" s="45"/>
      <c r="M793" s="45"/>
      <c r="N793" s="45"/>
      <c r="O793" s="45"/>
    </row>
    <row r="794" customFormat="false" ht="14.25" hidden="false" customHeight="true" outlineLevel="0" collapsed="false">
      <c r="A794" s="49"/>
      <c r="B794" s="49"/>
      <c r="C794" s="49"/>
      <c r="D794" s="50"/>
      <c r="E794" s="49"/>
      <c r="F794" s="49"/>
      <c r="G794" s="50"/>
      <c r="H794" s="50"/>
      <c r="I794" s="50"/>
      <c r="J794" s="45"/>
      <c r="K794" s="45"/>
      <c r="L794" s="45"/>
      <c r="M794" s="45"/>
      <c r="N794" s="45"/>
      <c r="O794" s="45"/>
    </row>
    <row r="795" customFormat="false" ht="14.25" hidden="false" customHeight="true" outlineLevel="0" collapsed="false">
      <c r="A795" s="49"/>
      <c r="B795" s="49"/>
      <c r="C795" s="49"/>
      <c r="D795" s="50"/>
      <c r="E795" s="49"/>
      <c r="F795" s="49"/>
      <c r="G795" s="50"/>
      <c r="H795" s="50"/>
      <c r="I795" s="50"/>
      <c r="J795" s="45"/>
      <c r="K795" s="45"/>
      <c r="L795" s="45"/>
      <c r="M795" s="45"/>
      <c r="N795" s="45"/>
      <c r="O795" s="45"/>
    </row>
    <row r="796" customFormat="false" ht="14.25" hidden="false" customHeight="true" outlineLevel="0" collapsed="false">
      <c r="A796" s="49"/>
      <c r="B796" s="49"/>
      <c r="C796" s="49"/>
      <c r="D796" s="50"/>
      <c r="E796" s="49"/>
      <c r="F796" s="49"/>
      <c r="G796" s="50"/>
      <c r="H796" s="50"/>
      <c r="I796" s="50"/>
      <c r="J796" s="45"/>
      <c r="K796" s="45"/>
      <c r="L796" s="45"/>
      <c r="M796" s="45"/>
      <c r="N796" s="45"/>
      <c r="O796" s="45"/>
    </row>
    <row r="797" customFormat="false" ht="14.25" hidden="false" customHeight="true" outlineLevel="0" collapsed="false">
      <c r="A797" s="49"/>
      <c r="B797" s="49"/>
      <c r="C797" s="49"/>
      <c r="D797" s="50"/>
      <c r="E797" s="49"/>
      <c r="F797" s="49"/>
      <c r="G797" s="50"/>
      <c r="H797" s="50"/>
      <c r="I797" s="50"/>
      <c r="J797" s="45"/>
      <c r="K797" s="45"/>
      <c r="L797" s="45"/>
      <c r="M797" s="45"/>
      <c r="N797" s="45"/>
      <c r="O797" s="45"/>
    </row>
    <row r="798" customFormat="false" ht="14.25" hidden="false" customHeight="true" outlineLevel="0" collapsed="false">
      <c r="A798" s="49"/>
      <c r="B798" s="49"/>
      <c r="C798" s="49"/>
      <c r="D798" s="50"/>
      <c r="E798" s="49"/>
      <c r="F798" s="49"/>
      <c r="G798" s="50"/>
      <c r="H798" s="50"/>
      <c r="I798" s="50"/>
      <c r="J798" s="45"/>
      <c r="K798" s="45"/>
      <c r="L798" s="45"/>
      <c r="M798" s="45"/>
      <c r="N798" s="45"/>
      <c r="O798" s="45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360</v>
      </c>
      <c r="B1" s="56"/>
      <c r="C1" s="56"/>
      <c r="D1" s="56"/>
    </row>
    <row r="2" customFormat="false" ht="15" hidden="false" customHeight="true" outlineLevel="0" collapsed="false">
      <c r="A2" s="57" t="s">
        <v>361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978.6072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8.0792</v>
      </c>
    </row>
    <row r="24" customFormat="false" ht="15" hidden="false" customHeight="true" outlineLevel="0" collapsed="false">
      <c r="A24" s="61" t="s">
        <v>11</v>
      </c>
      <c r="B24" s="61"/>
      <c r="C24" s="61" t="s">
        <v>362</v>
      </c>
      <c r="D24" s="62" t="n">
        <f aca="false">SUM(D5:D23)</f>
        <v>64514.1664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652.4048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86.18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0.25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103724.16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99.2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20.5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363</v>
      </c>
      <c r="D45" s="62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364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365</v>
      </c>
      <c r="C49" s="64" t="s">
        <v>366</v>
      </c>
      <c r="D49" s="64" t="s">
        <v>367</v>
      </c>
      <c r="E49" s="64" t="s">
        <v>368</v>
      </c>
      <c r="F49" s="64" t="s">
        <v>369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143950.1104</v>
      </c>
      <c r="F50" s="59" t="n">
        <f aca="false">IFERROR(E50/C50,0)</f>
        <v>782.337556521739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370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371</v>
      </c>
      <c r="C54" s="64" t="s">
        <v>372</v>
      </c>
      <c r="D54" s="64" t="s">
        <v>373</v>
      </c>
      <c r="E54" s="64" t="s">
        <v>374</v>
      </c>
      <c r="F54" s="64" t="s">
        <v>375</v>
      </c>
      <c r="G54" s="65" t="s">
        <v>376</v>
      </c>
      <c r="H54" s="65" t="s">
        <v>377</v>
      </c>
      <c r="I54" s="64" t="s">
        <v>378</v>
      </c>
      <c r="J54" s="64" t="s">
        <v>379</v>
      </c>
      <c r="K54" s="64" t="s">
        <v>380</v>
      </c>
      <c r="L54" s="64" t="s">
        <v>381</v>
      </c>
      <c r="M54" s="64" t="s">
        <v>356</v>
      </c>
      <c r="O54" s="1" t="s">
        <v>382</v>
      </c>
    </row>
    <row r="55" customFormat="false" ht="14.25" hidden="false" customHeight="true" outlineLevel="0" collapsed="false">
      <c r="A55" s="42" t="s">
        <v>11</v>
      </c>
      <c r="B55" s="42" t="s">
        <v>383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384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385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383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384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385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2026-08-25T19:27:05Z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