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<sst xmlns="http://schemas.openxmlformats.org/spreadsheetml/2006/main" count="17678" uniqueCount="655">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</sst>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71344.0911</v>
      </c>
      <c r="F39" s="21" t="n">
        <f aca="false">IFERROR(D39*E39,0)</f>
        <v>2359.91371072864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2359.91371072864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71344.0911</v>
      </c>
      <c r="F40" s="22" t="n">
        <f aca="false">IFERROR(D40*E40,0)</f>
        <v>4913.16092638586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4913.16092638586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71344.0911</v>
      </c>
      <c r="F41" s="21" t="n">
        <f aca="false">IFERROR(D41*E41,0)</f>
        <v>5287.74459218499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5287.74459218499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71344.0911</v>
      </c>
      <c r="F42" s="22" t="n">
        <f aca="false">IFERROR(D42*E42,0)</f>
        <v>1356.26383002931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1356.26383002931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71344.0911</v>
      </c>
      <c r="F43" s="21" t="n">
        <f aca="false">IFERROR(D43*E43,0)</f>
        <v>2355.88592937596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2355.88592937596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71344.0911</v>
      </c>
      <c r="F44" s="22" t="n">
        <f aca="false">IFERROR(D44*E44,0)</f>
        <v>1738.90305853379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1738.90305853379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71344.0911</v>
      </c>
      <c r="F45" s="21" t="n">
        <f aca="false">IFERROR(D45*E45,0)</f>
        <v>1755.74650782681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1755.74650782681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71344.0911</v>
      </c>
      <c r="F46" s="22" t="n">
        <f aca="false">IFERROR(D46*E46,0)</f>
        <v>51576.4725449346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51576.4725449346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29039.374356</v>
      </c>
      <c r="F47" s="21" t="n">
        <f aca="false">IFERROR(D47*E47,0)</f>
        <v>941.218997239276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941.218997239276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29039.374356</v>
      </c>
      <c r="F48" s="22" t="n">
        <f aca="false">IFERROR(D48*E48,0)</f>
        <v>885.853173872259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885.853173872259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29039.374356</v>
      </c>
      <c r="F49" s="21" t="n">
        <f aca="false">IFERROR(D49*E49,0)</f>
        <v>1162.68229070734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1162.68229070734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29039.374356</v>
      </c>
      <c r="F50" s="22" t="n">
        <f aca="false">IFERROR(D50*E50,0)</f>
        <v>304.512028518589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304.512028518589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29039.374356</v>
      </c>
      <c r="F51" s="21" t="n">
        <f aca="false">IFERROR(D51*E51,0)</f>
        <v>1162.68229070734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1162.68229070734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29039.374356</v>
      </c>
      <c r="F52" s="22" t="n">
        <f aca="false">IFERROR(D52*E52,0)</f>
        <v>498.292410303146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498.292410303146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29039.374356</v>
      </c>
      <c r="F53" s="21" t="n">
        <f aca="false">IFERROR(D53*E53,0)</f>
        <v>470.609498619638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470.609498619638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29039.374356</v>
      </c>
      <c r="F54" s="22" t="n">
        <f aca="false">IFERROR(D54*E54,0)</f>
        <v>23613.5236660324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23613.5236660324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43116.2952</v>
      </c>
      <c r="F55" s="21" t="n">
        <f aca="false">IFERROR(D55*E55,0)</f>
        <v>1397.47763279314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1397.47763279314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43116.2952</v>
      </c>
      <c r="F56" s="22" t="n">
        <f aca="false">IFERROR(D56*E56,0)</f>
        <v>1315.27306615825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1315.27306615825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43116.2952</v>
      </c>
      <c r="F57" s="21" t="n">
        <f aca="false">IFERROR(D57*E57,0)</f>
        <v>1726.2958993327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1726.2958993327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43116.2952</v>
      </c>
      <c r="F58" s="22" t="n">
        <f aca="false">IFERROR(D58*E58,0)</f>
        <v>452.125116491897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452.125116491897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43116.2952</v>
      </c>
      <c r="F59" s="21" t="n">
        <f aca="false">IFERROR(D59*E59,0)</f>
        <v>1726.2958993327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1726.2958993327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43116.2952</v>
      </c>
      <c r="F60" s="22" t="n">
        <f aca="false">IFERROR(D60*E60,0)</f>
        <v>739.841099714013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739.841099714013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43116.2952</v>
      </c>
      <c r="F61" s="21" t="n">
        <f aca="false">IFERROR(D61*E61,0)</f>
        <v>698.738816396568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698.738816396568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43116.2952</v>
      </c>
      <c r="F62" s="22" t="n">
        <f aca="false">IFERROR(D62*E62,0)</f>
        <v>35060.2476697807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35060.2476697807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24292.39292</v>
      </c>
      <c r="F63" s="21" t="n">
        <f aca="false">IFERROR(D63*E63,0)</f>
        <v>803.541684173411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803.541684173411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24292.39292</v>
      </c>
      <c r="F64" s="22" t="n">
        <f aca="false">IFERROR(D64*E64,0)</f>
        <v>1672.91269483923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1672.91269483923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24292.39292</v>
      </c>
      <c r="F65" s="21" t="n">
        <f aca="false">IFERROR(D65*E65,0)</f>
        <v>1800.45701491827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1800.45701491827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24292.39292</v>
      </c>
      <c r="F66" s="22" t="n">
        <f aca="false">IFERROR(D66*E66,0)</f>
        <v>461.802699484611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461.802699484611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24292.39292</v>
      </c>
      <c r="F67" s="21" t="n">
        <f aca="false">IFERROR(D67*E67,0)</f>
        <v>802.170239871486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802.170239871486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24292.39292</v>
      </c>
      <c r="F68" s="22" t="n">
        <f aca="false">IFERROR(D68*E68,0)</f>
        <v>592.089908167499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592.089908167499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24292.39292</v>
      </c>
      <c r="F69" s="21" t="n">
        <f aca="false">IFERROR(D69*E69,0)</f>
        <v>597.82503888464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597.82503888464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24292.39292</v>
      </c>
      <c r="F70" s="22" t="n">
        <f aca="false">IFERROR(D70*E70,0)</f>
        <v>17561.5936396609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17561.5936396609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69774.5655</v>
      </c>
      <c r="F79" s="21" t="n">
        <f aca="false">IFERROR(D79*E79,0)</f>
        <v>2307.99707789092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2307.99707789092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69774.5655</v>
      </c>
      <c r="F80" s="22" t="n">
        <f aca="false">IFERROR(D80*E80,0)</f>
        <v>4805.07444393178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4805.07444393178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69774.5655</v>
      </c>
      <c r="F81" s="21" t="n">
        <f aca="false">IFERROR(D81*E81,0)</f>
        <v>5171.4175022223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5171.4175022223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69774.5655</v>
      </c>
      <c r="F82" s="22" t="n">
        <f aca="false">IFERROR(D82*E82,0)</f>
        <v>1326.42686990038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1326.42686990038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69774.5655</v>
      </c>
      <c r="F83" s="21" t="n">
        <f aca="false">IFERROR(D83*E83,0)</f>
        <v>2304.05790522113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2304.05790522113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69774.5655</v>
      </c>
      <c r="F84" s="22" t="n">
        <f aca="false">IFERROR(D84*E84,0)</f>
        <v>1700.64827353048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1700.64827353048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69774.5655</v>
      </c>
      <c r="F85" s="21" t="n">
        <f aca="false">IFERROR(D85*E85,0)</f>
        <v>1717.12117742233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1717.12117742233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69774.5655</v>
      </c>
      <c r="F86" s="22" t="n">
        <f aca="false">IFERROR(D86*E86,0)</f>
        <v>50441.8222498807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50441.8222498807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174156.331168</v>
      </c>
      <c r="F87" s="21" t="n">
        <f aca="false">IFERROR(D87*E87,0)</f>
        <v>5760.72814716341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5760.72814716341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174156.331168</v>
      </c>
      <c r="F88" s="22" t="n">
        <f aca="false">IFERROR(D88*E88,0)</f>
        <v>11993.3980261658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11993.3980261658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174156.331168</v>
      </c>
      <c r="F89" s="21" t="n">
        <f aca="false">IFERROR(D89*E89,0)</f>
        <v>12907.7851316038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12907.7851316038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174156.331168</v>
      </c>
      <c r="F90" s="22" t="n">
        <f aca="false">IFERROR(D90*E90,0)</f>
        <v>3310.74275517351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3310.74275517351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174156.331168</v>
      </c>
      <c r="F91" s="21" t="n">
        <f aca="false">IFERROR(D91*E91,0)</f>
        <v>5750.8960277501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5750.8960277501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174156.331168</v>
      </c>
      <c r="F92" s="22" t="n">
        <f aca="false">IFERROR(D92*E92,0)</f>
        <v>4244.79409943817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4244.79409943817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174156.331168</v>
      </c>
      <c r="F93" s="21" t="n">
        <f aca="false">IFERROR(D93*E93,0)</f>
        <v>4285.91023516657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4285.91023516657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174156.331168</v>
      </c>
      <c r="F94" s="22" t="n">
        <f aca="false">IFERROR(D94*E94,0)</f>
        <v>125902.076745539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125902.076745539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42897.265317</v>
      </c>
      <c r="F95" s="21" t="n">
        <f aca="false">IFERROR(D95*E95,0)</f>
        <v>1418.95205354088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1418.95205354088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42897.265317</v>
      </c>
      <c r="F96" s="22" t="n">
        <f aca="false">IFERROR(D96*E96,0)</f>
        <v>2954.15029548665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2954.15029548665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42897.265317</v>
      </c>
      <c r="F97" s="21" t="n">
        <f aca="false">IFERROR(D97*E97,0)</f>
        <v>3179.37728552115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3179.37728552115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42897.265317</v>
      </c>
      <c r="F98" s="22" t="n">
        <f aca="false">IFERROR(D98*E98,0)</f>
        <v>815.484624719225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815.484624719225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42897.265317</v>
      </c>
      <c r="F99" s="21" t="n">
        <f aca="false">IFERROR(D99*E99,0)</f>
        <v>1416.53025794911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1416.53025794911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42897.265317</v>
      </c>
      <c r="F100" s="22" t="n">
        <f aca="false">IFERROR(D100*E100,0)</f>
        <v>1045.55520593726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1045.55520593726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42897.265317</v>
      </c>
      <c r="F101" s="21" t="n">
        <f aca="false">IFERROR(D101*E101,0)</f>
        <v>1055.68271477556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1055.68271477556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42897.265317</v>
      </c>
      <c r="F102" s="22" t="n">
        <f aca="false">IFERROR(D102*E102,0)</f>
        <v>31011.5328790702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31011.5328790702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51301.531258</v>
      </c>
      <c r="F103" s="21" t="n">
        <f aca="false">IFERROR(D103*E103,0)</f>
        <v>1696.94763967815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1696.94763967815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51301.531258</v>
      </c>
      <c r="F104" s="22" t="n">
        <f aca="false">IFERROR(D104*E104,0)</f>
        <v>3532.91597039588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3532.91597039588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51301.531258</v>
      </c>
      <c r="F105" s="21" t="n">
        <f aca="false">IFERROR(D105*E105,0)</f>
        <v>3802.26855928506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3802.26855928506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51301.531258</v>
      </c>
      <c r="F106" s="22" t="n">
        <f aca="false">IFERROR(D106*E106,0)</f>
        <v>975.251211383689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975.251211383689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51301.531258</v>
      </c>
      <c r="F107" s="21" t="n">
        <f aca="false">IFERROR(D107*E107,0)</f>
        <v>1694.05137528149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1694.05137528149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51301.531258</v>
      </c>
      <c r="F108" s="22" t="n">
        <f aca="false">IFERROR(D108*E108,0)</f>
        <v>1250.39632906618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1250.39632906618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51301.531258</v>
      </c>
      <c r="F109" s="21" t="n">
        <f aca="false">IFERROR(D109*E109,0)</f>
        <v>1262.50798017948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1262.50798017948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51301.531258</v>
      </c>
      <c r="F110" s="22" t="n">
        <f aca="false">IFERROR(D110*E110,0)</f>
        <v>37087.1921927301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37087.1921927301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35426.094356</v>
      </c>
      <c r="F111" s="21" t="n">
        <f aca="false">IFERROR(D111*E111,0)</f>
        <v>1171.82130291784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1171.82130291784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35426.094356</v>
      </c>
      <c r="F112" s="22" t="n">
        <f aca="false">IFERROR(D112*E112,0)</f>
        <v>2439.64286152855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2439.64286152855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35426.094356</v>
      </c>
      <c r="F113" s="21" t="n">
        <f aca="false">IFERROR(D113*E113,0)</f>
        <v>2625.64335693351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2625.64335693351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35426.094356</v>
      </c>
      <c r="F114" s="22" t="n">
        <f aca="false">IFERROR(D114*E114,0)</f>
        <v>673.456339178847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673.456339178847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35426.094356</v>
      </c>
      <c r="F115" s="21" t="n">
        <f aca="false">IFERROR(D115*E115,0)</f>
        <v>1169.8212975909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1169.8212975909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35426.094356</v>
      </c>
      <c r="F116" s="22" t="n">
        <f aca="false">IFERROR(D116*E116,0)</f>
        <v>863.456845237673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863.456845237673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35426.094356</v>
      </c>
      <c r="F117" s="21" t="n">
        <f aca="false">IFERROR(D117*E117,0)</f>
        <v>871.820503877584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871.820503877584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35426.094356</v>
      </c>
      <c r="F118" s="22" t="n">
        <f aca="false">IFERROR(D118*E118,0)</f>
        <v>25610.4318487351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25610.4318487351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28893.5277887408</v>
      </c>
      <c r="F127" s="21" t="n">
        <f aca="false">IFERROR(D127*E127,0)</f>
        <v>955.73762772301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955.73762772301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28893.5277887408</v>
      </c>
      <c r="F128" s="22" t="n">
        <f aca="false">IFERROR(D128*E128,0)</f>
        <v>1989.77307816716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1989.77307816716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28893.5277887408</v>
      </c>
      <c r="F129" s="21" t="n">
        <f aca="false">IFERROR(D129*E129,0)</f>
        <v>2141.47510968937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2141.47510968937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28893.5277887408</v>
      </c>
      <c r="F130" s="22" t="n">
        <f aca="false">IFERROR(D130*E130,0)</f>
        <v>549.271089695272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549.271089695272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28893.5277887408</v>
      </c>
      <c r="F131" s="21" t="n">
        <f aca="false">IFERROR(D131*E131,0)</f>
        <v>954.106423082986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954.106423082986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28893.5277887408</v>
      </c>
      <c r="F132" s="22" t="n">
        <f aca="false">IFERROR(D132*E132,0)</f>
        <v>704.235530497529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704.235530497529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28893.5277887408</v>
      </c>
      <c r="F133" s="21" t="n">
        <f aca="false">IFERROR(D133*E133,0)</f>
        <v>711.056931719447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711.056931719447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28893.5277887408</v>
      </c>
      <c r="F134" s="22" t="n">
        <f aca="false">IFERROR(D134*E134,0)</f>
        <v>20887.871998166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20887.871998166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44372.1304</v>
      </c>
      <c r="F183" s="21" t="n">
        <f aca="false">IFERROR(D183*E183,0)</f>
        <v>1467.73751393686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1467.73751393686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44372.1304</v>
      </c>
      <c r="F184" s="22" t="n">
        <f aca="false">IFERROR(D184*E184,0)</f>
        <v>3055.71791497359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3055.71791497359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44372.1304</v>
      </c>
      <c r="F185" s="21" t="n">
        <f aca="false">IFERROR(D185*E185,0)</f>
        <v>3288.68850872959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3288.68850872959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44372.1304</v>
      </c>
      <c r="F186" s="22" t="n">
        <f aca="false">IFERROR(D186*E186,0)</f>
        <v>843.522071624847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843.522071624847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44372.1304</v>
      </c>
      <c r="F187" s="21" t="n">
        <f aca="false">IFERROR(D187*E187,0)</f>
        <v>1465.23245378895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1465.23245378895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44372.1304</v>
      </c>
      <c r="F188" s="22" t="n">
        <f aca="false">IFERROR(D188*E188,0)</f>
        <v>1081.50278567667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1081.50278567667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44372.1304</v>
      </c>
      <c r="F189" s="21" t="n">
        <f aca="false">IFERROR(D189*E189,0)</f>
        <v>1091.97849174977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1091.97849174977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44372.1304</v>
      </c>
      <c r="F190" s="22" t="n">
        <f aca="false">IFERROR(D190*E190,0)</f>
        <v>32077.7506595197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32077.7506595197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76917.6512</v>
      </c>
      <c r="F191" s="21" t="n">
        <f aca="false">IFERROR(D191*E191,0)</f>
        <v>2544.27545246173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2544.27545246173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76917.6512</v>
      </c>
      <c r="F192" s="22" t="n">
        <f aca="false">IFERROR(D192*E192,0)</f>
        <v>5296.98805603281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5296.98805603281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76917.6512</v>
      </c>
      <c r="F193" s="21" t="n">
        <f aca="false">IFERROR(D193*E193,0)</f>
        <v>5700.83503630718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5700.83503630718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76917.6512</v>
      </c>
      <c r="F194" s="22" t="n">
        <f aca="false">IFERROR(D194*E194,0)</f>
        <v>1462.21819641866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1462.21819641866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76917.6512</v>
      </c>
      <c r="F195" s="21" t="n">
        <f aca="false">IFERROR(D195*E195,0)</f>
        <v>2539.93301181361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2539.93301181361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76917.6512</v>
      </c>
      <c r="F196" s="22" t="n">
        <f aca="false">IFERROR(D196*E196,0)</f>
        <v>1874.75005798925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1874.75005798925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76917.6512</v>
      </c>
      <c r="F197" s="21" t="n">
        <f aca="false">IFERROR(D197*E197,0)</f>
        <v>1892.90935524499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1892.90935524499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76917.6512</v>
      </c>
      <c r="F198" s="22" t="n">
        <f aca="false">IFERROR(D198*E198,0)</f>
        <v>55605.7420337318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55605.7420337318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155645.056341445</v>
      </c>
      <c r="F199" s="21" t="n">
        <f aca="false">IFERROR(D199*E199,0)</f>
        <v>5148.41379018293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5148.41379018293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155645.056341445</v>
      </c>
      <c r="F200" s="22" t="n">
        <f aca="false">IFERROR(D200*E200,0)</f>
        <v>10718.6060879247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10718.6060879247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155645.056341445</v>
      </c>
      <c r="F201" s="21" t="n">
        <f aca="false">IFERROR(D201*E201,0)</f>
        <v>11535.8019463199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11535.8019463199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155645.056341445</v>
      </c>
      <c r="F202" s="22" t="n">
        <f aca="false">IFERROR(D202*E202,0)</f>
        <v>2958.84013635959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2958.84013635959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155645.056341445</v>
      </c>
      <c r="F203" s="21" t="n">
        <f aca="false">IFERROR(D203*E203,0)</f>
        <v>5139.62673794212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5139.62673794212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155645.056341445</v>
      </c>
      <c r="F204" s="22" t="n">
        <f aca="false">IFERROR(D204*E204,0)</f>
        <v>3793.61009923642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3793.61009923642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155645.056341445</v>
      </c>
      <c r="F205" s="21" t="n">
        <f aca="false">IFERROR(D205*E205,0)</f>
        <v>3830.35595406162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3830.35595406162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155645.056341445</v>
      </c>
      <c r="F206" s="22" t="n">
        <f aca="false">IFERROR(D206*E206,0)</f>
        <v>112519.801589418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112519.801589418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35348.389276</v>
      </c>
      <c r="F207" s="21" t="n">
        <f aca="false">IFERROR(D207*E207,0)</f>
        <v>1169.25098096324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1169.25098096324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35348.389276</v>
      </c>
      <c r="F208" s="22" t="n">
        <f aca="false">IFERROR(D208*E208,0)</f>
        <v>2434.29164663533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2434.29164663533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35348.389276</v>
      </c>
      <c r="F209" s="21" t="n">
        <f aca="false">IFERROR(D209*E209,0)</f>
        <v>2619.88416075874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2619.88416075874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35348.389276</v>
      </c>
      <c r="F210" s="22" t="n">
        <f aca="false">IFERROR(D210*E210,0)</f>
        <v>671.979151821231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671.979151821231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35348.389276</v>
      </c>
      <c r="F211" s="21" t="n">
        <f aca="false">IFERROR(D211*E211,0)</f>
        <v>1167.2553625318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1167.2553625318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35348.389276</v>
      </c>
      <c r="F212" s="22" t="n">
        <f aca="false">IFERROR(D212*E212,0)</f>
        <v>861.562902807512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861.562902807512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35348.389276</v>
      </c>
      <c r="F213" s="21" t="n">
        <f aca="false">IFERROR(D213*E213,0)</f>
        <v>869.908216248056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869.908216248056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35348.389276</v>
      </c>
      <c r="F214" s="22" t="n">
        <f aca="false">IFERROR(D214*E214,0)</f>
        <v>25554.2568542341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25554.2568542341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127589.987204</v>
      </c>
      <c r="F215" s="21" t="n">
        <f aca="false">IFERROR(D215*E215,0)</f>
        <v>4220.41062563079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4220.41062563079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127589.987204</v>
      </c>
      <c r="F216" s="22" t="n">
        <f aca="false">IFERROR(D216*E216,0)</f>
        <v>8786.57405348548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8786.57405348548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127589.987204</v>
      </c>
      <c r="F217" s="21" t="n">
        <f aca="false">IFERROR(D217*E217,0)</f>
        <v>9456.4701077943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9456.4701077943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127589.987204</v>
      </c>
      <c r="F218" s="22" t="n">
        <f aca="false">IFERROR(D218*E218,0)</f>
        <v>2425.5082943889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2425.5082943889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127589.987204</v>
      </c>
      <c r="F219" s="21" t="n">
        <f aca="false">IFERROR(D219*E219,0)</f>
        <v>4213.20744225113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4213.20744225113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127589.987204</v>
      </c>
      <c r="F220" s="22" t="n">
        <f aca="false">IFERROR(D220*E220,0)</f>
        <v>3109.81071545704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3109.81071545704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127589.987204</v>
      </c>
      <c r="F221" s="21" t="n">
        <f aca="false">IFERROR(D221*E221,0)</f>
        <v>3139.93311868109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3139.93311868109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127589.987204</v>
      </c>
      <c r="F222" s="22" t="n">
        <f aca="false">IFERROR(D222*E222,0)</f>
        <v>92238.0728463113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92238.0728463113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143907.30844</v>
      </c>
      <c r="F223" s="21" t="n">
        <f aca="false">IFERROR(D223*E223,0)</f>
        <v>4760.15357439477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4760.15357439477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143907.30844</v>
      </c>
      <c r="F224" s="22" t="n">
        <f aca="false">IFERROR(D224*E224,0)</f>
        <v>9910.2778372737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9910.2778372737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143907.30844</v>
      </c>
      <c r="F225" s="21" t="n">
        <f aca="false">IFERROR(D225*E225,0)</f>
        <v>10665.8460462118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10665.8460462118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143907.30844</v>
      </c>
      <c r="F226" s="22" t="n">
        <f aca="false">IFERROR(D226*E226,0)</f>
        <v>2735.70346618436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2735.70346618436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143907.30844</v>
      </c>
      <c r="F227" s="21" t="n">
        <f aca="false">IFERROR(D227*E227,0)</f>
        <v>4752.02918505135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4752.02918505135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143907.30844</v>
      </c>
      <c r="F228" s="22" t="n">
        <f aca="false">IFERROR(D228*E228,0)</f>
        <v>3507.52045380927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3507.52045380927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143907.30844</v>
      </c>
      <c r="F229" s="21" t="n">
        <f aca="false">IFERROR(D229*E229,0)</f>
        <v>3541.49517288176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3541.49517288176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143907.30844</v>
      </c>
      <c r="F230" s="22" t="n">
        <f aca="false">IFERROR(D230*E230,0)</f>
        <v>104034.282704193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104034.282704193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22848.187644</v>
      </c>
      <c r="F247" s="21" t="n">
        <f aca="false">IFERROR(D247*E247,0)</f>
        <v>759.436436410256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759.436436410256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22848.187644</v>
      </c>
      <c r="F248" s="22" t="n">
        <f aca="false">IFERROR(D248*E248,0)</f>
        <v>759.436436410256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759.436436410256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22848.187644</v>
      </c>
      <c r="F249" s="21" t="n">
        <f aca="false">IFERROR(D249*E249,0)</f>
        <v>911.323723692308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911.323723692308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22848.187644</v>
      </c>
      <c r="F250" s="22" t="n">
        <f aca="false">IFERROR(D250*E250,0)</f>
        <v>238.680022871795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238.680022871795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22848.187644</v>
      </c>
      <c r="F251" s="21" t="n">
        <f aca="false">IFERROR(D251*E251,0)</f>
        <v>911.323723692308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911.323723692308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22848.187644</v>
      </c>
      <c r="F252" s="22" t="n">
        <f aca="false">IFERROR(D252*E252,0)</f>
        <v>390.567310153846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390.567310153846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22848.187644</v>
      </c>
      <c r="F253" s="21" t="n">
        <f aca="false">IFERROR(D253*E253,0)</f>
        <v>433.963677948718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433.963677948718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22848.187644</v>
      </c>
      <c r="F254" s="22" t="n">
        <f aca="false">IFERROR(D254*E254,0)</f>
        <v>18443.4563128205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18443.4563128205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38460.6359</v>
      </c>
      <c r="F255" s="21" t="n">
        <f aca="false">IFERROR(D255*E255,0)</f>
        <v>1278.36871462488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1278.36871462488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38460.6359</v>
      </c>
      <c r="F256" s="22" t="n">
        <f aca="false">IFERROR(D256*E256,0)</f>
        <v>1278.36871462488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1278.36871462488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38460.6359</v>
      </c>
      <c r="F257" s="21" t="n">
        <f aca="false">IFERROR(D257*E257,0)</f>
        <v>1534.04245754986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1534.04245754986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38460.6359</v>
      </c>
      <c r="F258" s="22" t="n">
        <f aca="false">IFERROR(D258*E258,0)</f>
        <v>401.773024596391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401.773024596391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38460.6359</v>
      </c>
      <c r="F259" s="21" t="n">
        <f aca="false">IFERROR(D259*E259,0)</f>
        <v>1534.04245754986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1534.04245754986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38460.6359</v>
      </c>
      <c r="F260" s="22" t="n">
        <f aca="false">IFERROR(D260*E260,0)</f>
        <v>657.446767521368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657.446767521368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38460.6359</v>
      </c>
      <c r="F261" s="21" t="n">
        <f aca="false">IFERROR(D261*E261,0)</f>
        <v>730.496408357075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730.496408357075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38460.6359</v>
      </c>
      <c r="F262" s="22" t="n">
        <f aca="false">IFERROR(D262*E262,0)</f>
        <v>31046.0973551757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31046.0973551757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20719.749555</v>
      </c>
      <c r="F263" s="21" t="n">
        <f aca="false">IFERROR(D263*E263,0)</f>
        <v>680.092340367016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680.092340367016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20719.749555</v>
      </c>
      <c r="F264" s="22" t="n">
        <f aca="false">IFERROR(D264*E264,0)</f>
        <v>1451.36903592337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1451.36903592337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20719.749555</v>
      </c>
      <c r="F265" s="21" t="n">
        <f aca="false">IFERROR(D265*E265,0)</f>
        <v>1551.97505251588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1551.97505251588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20719.749555</v>
      </c>
      <c r="F266" s="22" t="n">
        <f aca="false">IFERROR(D266*E266,0)</f>
        <v>395.276599098664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395.276599098664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20719.749555</v>
      </c>
      <c r="F267" s="21" t="n">
        <f aca="false">IFERROR(D267*E267,0)</f>
        <v>692.654555571247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692.654555571247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20719.749555</v>
      </c>
      <c r="F268" s="22" t="n">
        <f aca="false">IFERROR(D268*E268,0)</f>
        <v>512.235154448405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512.235154448405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20719.749555</v>
      </c>
      <c r="F269" s="21" t="n">
        <f aca="false">IFERROR(D269*E269,0)</f>
        <v>517.866492298578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517.866492298578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20719.749555</v>
      </c>
      <c r="F270" s="22" t="n">
        <f aca="false">IFERROR(D270*E270,0)</f>
        <v>14918.2803247768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14918.2803247768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155633.762523</v>
      </c>
      <c r="F287" s="21" t="n">
        <f aca="false">IFERROR(D287*E287,0)</f>
        <v>5108.42708370716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5108.42708370716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155633.762523</v>
      </c>
      <c r="F288" s="22" t="n">
        <f aca="false">IFERROR(D288*E288,0)</f>
        <v>10901.7738496566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10901.7738496566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155633.762523</v>
      </c>
      <c r="F289" s="21" t="n">
        <f aca="false">IFERROR(D289*E289,0)</f>
        <v>11657.4631427719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11657.4631427719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155633.762523</v>
      </c>
      <c r="F290" s="22" t="n">
        <f aca="false">IFERROR(D290*E290,0)</f>
        <v>2969.069881454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2969.069881454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155633.762523</v>
      </c>
      <c r="F291" s="21" t="n">
        <f aca="false">IFERROR(D291*E291,0)</f>
        <v>5202.78656487118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5202.78656487118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155633.762523</v>
      </c>
      <c r="F292" s="22" t="n">
        <f aca="false">IFERROR(D292*E292,0)</f>
        <v>3847.58918884313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3847.58918884313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155633.762523</v>
      </c>
      <c r="F293" s="21" t="n">
        <f aca="false">IFERROR(D293*E293,0)</f>
        <v>3889.88826660631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3889.88826660631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155633.762523</v>
      </c>
      <c r="F294" s="22" t="n">
        <f aca="false">IFERROR(D294*E294,0)</f>
        <v>112056.76454509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112056.76454509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44044.726336</v>
      </c>
      <c r="F295" s="21" t="n">
        <f aca="false">IFERROR(D295*E295,0)</f>
        <v>1445.69705995536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1445.69705995536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44044.726336</v>
      </c>
      <c r="F296" s="22" t="n">
        <f aca="false">IFERROR(D296*E296,0)</f>
        <v>3085.22802508309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3085.22802508309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44044.726336</v>
      </c>
      <c r="F297" s="21" t="n">
        <f aca="false">IFERROR(D297*E297,0)</f>
        <v>3299.08989907967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3299.08989907967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44044.726336</v>
      </c>
      <c r="F298" s="22" t="n">
        <f aca="false">IFERROR(D298*E298,0)</f>
        <v>840.253864464503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840.253864464503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44044.726336</v>
      </c>
      <c r="F299" s="21" t="n">
        <f aca="false">IFERROR(D299*E299,0)</f>
        <v>1472.40101838766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1472.40101838766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44044.726336</v>
      </c>
      <c r="F300" s="22" t="n">
        <f aca="false">IFERROR(D300*E300,0)</f>
        <v>1088.87692573071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1088.87692573071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44044.726336</v>
      </c>
      <c r="F301" s="21" t="n">
        <f aca="false">IFERROR(D301*E301,0)</f>
        <v>1100.8476657176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1100.8476657176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44044.726336</v>
      </c>
      <c r="F302" s="22" t="n">
        <f aca="false">IFERROR(D302*E302,0)</f>
        <v>31712.3318775814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31712.3318775814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38509.38693</v>
      </c>
      <c r="F303" s="21" t="n">
        <f aca="false">IFERROR(D303*E303,0)</f>
        <v>1264.00847721649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1264.00847721649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38509.38693</v>
      </c>
      <c r="F304" s="22" t="n">
        <f aca="false">IFERROR(D304*E304,0)</f>
        <v>2697.49070249291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2697.49070249291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38509.38693</v>
      </c>
      <c r="F305" s="21" t="n">
        <f aca="false">IFERROR(D305*E305,0)</f>
        <v>2884.47539601745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2884.47539601745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38509.38693</v>
      </c>
      <c r="F306" s="22" t="n">
        <f aca="false">IFERROR(D306*E306,0)</f>
        <v>734.65460857328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734.65460857328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38509.38693</v>
      </c>
      <c r="F307" s="21" t="n">
        <f aca="false">IFERROR(D307*E307,0)</f>
        <v>1287.35640450266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1287.35640450266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38509.38693</v>
      </c>
      <c r="F308" s="22" t="n">
        <f aca="false">IFERROR(D308*E308,0)</f>
        <v>952.031862616881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952.031862616881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38509.38693</v>
      </c>
      <c r="F309" s="21" t="n">
        <f aca="false">IFERROR(D309*E309,0)</f>
        <v>962.49817484861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962.49817484861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38509.38693</v>
      </c>
      <c r="F310" s="22" t="n">
        <f aca="false">IFERROR(D310*E310,0)</f>
        <v>27726.8713037317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27726.8713037317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64475.1109945556</v>
      </c>
      <c r="F399" s="21" t="n">
        <f aca="false">IFERROR(D399*E399,0)</f>
        <v>2116.29146459104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2116.29146459104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64475.1109945556</v>
      </c>
      <c r="F400" s="22" t="n">
        <f aca="false">IFERROR(D400*E400,0)</f>
        <v>4516.3277401989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4516.3277401989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64475.1109945556</v>
      </c>
      <c r="F401" s="21" t="n">
        <f aca="false">IFERROR(D401*E401,0)</f>
        <v>4829.39060176021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4829.39060176021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64475.1109945556</v>
      </c>
      <c r="F402" s="22" t="n">
        <f aca="false">IFERROR(D402*E402,0)</f>
        <v>1230.01016652186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1230.01016652186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64475.1109945556</v>
      </c>
      <c r="F403" s="21" t="n">
        <f aca="false">IFERROR(D403*E403,0)</f>
        <v>2155.38219865036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2155.38219865036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64475.1109945556</v>
      </c>
      <c r="F404" s="22" t="n">
        <f aca="false">IFERROR(D404*E404,0)</f>
        <v>1593.95838017764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1593.95838017764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64475.1109945556</v>
      </c>
      <c r="F405" s="21" t="n">
        <f aca="false">IFERROR(D405*E405,0)</f>
        <v>1611.481812687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1611.481812687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64475.1109945556</v>
      </c>
      <c r="F406" s="22" t="n">
        <f aca="false">IFERROR(D406*E406,0)</f>
        <v>46422.2686299686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46422.2686299686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36283.212227</v>
      </c>
      <c r="F407" s="21" t="n">
        <f aca="false">IFERROR(D407*E407,0)</f>
        <v>1190.93788532492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1190.93788532492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36283.212227</v>
      </c>
      <c r="F408" s="22" t="n">
        <f aca="false">IFERROR(D408*E408,0)</f>
        <v>2541.55247438288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2541.55247438288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36283.212227</v>
      </c>
      <c r="F409" s="21" t="n">
        <f aca="false">IFERROR(D409*E409,0)</f>
        <v>2717.72783990308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2717.72783990308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36283.212227</v>
      </c>
      <c r="F410" s="22" t="n">
        <f aca="false">IFERROR(D410*E410,0)</f>
        <v>692.185235897443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692.185235897443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36283.212227</v>
      </c>
      <c r="F411" s="21" t="n">
        <f aca="false">IFERROR(D411*E411,0)</f>
        <v>1212.93610104111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1212.93610104111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36283.212227</v>
      </c>
      <c r="F412" s="22" t="n">
        <f aca="false">IFERROR(D412*E412,0)</f>
        <v>896.996209806823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896.996209806823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36283.212227</v>
      </c>
      <c r="F413" s="21" t="n">
        <f aca="false">IFERROR(D413*E413,0)</f>
        <v>906.857478920978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906.857478920978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36283.212227</v>
      </c>
      <c r="F414" s="22" t="n">
        <f aca="false">IFERROR(D414*E414,0)</f>
        <v>26124.0190017228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26124.0190017228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118143.375593</v>
      </c>
      <c r="F415" s="21" t="n">
        <f aca="false">IFERROR(D415*E415,0)</f>
        <v>3877.86563696729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3877.86563696729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118143.375593</v>
      </c>
      <c r="F416" s="22" t="n">
        <f aca="false">IFERROR(D416*E416,0)</f>
        <v>8275.66166666172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8275.66166666172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118143.375593</v>
      </c>
      <c r="F417" s="21" t="n">
        <f aca="false">IFERROR(D417*E417,0)</f>
        <v>8849.31408334047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8849.31408334047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118143.375593</v>
      </c>
      <c r="F418" s="22" t="n">
        <f aca="false">IFERROR(D418*E418,0)</f>
        <v>2253.85502785519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2253.85502785519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118143.375593</v>
      </c>
      <c r="F419" s="21" t="n">
        <f aca="false">IFERROR(D419*E419,0)</f>
        <v>3949.49500223611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3949.49500223611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118143.375593</v>
      </c>
      <c r="F420" s="22" t="n">
        <f aca="false">IFERROR(D420*E420,0)</f>
        <v>2920.74911828906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2920.74911828906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118143.375593</v>
      </c>
      <c r="F421" s="21" t="n">
        <f aca="false">IFERROR(D421*E421,0)</f>
        <v>2952.85883375439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2952.85883375439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118143.375593</v>
      </c>
      <c r="F422" s="22" t="n">
        <f aca="false">IFERROR(D422*E422,0)</f>
        <v>85063.5762238958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85063.5762238958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76065.2762</v>
      </c>
      <c r="F439" s="21" t="n">
        <f aca="false">IFERROR(D439*E439,0)</f>
        <v>2487.04924589982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2487.04924589982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76065.2762</v>
      </c>
      <c r="F440" s="22" t="n">
        <f aca="false">IFERROR(D440*E440,0)</f>
        <v>5107.73775000372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5107.73775000372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76065.2762</v>
      </c>
      <c r="F441" s="21" t="n">
        <f aca="false">IFERROR(D441*E441,0)</f>
        <v>5545.27419141202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5545.27419141202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76065.2762</v>
      </c>
      <c r="F442" s="22" t="n">
        <f aca="false">IFERROR(D442*E442,0)</f>
        <v>1421.33278852653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1421.33278852653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76065.2762</v>
      </c>
      <c r="F443" s="21" t="n">
        <f aca="false">IFERROR(D443*E443,0)</f>
        <v>2479.49900532331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2479.49900532331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76065.2762</v>
      </c>
      <c r="F444" s="22" t="n">
        <f aca="false">IFERROR(D444*E444,0)</f>
        <v>1813.94529850465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1813.94529850465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76065.2762</v>
      </c>
      <c r="F445" s="21" t="n">
        <f aca="false">IFERROR(D445*E445,0)</f>
        <v>1814.32281053347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1814.32281053347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76065.2762</v>
      </c>
      <c r="F446" s="22" t="n">
        <f aca="false">IFERROR(D446*E446,0)</f>
        <v>55396.1151097965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55396.1151097965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31850.405852</v>
      </c>
      <c r="F447" s="21" t="n">
        <f aca="false">IFERROR(D447*E447,0)</f>
        <v>993.49889813578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993.49889813578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31850.405852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31850.405852</v>
      </c>
      <c r="F449" s="21" t="n">
        <f aca="false">IFERROR(D449*E449,0)</f>
        <v>1373.36612389358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1373.36612389358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31850.405852</v>
      </c>
      <c r="F450" s="22" t="n">
        <f aca="false">IFERROR(D450*E450,0)</f>
        <v>321.426114102752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321.426114102752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31850.405852</v>
      </c>
      <c r="F451" s="21" t="n">
        <f aca="false">IFERROR(D451*E451,0)</f>
        <v>1461.02779137615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1461.02779137615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31850.405852</v>
      </c>
      <c r="F452" s="22" t="n">
        <f aca="false">IFERROR(D452*E452,0)</f>
        <v>525.970004895413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525.970004895413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31850.405852</v>
      </c>
      <c r="F453" s="21" t="n">
        <f aca="false">IFERROR(D453*E453,0)</f>
        <v>701.293339860551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701.293339860551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31850.405852</v>
      </c>
      <c r="F454" s="22" t="n">
        <f aca="false">IFERROR(D454*E454,0)</f>
        <v>26473.8235797358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26473.8235797358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45618.7608</v>
      </c>
      <c r="F455" s="21" t="n">
        <f aca="false">IFERROR(D455*E455,0)</f>
        <v>1422.97052036697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1422.97052036697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45618.7608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45618.7608</v>
      </c>
      <c r="F457" s="21" t="n">
        <f aca="false">IFERROR(D457*E457,0)</f>
        <v>1967.0474840367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1967.0474840367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45618.7608</v>
      </c>
      <c r="F458" s="22" t="n">
        <f aca="false">IFERROR(D458*E458,0)</f>
        <v>460.372815412844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460.372815412844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45618.7608</v>
      </c>
      <c r="F459" s="21" t="n">
        <f aca="false">IFERROR(D459*E459,0)</f>
        <v>2092.60370642202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2092.60370642202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45618.7608</v>
      </c>
      <c r="F460" s="22" t="n">
        <f aca="false">IFERROR(D460*E460,0)</f>
        <v>753.337334311927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753.337334311927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45618.7608</v>
      </c>
      <c r="F461" s="21" t="n">
        <f aca="false">IFERROR(D461*E461,0)</f>
        <v>1004.44977908257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1004.44977908257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45618.7608</v>
      </c>
      <c r="F462" s="22" t="n">
        <f aca="false">IFERROR(D462*E462,0)</f>
        <v>37917.979160367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37917.979160367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28191.295652</v>
      </c>
      <c r="F463" s="21" t="n">
        <f aca="false">IFERROR(D463*E463,0)</f>
        <v>921.74963524612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921.74963524612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28191.295652</v>
      </c>
      <c r="F464" s="22" t="n">
        <f aca="false">IFERROR(D464*E464,0)</f>
        <v>1893.02862247723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1893.02862247723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28191.295652</v>
      </c>
      <c r="F465" s="21" t="n">
        <f aca="false">IFERROR(D465*E465,0)</f>
        <v>2055.18828052979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2055.18828052979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28191.295652</v>
      </c>
      <c r="F466" s="22" t="n">
        <f aca="false">IFERROR(D466*E466,0)</f>
        <v>526.774040179363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526.774040179363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28191.295652</v>
      </c>
      <c r="F467" s="21" t="n">
        <f aca="false">IFERROR(D467*E467,0)</f>
        <v>918.951366772392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918.951366772392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28191.295652</v>
      </c>
      <c r="F468" s="22" t="n">
        <f aca="false">IFERROR(D468*E468,0)</f>
        <v>672.284000813237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672.284000813237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28191.295652</v>
      </c>
      <c r="F469" s="21" t="n">
        <f aca="false">IFERROR(D469*E469,0)</f>
        <v>672.423914236924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672.423914236924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28191.295652</v>
      </c>
      <c r="F470" s="22" t="n">
        <f aca="false">IFERROR(D470*E470,0)</f>
        <v>20530.8957917449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20530.8957917449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74930.4181</v>
      </c>
      <c r="F479" s="21" t="n">
        <f aca="false">IFERROR(D479*E479,0)</f>
        <v>2449.9436423602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2449.9436423602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74930.4181</v>
      </c>
      <c r="F480" s="22" t="n">
        <f aca="false">IFERROR(D480*E480,0)</f>
        <v>5031.53270812592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5031.53270812592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74930.4181</v>
      </c>
      <c r="F481" s="21" t="n">
        <f aca="false">IFERROR(D481*E481,0)</f>
        <v>5462.54131187448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5462.54131187448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74930.4181</v>
      </c>
      <c r="F482" s="22" t="n">
        <f aca="false">IFERROR(D482*E482,0)</f>
        <v>1400.12717266032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1400.12717266032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74930.4181</v>
      </c>
      <c r="F483" s="21" t="n">
        <f aca="false">IFERROR(D483*E483,0)</f>
        <v>2442.50604781752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2442.50604781752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74930.4181</v>
      </c>
      <c r="F484" s="22" t="n">
        <f aca="false">IFERROR(D484*E484,0)</f>
        <v>1786.8820888799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1786.8820888799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74930.4181</v>
      </c>
      <c r="F485" s="21" t="n">
        <f aca="false">IFERROR(D485*E485,0)</f>
        <v>1787.25396860703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1787.25396860703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74930.4181</v>
      </c>
      <c r="F486" s="22" t="n">
        <f aca="false">IFERROR(D486*E486,0)</f>
        <v>54569.6311596746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54569.6311596746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164627.861689</v>
      </c>
      <c r="F487" s="21" t="n">
        <f aca="false">IFERROR(D487*E487,0)</f>
        <v>5382.71363389497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5382.71363389497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164627.861689</v>
      </c>
      <c r="F488" s="22" t="n">
        <f aca="false">IFERROR(D488*E488,0)</f>
        <v>11054.6623355493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11054.6623355493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164627.861689</v>
      </c>
      <c r="F489" s="21" t="n">
        <f aca="false">IFERROR(D489*E489,0)</f>
        <v>12001.6212155864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12001.6212155864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164627.861689</v>
      </c>
      <c r="F490" s="22" t="n">
        <f aca="false">IFERROR(D490*E490,0)</f>
        <v>3076.18652574599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3076.18652574599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164627.861689</v>
      </c>
      <c r="F491" s="21" t="n">
        <f aca="false">IFERROR(D491*E491,0)</f>
        <v>5366.37266961478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5366.37266961478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164627.861689</v>
      </c>
      <c r="F492" s="22" t="n">
        <f aca="false">IFERROR(D492*E492,0)</f>
        <v>3925.91666831593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3925.91666831593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164627.861689</v>
      </c>
      <c r="F493" s="21" t="n">
        <f aca="false">IFERROR(D493*E493,0)</f>
        <v>3926.73371652994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3926.73371652994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164627.861689</v>
      </c>
      <c r="F494" s="22" t="n">
        <f aca="false">IFERROR(D494*E494,0)</f>
        <v>119893.654923763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119893.654923763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43768.753499</v>
      </c>
      <c r="F495" s="21" t="n">
        <f aca="false">IFERROR(D495*E495,0)</f>
        <v>1431.07408296853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1431.07408296853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43768.753499</v>
      </c>
      <c r="F496" s="22" t="n">
        <f aca="false">IFERROR(D496*E496,0)</f>
        <v>2939.04558933883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2939.04558933883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43768.753499</v>
      </c>
      <c r="F497" s="21" t="n">
        <f aca="false">IFERROR(D497*E497,0)</f>
        <v>3190.80862245366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3190.80862245366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43768.753499</v>
      </c>
      <c r="F498" s="22" t="n">
        <f aca="false">IFERROR(D498*E498,0)</f>
        <v>817.849714993399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817.849714993399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43768.753499</v>
      </c>
      <c r="F499" s="21" t="n">
        <f aca="false">IFERROR(D499*E499,0)</f>
        <v>1426.72959577069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1426.72959577069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43768.753499</v>
      </c>
      <c r="F500" s="22" t="n">
        <f aca="false">IFERROR(D500*E500,0)</f>
        <v>1043.76304928108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1043.76304928108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43768.753499</v>
      </c>
      <c r="F501" s="21" t="n">
        <f aca="false">IFERROR(D501*E501,0)</f>
        <v>1043.98027364098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1043.98027364098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43768.753499</v>
      </c>
      <c r="F502" s="22" t="n">
        <f aca="false">IFERROR(D502*E502,0)</f>
        <v>31875.5025705528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31875.5025705528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53088.743276</v>
      </c>
      <c r="F503" s="21" t="n">
        <f aca="false">IFERROR(D503*E503,0)</f>
        <v>1735.80279368452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1735.80279368452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53088.743276</v>
      </c>
      <c r="F504" s="22" t="n">
        <f aca="false">IFERROR(D504*E504,0)</f>
        <v>3564.87732218452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3564.87732218452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53088.743276</v>
      </c>
      <c r="F505" s="21" t="n">
        <f aca="false">IFERROR(D505*E505,0)</f>
        <v>3870.25003588827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3870.25003588827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53088.743276</v>
      </c>
      <c r="F506" s="22" t="n">
        <f aca="false">IFERROR(D506*E506,0)</f>
        <v>992.000230452675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992.000230452675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53088.743276</v>
      </c>
      <c r="F507" s="21" t="n">
        <f aca="false">IFERROR(D507*E507,0)</f>
        <v>1730.53320414692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1730.53320414692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53088.743276</v>
      </c>
      <c r="F508" s="22" t="n">
        <f aca="false">IFERROR(D508*E508,0)</f>
        <v>1266.01888640773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1266.01888640773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53088.743276</v>
      </c>
      <c r="F509" s="21" t="n">
        <f aca="false">IFERROR(D509*E509,0)</f>
        <v>1266.28236588461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1266.28236588461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53088.743276</v>
      </c>
      <c r="F510" s="22" t="n">
        <f aca="false">IFERROR(D510*E510,0)</f>
        <v>38662.9784373508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38662.9784373508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34286.73816</v>
      </c>
      <c r="F511" s="21" t="n">
        <f aca="false">IFERROR(D511*E511,0)</f>
        <v>1121.04774405844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1121.04774405844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34286.73816</v>
      </c>
      <c r="F512" s="22" t="n">
        <f aca="false">IFERROR(D512*E512,0)</f>
        <v>2302.33393702349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2302.33393702349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34286.73816</v>
      </c>
      <c r="F513" s="21" t="n">
        <f aca="false">IFERROR(D513*E513,0)</f>
        <v>2499.55529940414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2499.55529940414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34286.73816</v>
      </c>
      <c r="F514" s="22" t="n">
        <f aca="false">IFERROR(D514*E514,0)</f>
        <v>640.671638794785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640.671638794785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34286.73816</v>
      </c>
      <c r="F515" s="21" t="n">
        <f aca="false">IFERROR(D515*E515,0)</f>
        <v>1117.64444186033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1117.64444186033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34286.73816</v>
      </c>
      <c r="F516" s="22" t="n">
        <f aca="false">IFERROR(D516*E516,0)</f>
        <v>817.643353096664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817.643353096664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34286.73816</v>
      </c>
      <c r="F517" s="21" t="n">
        <f aca="false">IFERROR(D517*E517,0)</f>
        <v>817.81351820657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817.81351820657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34286.73816</v>
      </c>
      <c r="F518" s="22" t="n">
        <f aca="false">IFERROR(D518*E518,0)</f>
        <v>24970.0282275556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24970.0282275556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20171.717592</v>
      </c>
      <c r="F519" s="21" t="n">
        <f aca="false">IFERROR(D519*E519,0)</f>
        <v>659.539510430223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659.539510430223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20171.717592</v>
      </c>
      <c r="F520" s="22" t="n">
        <f aca="false">IFERROR(D520*E520,0)</f>
        <v>1354.5187577597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1354.5187577597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20171.717592</v>
      </c>
      <c r="F521" s="21" t="n">
        <f aca="false">IFERROR(D521*E521,0)</f>
        <v>1470.54885681687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1470.54885681687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20171.717592</v>
      </c>
      <c r="F522" s="22" t="n">
        <f aca="false">IFERROR(D522*E522,0)</f>
        <v>376.922625496325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376.922625496325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20171.717592</v>
      </c>
      <c r="F523" s="21" t="n">
        <f aca="false">IFERROR(D523*E523,0)</f>
        <v>657.537265407666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657.537265407666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20171.717592</v>
      </c>
      <c r="F524" s="22" t="n">
        <f aca="false">IFERROR(D524*E524,0)</f>
        <v>481.039366669281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481.039366669281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20171.717592</v>
      </c>
      <c r="F525" s="21" t="n">
        <f aca="false">IFERROR(D525*E525,0)</f>
        <v>481.139478920408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481.139478920408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20171.717592</v>
      </c>
      <c r="F526" s="22" t="n">
        <f aca="false">IFERROR(D526*E526,0)</f>
        <v>14690.4717304995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14690.4717304995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27994.5286617778</v>
      </c>
      <c r="F527" s="21" t="n">
        <f aca="false">IFERROR(D527*E527,0)</f>
        <v>915.316092648268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915.316092648268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27994.5286617778</v>
      </c>
      <c r="F528" s="22" t="n">
        <f aca="false">IFERROR(D528*E528,0)</f>
        <v>1879.81583690514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1879.81583690514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27994.5286617778</v>
      </c>
      <c r="F529" s="21" t="n">
        <f aca="false">IFERROR(D529*E529,0)</f>
        <v>2040.84366801919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2040.84366801919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27994.5286617778</v>
      </c>
      <c r="F530" s="22" t="n">
        <f aca="false">IFERROR(D530*E530,0)</f>
        <v>523.097311599989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523.097311599989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27994.5286617778</v>
      </c>
      <c r="F531" s="21" t="n">
        <f aca="false">IFERROR(D531*E531,0)</f>
        <v>912.537355269251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912.537355269251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27994.5286617778</v>
      </c>
      <c r="F532" s="22" t="n">
        <f aca="false">IFERROR(D532*E532,0)</f>
        <v>667.591655308884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667.591655308884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27994.5286617778</v>
      </c>
      <c r="F533" s="21" t="n">
        <f aca="false">IFERROR(D533*E533,0)</f>
        <v>667.730592177835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667.730592177835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27994.5286617778</v>
      </c>
      <c r="F534" s="22" t="n">
        <f aca="false">IFERROR(D534*E534,0)</f>
        <v>20387.5961498492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20387.5961498492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627085.5364</v>
      </c>
      <c r="F591" s="21" t="n">
        <f aca="false">IFERROR(D591*E591,0)</f>
        <v>20503.3451310639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20503.3451310639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627085.5364</v>
      </c>
      <c r="F592" s="22" t="n">
        <f aca="false">IFERROR(D592*E592,0)</f>
        <v>42108.4182791887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42108.4182791887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627085.5364</v>
      </c>
      <c r="F593" s="21" t="n">
        <f aca="false">IFERROR(D593*E593,0)</f>
        <v>45715.4882559499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45715.4882559499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627085.5364</v>
      </c>
      <c r="F594" s="22" t="n">
        <f aca="false">IFERROR(D594*E594,0)</f>
        <v>11717.5310289095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11717.5310289095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627085.5364</v>
      </c>
      <c r="F595" s="21" t="n">
        <f aca="false">IFERROR(D595*E595,0)</f>
        <v>20441.100610326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20441.100610326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627085.5364</v>
      </c>
      <c r="F596" s="22" t="n">
        <f aca="false">IFERROR(D596*E596,0)</f>
        <v>14954.2461072802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14954.2461072802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627085.5364</v>
      </c>
      <c r="F597" s="21" t="n">
        <f aca="false">IFERROR(D597*E597,0)</f>
        <v>14957.3583333171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14957.3583333171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627085.5364</v>
      </c>
      <c r="F598" s="22" t="n">
        <f aca="false">IFERROR(D598*E598,0)</f>
        <v>456688.048653965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456688.048653965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141513.863285667</v>
      </c>
      <c r="F599" s="21" t="n">
        <f aca="false">IFERROR(D599*E599,0)</f>
        <v>4626.97257607523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4626.97257607523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141513.863285667</v>
      </c>
      <c r="F600" s="22" t="n">
        <f aca="false">IFERROR(D600*E600,0)</f>
        <v>9502.57118310532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9502.57118310532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141513.863285667</v>
      </c>
      <c r="F601" s="21" t="n">
        <f aca="false">IFERROR(D601*E601,0)</f>
        <v>10316.5756177852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10316.5756177852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141513.863285667</v>
      </c>
      <c r="F602" s="22" t="n">
        <f aca="false">IFERROR(D602*E602,0)</f>
        <v>2644.28532922332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2644.28532922332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141513.863285667</v>
      </c>
      <c r="F603" s="21" t="n">
        <f aca="false">IFERROR(D603*E603,0)</f>
        <v>4612.9259076597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4612.9259076597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141513.863285667</v>
      </c>
      <c r="F604" s="22" t="n">
        <f aca="false">IFERROR(D604*E604,0)</f>
        <v>3374.71208683083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3374.71208683083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141513.863285667</v>
      </c>
      <c r="F605" s="21" t="n">
        <f aca="false">IFERROR(D605*E605,0)</f>
        <v>3375.4144202516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3375.4144202516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141513.863285667</v>
      </c>
      <c r="F606" s="22" t="n">
        <f aca="false">IFERROR(D606*E606,0)</f>
        <v>103060.406164736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103060.406164736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29288.272184</v>
      </c>
      <c r="F607" s="21" t="n">
        <f aca="false">IFERROR(D607*E607,0)</f>
        <v>957.616653588458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957.616653588458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29288.272184</v>
      </c>
      <c r="F608" s="22" t="n">
        <f aca="false">IFERROR(D608*E608,0)</f>
        <v>1966.68993974679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1966.68993974679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29288.272184</v>
      </c>
      <c r="F609" s="21" t="n">
        <f aca="false">IFERROR(D609*E609,0)</f>
        <v>2135.15953621142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2135.15953621142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29288.272184</v>
      </c>
      <c r="F610" s="22" t="n">
        <f aca="false">IFERROR(D610*E610,0)</f>
        <v>547.271812501601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547.271812501601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29288.272184</v>
      </c>
      <c r="F611" s="21" t="n">
        <f aca="false">IFERROR(D611*E611,0)</f>
        <v>954.70949920598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954.70949920598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29288.272184</v>
      </c>
      <c r="F612" s="22" t="n">
        <f aca="false">IFERROR(D612*E612,0)</f>
        <v>698.443840390489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698.443840390489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29288.272184</v>
      </c>
      <c r="F613" s="21" t="n">
        <f aca="false">IFERROR(D613*E613,0)</f>
        <v>698.589198109613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698.589198109613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29288.272184</v>
      </c>
      <c r="F614" s="22" t="n">
        <f aca="false">IFERROR(D614*E614,0)</f>
        <v>21329.7917042457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21329.7917042457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215015.438959</v>
      </c>
      <c r="F615" s="21" t="n">
        <f aca="false">IFERROR(D615*E615,0)</f>
        <v>7030.19843001371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7030.19843001371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215015.438959</v>
      </c>
      <c r="F616" s="22" t="n">
        <f aca="false">IFERROR(D616*E616,0)</f>
        <v>14438.1579778515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14438.1579778515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215015.438959</v>
      </c>
      <c r="F617" s="21" t="n">
        <f aca="false">IFERROR(D617*E617,0)</f>
        <v>15674.9521460946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15674.9521460946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215015.438959</v>
      </c>
      <c r="F618" s="22" t="n">
        <f aca="false">IFERROR(D618*E618,0)</f>
        <v>4017.71358363716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4017.71358363716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215015.438959</v>
      </c>
      <c r="F619" s="21" t="n">
        <f aca="false">IFERROR(D619*E619,0)</f>
        <v>7008.85599397845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7008.85599397845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215015.438959</v>
      </c>
      <c r="F620" s="22" t="n">
        <f aca="false">IFERROR(D620*E620,0)</f>
        <v>5127.52025747053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5127.52025747053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215015.438959</v>
      </c>
      <c r="F621" s="21" t="n">
        <f aca="false">IFERROR(D621*E621,0)</f>
        <v>5128.5873792723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5128.5873792723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215015.438959</v>
      </c>
      <c r="F622" s="22" t="n">
        <f aca="false">IFERROR(D622*E622,0)</f>
        <v>156589.453190682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156589.453190682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125810.553912</v>
      </c>
      <c r="F623" s="21" t="n">
        <f aca="false">IFERROR(D623*E623,0)</f>
        <v>4113.53325544196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4113.53325544196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125810.553912</v>
      </c>
      <c r="F624" s="22" t="n">
        <f aca="false">IFERROR(D624*E624,0)</f>
        <v>8448.10336158618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8448.10336158618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125810.553912</v>
      </c>
      <c r="F625" s="21" t="n">
        <f aca="false">IFERROR(D625*E625,0)</f>
        <v>9171.78050837689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9171.78050837689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125810.553912</v>
      </c>
      <c r="F626" s="22" t="n">
        <f aca="false">IFERROR(D626*E626,0)</f>
        <v>2350.85803077398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2350.85803077398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125810.553912</v>
      </c>
      <c r="F627" s="21" t="n">
        <f aca="false">IFERROR(D627*E627,0)</f>
        <v>4101.04529777517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4101.04529777517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125810.553912</v>
      </c>
      <c r="F628" s="22" t="n">
        <f aca="false">IFERROR(D628*E628,0)</f>
        <v>3000.23182944727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3000.23182944727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125810.553912</v>
      </c>
      <c r="F629" s="21" t="n">
        <f aca="false">IFERROR(D629*E629,0)</f>
        <v>3000.85622733061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3000.85622733061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125810.553912</v>
      </c>
      <c r="F630" s="22" t="n">
        <f aca="false">IFERROR(D630*E630,0)</f>
        <v>91624.145401268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91624.145401268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29497.635592</v>
      </c>
      <c r="F716" s="1" t="n">
        <f aca="false">IFERROR(D716*E716,0)</f>
        <v>975.720253693692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975.720253693692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29497.635592</v>
      </c>
      <c r="F717" s="1" t="n">
        <f aca="false">IFERROR(D717*E717,0)</f>
        <v>2031.37538620046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2031.37538620046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29497.635592</v>
      </c>
      <c r="F718" s="1" t="n">
        <f aca="false">IFERROR(D718*E718,0)</f>
        <v>2186.24921390079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2186.24921390079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29497.635592</v>
      </c>
      <c r="F719" s="1" t="n">
        <f aca="false">IFERROR(D719*E719,0)</f>
        <v>560.755286218997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560.755286218997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29497.635592</v>
      </c>
      <c r="F720" s="1" t="n">
        <f aca="false">IFERROR(D720*E720,0)</f>
        <v>974.05494371842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974.05494371842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29497.635592</v>
      </c>
      <c r="F721" s="1" t="n">
        <f aca="false">IFERROR(D721*E721,0)</f>
        <v>718.959733869875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718.959733869875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29497.635592</v>
      </c>
      <c r="F722" s="1" t="n">
        <f aca="false">IFERROR(D722*E722,0)</f>
        <v>725.923757402832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725.923757402832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29497.635592</v>
      </c>
      <c r="F723" s="1" t="n">
        <f aca="false">IFERROR(D723*E723,0)</f>
        <v>21324.5970169949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21324.5970169949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29387.792976</v>
      </c>
      <c r="F724" s="1" t="n">
        <f aca="false">IFERROR(D724*E724,0)</f>
        <v>960.870610230174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960.870610230174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29387.792976</v>
      </c>
      <c r="F725" s="1" t="n">
        <f aca="false">IFERROR(D725*E725,0)</f>
        <v>1973.37270133793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1973.37270133793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29387.792976</v>
      </c>
      <c r="F726" s="1" t="n">
        <f aca="false">IFERROR(D726*E726,0)</f>
        <v>2142.41475313768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2142.41475313768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29387.792976</v>
      </c>
      <c r="F727" s="1" t="n">
        <f aca="false">IFERROR(D727*E727,0)</f>
        <v>549.131427977627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549.131427977627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29387.792976</v>
      </c>
      <c r="F728" s="1" t="n">
        <f aca="false">IFERROR(D728*E728,0)</f>
        <v>957.953577412232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957.953577412232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29387.792976</v>
      </c>
      <c r="F729" s="1" t="n">
        <f aca="false">IFERROR(D729*E729,0)</f>
        <v>700.817134510623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700.817134510623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29387.792976</v>
      </c>
      <c r="F730" s="1" t="n">
        <f aca="false">IFERROR(D730*E730,0)</f>
        <v>700.962986151521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700.962986151521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29387.792976</v>
      </c>
      <c r="F731" s="1" t="n">
        <f aca="false">IFERROR(D731*E731,0)</f>
        <v>21402.2697852422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21402.2697852422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13630.672728</v>
      </c>
      <c r="F740" s="1" t="n">
        <f aca="false">IFERROR(D740*E740,0)</f>
        <v>450.874220433682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450.874220433682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13630.672728</v>
      </c>
      <c r="F741" s="1" t="n">
        <f aca="false">IFERROR(D741*E741,0)</f>
        <v>938.685847909876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938.685847909876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13630.672728</v>
      </c>
      <c r="F742" s="1" t="n">
        <f aca="false">IFERROR(D742*E742,0)</f>
        <v>1010.25207405474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1010.25207405474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13630.672728</v>
      </c>
      <c r="F743" s="1" t="n">
        <f aca="false">IFERROR(D743*E743,0)</f>
        <v>259.12150698004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259.12150698004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13630.672728</v>
      </c>
      <c r="F744" s="1" t="n">
        <f aca="false">IFERROR(D744*E744,0)</f>
        <v>450.104691120297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450.104691120297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13630.672728</v>
      </c>
      <c r="F745" s="1" t="n">
        <f aca="false">IFERROR(D745*E745,0)</f>
        <v>332.226791751677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332.226791751677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13630.672728</v>
      </c>
      <c r="F746" s="1" t="n">
        <f aca="false">IFERROR(D746*E746,0)</f>
        <v>335.444823425835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335.444823425835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13630.672728</v>
      </c>
      <c r="F747" s="1" t="n">
        <f aca="false">IFERROR(D747*E747,0)</f>
        <v>9853.96277232385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9853.96277232385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14544.011176</v>
      </c>
      <c r="F748" s="1" t="n">
        <f aca="false">IFERROR(D748*E748,0)</f>
        <v>475.534617563504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475.534617563504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14544.011176</v>
      </c>
      <c r="F749" s="1" t="n">
        <f aca="false">IFERROR(D749*E749,0)</f>
        <v>976.621641717397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976.621641717397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14544.011176</v>
      </c>
      <c r="F750" s="1" t="n">
        <f aca="false">IFERROR(D750*E750,0)</f>
        <v>1060.28050962209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1060.28050962209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14544.011176</v>
      </c>
      <c r="F751" s="1" t="n">
        <f aca="false">IFERROR(D751*E751,0)</f>
        <v>271.765002296083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271.765002296083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14544.011176</v>
      </c>
      <c r="F752" s="1" t="n">
        <f aca="false">IFERROR(D752*E752,0)</f>
        <v>474.090978773087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474.090978773087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14544.011176</v>
      </c>
      <c r="F753" s="1" t="n">
        <f aca="false">IFERROR(D753*E753,0)</f>
        <v>346.834219397789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346.834219397789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14544.011176</v>
      </c>
      <c r="F754" s="1" t="n">
        <f aca="false">IFERROR(D754*E754,0)</f>
        <v>346.90640133731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346.90640133731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14544.011176</v>
      </c>
      <c r="F755" s="1" t="n">
        <f aca="false">IFERROR(D755*E755,0)</f>
        <v>10591.9778052927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10591.9778052927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57773.427</v>
      </c>
      <c r="F836" s="1" t="n">
        <f aca="false">IFERROR(D836*E836,0)</f>
        <v>1911.02445053197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1911.02445053197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57773.427</v>
      </c>
      <c r="F837" s="1" t="n">
        <f aca="false">IFERROR(D837*E837,0)</f>
        <v>3978.60761477703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3978.60761477703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57773.427</v>
      </c>
      <c r="F838" s="1" t="n">
        <f aca="false">IFERROR(D838*E838,0)</f>
        <v>4281.94012259614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4281.94012259614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57773.427</v>
      </c>
      <c r="F839" s="1" t="n">
        <f aca="false">IFERROR(D839*E839,0)</f>
        <v>1098.28309771457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1098.28309771457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57773.427</v>
      </c>
      <c r="F840" s="1" t="n">
        <f aca="false">IFERROR(D840*E840,0)</f>
        <v>1907.76281066294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1907.76281066294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57773.427</v>
      </c>
      <c r="F841" s="1" t="n">
        <f aca="false">IFERROR(D841*E841,0)</f>
        <v>1408.13888527173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1408.13888527173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57773.427</v>
      </c>
      <c r="F842" s="1" t="n">
        <f aca="false">IFERROR(D842*E842,0)</f>
        <v>1421.77847017855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1421.77847017855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57773.427</v>
      </c>
      <c r="F843" s="1" t="n">
        <f aca="false">IFERROR(D843*E843,0)</f>
        <v>41765.8915482671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41765.8915482671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61316.767</v>
      </c>
      <c r="F844" s="1" t="n">
        <f aca="false">IFERROR(D844*E844,0)</f>
        <v>2004.82830992948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2004.82830992948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61316.767</v>
      </c>
      <c r="F845" s="1" t="n">
        <f aca="false">IFERROR(D845*E845,0)</f>
        <v>4117.38418842529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4117.38418842529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61316.767</v>
      </c>
      <c r="F846" s="1" t="n">
        <f aca="false">IFERROR(D846*E846,0)</f>
        <v>4470.08546517214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4470.08546517214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61316.767</v>
      </c>
      <c r="F847" s="1" t="n">
        <f aca="false">IFERROR(D847*E847,0)</f>
        <v>1145.74659788775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1145.74659788775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61316.767</v>
      </c>
      <c r="F848" s="1" t="n">
        <f aca="false">IFERROR(D848*E848,0)</f>
        <v>1998.74200662064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1998.74200662064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61316.767</v>
      </c>
      <c r="F849" s="1" t="n">
        <f aca="false">IFERROR(D849*E849,0)</f>
        <v>1462.23436994704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1462.23436994704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61316.767</v>
      </c>
      <c r="F850" s="1" t="n">
        <f aca="false">IFERROR(D850*E850,0)</f>
        <v>1462.53868511249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1462.53868511249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61316.767</v>
      </c>
      <c r="F851" s="1" t="n">
        <f aca="false">IFERROR(D851*E851,0)</f>
        <v>44655.2073769052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44655.2073769052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27187.957777</v>
      </c>
      <c r="F852" s="1" t="n">
        <f aca="false">IFERROR(D852*E852,0)</f>
        <v>892.400836471382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892.400836471382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27187.957777</v>
      </c>
      <c r="F853" s="1" t="n">
        <f aca="false">IFERROR(D853*E853,0)</f>
        <v>1904.45159401106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1904.45159401106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27187.957777</v>
      </c>
      <c r="F854" s="1" t="n">
        <f aca="false">IFERROR(D854*E854,0)</f>
        <v>2036.46439290945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2036.46439290945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27187.957777</v>
      </c>
      <c r="F855" s="1" t="n">
        <f aca="false">IFERROR(D855*E855,0)</f>
        <v>518.672460687984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518.672460687984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27187.957777</v>
      </c>
      <c r="F856" s="1" t="n">
        <f aca="false">IFERROR(D856*E856,0)</f>
        <v>908.884673578178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908.884673578178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27187.957777</v>
      </c>
      <c r="F857" s="1" t="n">
        <f aca="false">IFERROR(D857*E857,0)</f>
        <v>672.142668234018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672.142668234018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27187.957777</v>
      </c>
      <c r="F858" s="1" t="n">
        <f aca="false">IFERROR(D858*E858,0)</f>
        <v>679.531974523272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679.531974523272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27187.957777</v>
      </c>
      <c r="F859" s="1" t="n">
        <f aca="false">IFERROR(D859*E859,0)</f>
        <v>19575.4091765847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19575.4091765847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35565.620912</v>
      </c>
      <c r="F860" s="1" t="n">
        <f aca="false">IFERROR(D860*E860,0)</f>
        <v>1176.43655033971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1176.43655033971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35565.620912</v>
      </c>
      <c r="F861" s="1" t="n">
        <f aca="false">IFERROR(D861*E861,0)</f>
        <v>2449.25145577319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2449.25145577319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35565.620912</v>
      </c>
      <c r="F862" s="1" t="n">
        <f aca="false">IFERROR(D862*E862,0)</f>
        <v>2635.98451876738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2635.98451876738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35565.620912</v>
      </c>
      <c r="F863" s="1" t="n">
        <f aca="false">IFERROR(D863*E863,0)</f>
        <v>676.108763763892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676.108763763892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35565.620912</v>
      </c>
      <c r="F864" s="1" t="n">
        <f aca="false">IFERROR(D864*E864,0)</f>
        <v>1174.42866794192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1174.42866794192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35565.620912</v>
      </c>
      <c r="F865" s="1" t="n">
        <f aca="false">IFERROR(D865*E865,0)</f>
        <v>866.857591553651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866.857591553651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35565.620912</v>
      </c>
      <c r="F866" s="1" t="n">
        <f aca="false">IFERROR(D866*E866,0)</f>
        <v>875.254190671669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875.254190671669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35565.620912</v>
      </c>
      <c r="F867" s="1" t="n">
        <f aca="false">IFERROR(D867*E867,0)</f>
        <v>25711.2991731886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25711.2991731886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30712.822744</v>
      </c>
      <c r="F868" s="1" t="n">
        <f aca="false">IFERROR(D868*E868,0)</f>
        <v>1004.19411406699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1004.19411406699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30712.822744</v>
      </c>
      <c r="F869" s="1" t="n">
        <f aca="false">IFERROR(D869*E869,0)</f>
        <v>2062.34765684979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2062.34765684979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30712.822744</v>
      </c>
      <c r="F870" s="1" t="n">
        <f aca="false">IFERROR(D870*E870,0)</f>
        <v>2239.01143617639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2239.01143617639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30712.822744</v>
      </c>
      <c r="F871" s="1" t="n">
        <f aca="false">IFERROR(D871*E871,0)</f>
        <v>573.890534223166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573.890534223166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30712.822744</v>
      </c>
      <c r="F872" s="1" t="n">
        <f aca="false">IFERROR(D872*E872,0)</f>
        <v>1001.14555877231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1001.14555877231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30712.822744</v>
      </c>
      <c r="F873" s="1" t="n">
        <f aca="false">IFERROR(D873*E873,0)</f>
        <v>732.415409546431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732.415409546431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30712.822744</v>
      </c>
      <c r="F874" s="1" t="n">
        <f aca="false">IFERROR(D874*E874,0)</f>
        <v>732.567837311165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732.567837311165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30712.822744</v>
      </c>
      <c r="F875" s="1" t="n">
        <f aca="false">IFERROR(D875*E875,0)</f>
        <v>22367.2501970538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22367.2501970538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32697.692921</v>
      </c>
      <c r="F884" s="1" t="n">
        <f aca="false">IFERROR(D884*E884,0)</f>
        <v>1081.57147485845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1081.57147485845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32697.692921</v>
      </c>
      <c r="F885" s="1" t="n">
        <f aca="false">IFERROR(D885*E885,0)</f>
        <v>2251.7495810164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2251.7495810164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32697.692921</v>
      </c>
      <c r="F886" s="1" t="n">
        <f aca="false">IFERROR(D886*E886,0)</f>
        <v>2423.42492915917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2423.42492915917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32697.692921</v>
      </c>
      <c r="F887" s="1" t="n">
        <f aca="false">IFERROR(D887*E887,0)</f>
        <v>621.588943813142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621.588943813142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32697.692921</v>
      </c>
      <c r="F888" s="1" t="n">
        <f aca="false">IFERROR(D888*E888,0)</f>
        <v>1079.72550337304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1079.72550337304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32697.692921</v>
      </c>
      <c r="F889" s="1" t="n">
        <f aca="false">IFERROR(D889*E889,0)</f>
        <v>796.956234926731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796.956234926731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32697.692921</v>
      </c>
      <c r="F890" s="1" t="n">
        <f aca="false">IFERROR(D890*E890,0)</f>
        <v>804.67575204752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804.67575204752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32697.692921</v>
      </c>
      <c r="F891" s="1" t="n">
        <f aca="false">IFERROR(D891*E891,0)</f>
        <v>23638.0005018055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23638.0005018055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34645.023744</v>
      </c>
      <c r="F892" s="1" t="n">
        <f aca="false">IFERROR(D892*E892,0)</f>
        <v>1132.76233889093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1132.76233889093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34645.023744</v>
      </c>
      <c r="F893" s="1" t="n">
        <f aca="false">IFERROR(D893*E893,0)</f>
        <v>2326.39259945268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2326.39259945268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34645.023744</v>
      </c>
      <c r="F894" s="1" t="n">
        <f aca="false">IFERROR(D894*E894,0)</f>
        <v>2525.67486277608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2525.67486277608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34645.023744</v>
      </c>
      <c r="F895" s="1" t="n">
        <f aca="false">IFERROR(D895*E895,0)</f>
        <v>647.36645505834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647.36645505834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34645.023744</v>
      </c>
      <c r="F896" s="1" t="n">
        <f aca="false">IFERROR(D896*E896,0)</f>
        <v>1129.32347325981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1129.32347325981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34645.023744</v>
      </c>
      <c r="F897" s="1" t="n">
        <f aca="false">IFERROR(D897*E897,0)</f>
        <v>826.18746787658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826.18746787658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34645.023744</v>
      </c>
      <c r="F898" s="1" t="n">
        <f aca="false">IFERROR(D898*E898,0)</f>
        <v>826.359411158136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826.359411158136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34645.023744</v>
      </c>
      <c r="F899" s="1" t="n">
        <f aca="false">IFERROR(D899*E899,0)</f>
        <v>25230.9571355274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25230.9571355274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71344.0911</v>
      </c>
      <c r="E5" s="21" t="n">
        <f aca="false">IFERROR(D5/IF(B5="Clientes",SUMIFS(PARÂMETROS!$B$8:$B$33,PARÂMETROS!$G$8:$G$33,F5),SUMIFS(PARÂMETROS!$C$8:$C$33,PARÂMETROS!$G$8:$G$33,F5)),0)</f>
        <v>0.36616194115262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29039.374356</v>
      </c>
      <c r="E6" s="21" t="n">
        <f aca="false">IFERROR(D6/IF(B6="Clientes",SUMIFS(PARÂMETROS!$B$8:$B$33,PARÂMETROS!$G$8:$G$33,F6),SUMIFS(PARÂMETROS!$C$8:$C$33,PARÂMETROS!$G$8:$G$33,F6)),0)</f>
        <v>27.6829116835081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43116.2952</v>
      </c>
      <c r="E7" s="21" t="n">
        <f aca="false">IFERROR(D7/IF(B7="Clientes",SUMIFS(PARÂMETROS!$B$8:$B$33,PARÂMETROS!$G$8:$G$33,F7),SUMIFS(PARÂMETROS!$C$8:$C$33,PARÂMETROS!$G$8:$G$33,F7)),0)</f>
        <v>41.1022833174452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24292.39292</v>
      </c>
      <c r="E8" s="21" t="n">
        <f aca="false">IFERROR(D8/IF(B8="Clientes",SUMIFS(PARÂMETROS!$B$8:$B$33,PARÂMETROS!$G$8:$G$33,F8),SUMIFS(PARÂMETROS!$C$8:$C$33,PARÂMETROS!$G$8:$G$33,F8)),0)</f>
        <v>0.124676754720467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69774.5655</v>
      </c>
      <c r="E10" s="21" t="n">
        <f aca="false">IFERROR(D10/IF(B10="Clientes",SUMIFS(PARÂMETROS!$B$8:$B$33,PARÂMETROS!$G$8:$G$33,F10),SUMIFS(PARÂMETROS!$C$8:$C$33,PARÂMETROS!$G$8:$G$33,F10)),0)</f>
        <v>0.358106606344595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174156.331168</v>
      </c>
      <c r="E11" s="21" t="n">
        <f aca="false">IFERROR(D11/IF(B11="Clientes",SUMIFS(PARÂMETROS!$B$8:$B$33,PARÂMETROS!$G$8:$G$33,F11),SUMIFS(PARÂMETROS!$C$8:$C$33,PARÂMETROS!$G$8:$G$33,F11)),0)</f>
        <v>0.893829037573842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42897.265317</v>
      </c>
      <c r="E12" s="21" t="n">
        <f aca="false">IFERROR(D12/IF(B12="Clientes",SUMIFS(PARÂMETROS!$B$8:$B$33,PARÂMETROS!$G$8:$G$33,F12),SUMIFS(PARÂMETROS!$C$8:$C$33,PARÂMETROS!$G$8:$G$33,F12)),0)</f>
        <v>0.220163235615342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51301.531258</v>
      </c>
      <c r="E13" s="21" t="n">
        <f aca="false">IFERROR(D13/IF(B13="Clientes",SUMIFS(PARÂMETROS!$B$8:$B$33,PARÂMETROS!$G$8:$G$33,F13),SUMIFS(PARÂMETROS!$C$8:$C$33,PARÂMETROS!$G$8:$G$33,F13)),0)</f>
        <v>0.263296763332529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35426.094356</v>
      </c>
      <c r="E14" s="21" t="n">
        <f aca="false">IFERROR(D14/IF(B14="Clientes",SUMIFS(PARÂMETROS!$B$8:$B$33,PARÂMETROS!$G$8:$G$33,F14),SUMIFS(PARÂMETROS!$C$8:$C$33,PARÂMETROS!$G$8:$G$33,F14)),0)</f>
        <v>0.181818666085002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28893.5277887408</v>
      </c>
      <c r="E16" s="21" t="n">
        <f aca="false">IFERROR(D16/IF(B16="Clientes",SUMIFS(PARÂMETROS!$B$8:$B$33,PARÂMETROS!$G$8:$G$33,F16),SUMIFS(PARÂMETROS!$C$8:$C$33,PARÂMETROS!$G$8:$G$33,F16)),0)</f>
        <v>0.148291330911251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44372.1304</v>
      </c>
      <c r="E23" s="21" t="n">
        <f aca="false">IFERROR(D23/IF(B23="Clientes",SUMIFS(PARÂMETROS!$B$8:$B$33,PARÂMETROS!$G$8:$G$33,F23),SUMIFS(PARÂMETROS!$C$8:$C$33,PARÂMETROS!$G$8:$G$33,F23)),0)</f>
        <v>0.227732740719451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76917.6512</v>
      </c>
      <c r="E24" s="21" t="n">
        <f aca="false">IFERROR(D24/IF(B24="Clientes",SUMIFS(PARÂMETROS!$B$8:$B$33,PARÂMETROS!$G$8:$G$33,F24),SUMIFS(PARÂMETROS!$C$8:$C$33,PARÂMETROS!$G$8:$G$33,F24)),0)</f>
        <v>0.394767331646505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155645.056341445</v>
      </c>
      <c r="E25" s="21" t="n">
        <f aca="false">IFERROR(D25/IF(B25="Clientes",SUMIFS(PARÂMETROS!$B$8:$B$33,PARÂMETROS!$G$8:$G$33,F25),SUMIFS(PARÂMETROS!$C$8:$C$33,PARÂMETROS!$G$8:$G$33,F25)),0)</f>
        <v>0.798822930982612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35348.389276</v>
      </c>
      <c r="E26" s="21" t="n">
        <f aca="false">IFERROR(D26/IF(B26="Clientes",SUMIFS(PARÂMETROS!$B$8:$B$33,PARÂMETROS!$G$8:$G$33,F26),SUMIFS(PARÂMETROS!$C$8:$C$33,PARÂMETROS!$G$8:$G$33,F26)),0)</f>
        <v>0.18141985740314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127589.987204</v>
      </c>
      <c r="E27" s="21" t="n">
        <f aca="false">IFERROR(D27/IF(B27="Clientes",SUMIFS(PARÂMETROS!$B$8:$B$33,PARÂMETROS!$G$8:$G$33,F27),SUMIFS(PARÂMETROS!$C$8:$C$33,PARÂMETROS!$G$8:$G$33,F27)),0)</f>
        <v>0.654834852696787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143907.30844</v>
      </c>
      <c r="E28" s="21" t="n">
        <f aca="false">IFERROR(D28/IF(B28="Clientes",SUMIFS(PARÂMETROS!$B$8:$B$33,PARÂMETROS!$G$8:$G$33,F28),SUMIFS(PARÂMETROS!$C$8:$C$33,PARÂMETROS!$G$8:$G$33,F28)),0)</f>
        <v>0.738580849401826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35565.620912</v>
      </c>
      <c r="E30" s="21" t="n">
        <f aca="false">IFERROR(D30/IF(B30="Clientes",SUMIFS(PARÂMETROS!$B$8:$B$33,PARÂMETROS!$G$8:$G$33,F30),SUMIFS(PARÂMETROS!$C$8:$C$33,PARÂMETROS!$G$8:$G$33,F30)),0)</f>
        <v>0.182534763435176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57773.427</v>
      </c>
      <c r="E32" s="21" t="n">
        <f aca="false">IFERROR(D32/IF(B32="Clientes",SUMIFS(PARÂMETROS!$B$8:$B$33,PARÂMETROS!$G$8:$G$33,F32),SUMIFS(PARÂMETROS!$C$8:$C$33,PARÂMETROS!$G$8:$G$33,F32)),0)</f>
        <v>0.296512715365705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32697.692921</v>
      </c>
      <c r="E33" s="21" t="n">
        <f aca="false">IFERROR(D33/IF(B33="Clientes",SUMIFS(PARÂMETROS!$B$8:$B$33,PARÂMETROS!$G$8:$G$33,F33),SUMIFS(PARÂMETROS!$C$8:$C$33,PARÂMETROS!$G$8:$G$33,F33)),0)</f>
        <v>0.167815589582382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13630.672728</v>
      </c>
      <c r="E35" s="21" t="n">
        <f aca="false">IFERROR(D35/IF(B35="Clientes",SUMIFS(PARÂMETROS!$B$8:$B$33,PARÂMETROS!$G$8:$G$33,F35),SUMIFS(PARÂMETROS!$C$8:$C$33,PARÂMETROS!$G$8:$G$33,F35)),0)</f>
        <v>0.0699572103077863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29497.635592</v>
      </c>
      <c r="E38" s="21" t="n">
        <f aca="false">IFERROR(D38/IF(B38="Clientes",SUMIFS(PARÂMETROS!$B$8:$B$33,PARÂMETROS!$G$8:$G$33,F38),SUMIFS(PARÂMETROS!$C$8:$C$33,PARÂMETROS!$G$8:$G$33,F38)),0)</f>
        <v>0.151391815933854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2451856.94824219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22848.187644</v>
      </c>
      <c r="E43" s="21" t="n">
        <f aca="false">IFERROR(D43/IF(B43="Clientes",SUMIFS(PARÂMETROS!$B$8:$B$33,PARÂMETROS!$G$8:$G$33,F43),SUMIFS(PARÂMETROS!$C$8:$C$33,PARÂMETROS!$G$8:$G$33,F43)),0)</f>
        <v>21.6981838974359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38460.6359</v>
      </c>
      <c r="E44" s="21" t="n">
        <f aca="false">IFERROR(D44/IF(B44="Clientes",SUMIFS(PARÂMETROS!$B$8:$B$33,PARÂMETROS!$G$8:$G$33,F44),SUMIFS(PARÂMETROS!$C$8:$C$33,PARÂMETROS!$G$8:$G$33,F44)),0)</f>
        <v>36.5248204178538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20719.749555</v>
      </c>
      <c r="E45" s="21" t="n">
        <f aca="false">IFERROR(D45/IF(B45="Clientes",SUMIFS(PARÂMETROS!$B$8:$B$33,PARÂMETROS!$G$8:$G$33,F45),SUMIFS(PARÂMETROS!$C$8:$C$33,PARÂMETROS!$G$8:$G$33,F45)),0)</f>
        <v>0.108294958657168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155633.762523</v>
      </c>
      <c r="E48" s="21" t="n">
        <f aca="false">IFERROR(D48/IF(B48="Clientes",SUMIFS(PARÂMETROS!$B$8:$B$33,PARÂMETROS!$G$8:$G$33,F48),SUMIFS(PARÂMETROS!$C$8:$C$33,PARÂMETROS!$G$8:$G$33,F48)),0)</f>
        <v>0.813443803138083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44044.726336</v>
      </c>
      <c r="E49" s="21" t="n">
        <f aca="false">IFERROR(D49/IF(B49="Clientes",SUMIFS(PARÂMETROS!$B$8:$B$33,PARÂMETROS!$G$8:$G$33,F49),SUMIFS(PARÂMETROS!$C$8:$C$33,PARÂMETROS!$G$8:$G$33,F49)),0)</f>
        <v>0.230206538209453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38509.38693</v>
      </c>
      <c r="E50" s="21" t="n">
        <f aca="false">IFERROR(D50/IF(B50="Clientes",SUMIFS(PARÂMETROS!$B$8:$B$33,PARÂMETROS!$G$8:$G$33,F50),SUMIFS(PARÂMETROS!$C$8:$C$33,PARÂMETROS!$G$8:$G$33,F50)),0)</f>
        <v>0.201275235225556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64475.1109945556</v>
      </c>
      <c r="E62" s="21" t="n">
        <f aca="false">IFERROR(D62/IF(B62="Clientes",SUMIFS(PARÂMETROS!$B$8:$B$33,PARÂMETROS!$G$8:$G$33,F62),SUMIFS(PARÂMETROS!$C$8:$C$33,PARÂMETROS!$G$8:$G$33,F62)),0)</f>
        <v>0.336989086718318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36283.212227</v>
      </c>
      <c r="E63" s="21" t="n">
        <f aca="false">IFERROR(D63/IF(B63="Clientes",SUMIFS(PARÂMETROS!$B$8:$B$33,PARÂMETROS!$G$8:$G$33,F63),SUMIFS(PARÂMETROS!$C$8:$C$33,PARÂMETROS!$G$8:$G$33,F63)),0)</f>
        <v>0.189639790656834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118143.375593</v>
      </c>
      <c r="E64" s="21" t="n">
        <f aca="false">IFERROR(D64/IF(B64="Clientes",SUMIFS(PARÂMETROS!$B$8:$B$33,PARÂMETROS!$G$8:$G$33,F64),SUMIFS(PARÂMETROS!$C$8:$C$33,PARÂMETROS!$G$8:$G$33,F64)),0)</f>
        <v>0.617494528179504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27187.957777</v>
      </c>
      <c r="E67" s="21" t="n">
        <f aca="false">IFERROR(D67/IF(B67="Clientes",SUMIFS(PARÂMETROS!$B$8:$B$33,PARÂMETROS!$G$8:$G$33,F67),SUMIFS(PARÂMETROS!$C$8:$C$33,PARÂMETROS!$G$8:$G$33,F67)),0)</f>
        <v>0.142102044024105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2091413.42167633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76065.2762</v>
      </c>
      <c r="E78" s="21" t="n">
        <f aca="false">IFERROR(D78/IF(B78="Clientes",SUMIFS(PARÂMETROS!$B$8:$B$33,PARÂMETROS!$G$8:$G$33,F78),SUMIFS(PARÂMETROS!$C$8:$C$33,PARÂMETROS!$G$8:$G$33,F78)),0)</f>
        <v>0.377512028825109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31850.405852</v>
      </c>
      <c r="E79" s="21" t="n">
        <f aca="false">IFERROR(D79/IF(B79="Clientes",SUMIFS(PARÂMETROS!$B$8:$B$33,PARÂMETROS!$G$8:$G$33,F79),SUMIFS(PARÂMETROS!$C$8:$C$33,PARÂMETROS!$G$8:$G$33,F79)),0)</f>
        <v>29.2205558275229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45618.7608</v>
      </c>
      <c r="E80" s="21" t="n">
        <f aca="false">IFERROR(D80/IF(B80="Clientes",SUMIFS(PARÂMETROS!$B$8:$B$33,PARÂMETROS!$G$8:$G$33,F80),SUMIFS(PARÂMETROS!$C$8:$C$33,PARÂMETROS!$G$8:$G$33,F80)),0)</f>
        <v>41.8520741284404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28191.295652</v>
      </c>
      <c r="E81" s="21" t="n">
        <f aca="false">IFERROR(D81/IF(B81="Clientes",SUMIFS(PARÂMETROS!$B$8:$B$33,PARÂMETROS!$G$8:$G$33,F81),SUMIFS(PARÂMETROS!$C$8:$C$33,PARÂMETROS!$G$8:$G$33,F81)),0)</f>
        <v>0.139913423686418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74930.4181</v>
      </c>
      <c r="E83" s="21" t="n">
        <f aca="false">IFERROR(D83/IF(B83="Clientes",SUMIFS(PARÂMETROS!$B$8:$B$33,PARÂMETROS!$G$8:$G$33,F83),SUMIFS(PARÂMETROS!$C$8:$C$33,PARÂMETROS!$G$8:$G$33,F83)),0)</f>
        <v>0.371879727134214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164627.861689</v>
      </c>
      <c r="E84" s="21" t="n">
        <f aca="false">IFERROR(D84/IF(B84="Clientes",SUMIFS(PARÂMETROS!$B$8:$B$33,PARÂMETROS!$G$8:$G$33,F84),SUMIFS(PARÂMETROS!$C$8:$C$33,PARÂMETROS!$G$8:$G$33,F84)),0)</f>
        <v>0.817048214009559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43768.753499</v>
      </c>
      <c r="E85" s="21" t="n">
        <f aca="false">IFERROR(D85/IF(B85="Clientes",SUMIFS(PARÂMETROS!$B$8:$B$33,PARÂMETROS!$G$8:$G$33,F85),SUMIFS(PARÂMETROS!$C$8:$C$33,PARÂMETROS!$G$8:$G$33,F85)),0)</f>
        <v>0.217224359892005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53088.743276</v>
      </c>
      <c r="E86" s="21" t="n">
        <f aca="false">IFERROR(D86/IF(B86="Clientes",SUMIFS(PARÂMETROS!$B$8:$B$33,PARÂMETROS!$G$8:$G$33,F86),SUMIFS(PARÂMETROS!$C$8:$C$33,PARÂMETROS!$G$8:$G$33,F86)),0)</f>
        <v>0.263479476879861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34286.73816</v>
      </c>
      <c r="E87" s="21" t="n">
        <f aca="false">IFERROR(D87/IF(B87="Clientes",SUMIFS(PARÂMETROS!$B$8:$B$33,PARÂMETROS!$G$8:$G$33,F87),SUMIFS(PARÂMETROS!$C$8:$C$33,PARÂMETROS!$G$8:$G$33,F87)),0)</f>
        <v>0.170165109905653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20171.717592</v>
      </c>
      <c r="E88" s="21" t="n">
        <f aca="false">IFERROR(D88/IF(B88="Clientes",SUMIFS(PARÂMETROS!$B$8:$B$33,PARÂMETROS!$G$8:$G$33,F88),SUMIFS(PARÂMETROS!$C$8:$C$33,PARÂMETROS!$G$8:$G$33,F88)),0)</f>
        <v>0.100112251127842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27994.5286617778</v>
      </c>
      <c r="E89" s="21" t="n">
        <f aca="false">IFERROR(D89/IF(B89="Clientes",SUMIFS(PARÂMETROS!$B$8:$B$33,PARÂMETROS!$G$8:$G$33,F89),SUMIFS(PARÂMETROS!$C$8:$C$33,PARÂMETROS!$G$8:$G$33,F89)),0)</f>
        <v>0.13893686895086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627085.5364</v>
      </c>
      <c r="E97" s="21" t="n">
        <f aca="false">IFERROR(D97/IF(B97="Clientes",SUMIFS(PARÂMETROS!$B$8:$B$33,PARÂMETROS!$G$8:$G$33,F97),SUMIFS(PARÂMETROS!$C$8:$C$33,PARÂMETROS!$G$8:$G$33,F97)),0)</f>
        <v>3.11222603689495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141513.863285667</v>
      </c>
      <c r="E98" s="21" t="n">
        <f aca="false">IFERROR(D98/IF(B98="Clientes",SUMIFS(PARÂMETROS!$B$8:$B$33,PARÂMETROS!$G$8:$G$33,F98),SUMIFS(PARÂMETROS!$C$8:$C$33,PARÂMETROS!$G$8:$G$33,F98)),0)</f>
        <v>0.702333420776447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29288.272184</v>
      </c>
      <c r="E99" s="21" t="n">
        <f aca="false">IFERROR(D99/IF(B99="Clientes",SUMIFS(PARÂMETROS!$B$8:$B$33,PARÂMETROS!$G$8:$G$33,F99),SUMIFS(PARÂMETROS!$C$8:$C$33,PARÂMETROS!$G$8:$G$33,F99)),0)</f>
        <v>0.145357719123931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215015.438959</v>
      </c>
      <c r="E100" s="21" t="n">
        <f aca="false">IFERROR(D100/IF(B100="Clientes",SUMIFS(PARÂMETROS!$B$8:$B$33,PARÂMETROS!$G$8:$G$33,F100),SUMIFS(PARÂMETROS!$C$8:$C$33,PARÂMETROS!$G$8:$G$33,F100)),0)</f>
        <v>1.06712180176286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125810.553912</v>
      </c>
      <c r="E101" s="21" t="n">
        <f aca="false">IFERROR(D101/IF(B101="Clientes",SUMIFS(PARÂMETROS!$B$8:$B$33,PARÂMETROS!$G$8:$G$33,F101),SUMIFS(PARÂMETROS!$C$8:$C$33,PARÂMETROS!$G$8:$G$33,F101)),0)</f>
        <v>0.624397883339703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30712.822744</v>
      </c>
      <c r="E103" s="21" t="n">
        <f aca="false">IFERROR(D103/IF(B103="Clientes",SUMIFS(PARÂMETROS!$B$8:$B$33,PARÂMETROS!$G$8:$G$33,F103),SUMIFS(PARÂMETROS!$C$8:$C$33,PARÂMETROS!$G$8:$G$33,F103)),0)</f>
        <v>0.152427764733909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61316.767</v>
      </c>
      <c r="E105" s="21" t="n">
        <f aca="false">IFERROR(D105/IF(B105="Clientes",SUMIFS(PARÂMETROS!$B$8:$B$33,PARÂMETROS!$G$8:$G$33,F105),SUMIFS(PARÂMETROS!$C$8:$C$33,PARÂMETROS!$G$8:$G$33,F105)),0)</f>
        <v>0.304315165441633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34645.023744</v>
      </c>
      <c r="E106" s="21" t="n">
        <f aca="false">IFERROR(D106/IF(B106="Clientes",SUMIFS(PARÂMETROS!$B$8:$B$33,PARÂMETROS!$G$8:$G$33,F106),SUMIFS(PARÂMETROS!$C$8:$C$33,PARÂMETROS!$G$8:$G$33,F106)),0)</f>
        <v>0.171943281556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14544.011176</v>
      </c>
      <c r="E108" s="21" t="n">
        <f aca="false">IFERROR(D108/IF(B108="Clientes",SUMIFS(PARÂMETROS!$B$8:$B$33,PARÂMETROS!$G$8:$G$33,F108),SUMIFS(PARÂMETROS!$C$8:$C$33,PARÂMETROS!$G$8:$G$33,F108)),0)</f>
        <v>0.0721819395208719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29387.792976</v>
      </c>
      <c r="E111" s="21" t="n">
        <f aca="false">IFERROR(D111/IF(B111="Clientes",SUMIFS(PARÂMETROS!$B$8:$B$33,PARÂMETROS!$G$8:$G$33,F111),SUMIFS(PARÂMETROS!$C$8:$C$33,PARÂMETROS!$G$8:$G$33,F111)),0)</f>
        <v>0.145851640897112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3068508.77796245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13</v>
      </c>
      <c r="E53" s="36" t="n">
        <v>55.342787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13</v>
      </c>
      <c r="E54" s="39" t="n">
        <v>0.209836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43</v>
      </c>
      <c r="E229" s="36" t="n">
        <v>55.342787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43</v>
      </c>
      <c r="E230" s="39" t="n">
        <v>0.209836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6</v>
      </c>
      <c r="E267" s="36" t="n">
        <v>0.980392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12</v>
      </c>
      <c r="E280" s="39" t="n">
        <v>55.342787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12</v>
      </c>
      <c r="E281" s="36" t="n">
        <v>0.209836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8</v>
      </c>
      <c r="E312" s="39" t="n">
        <v>55.342787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8</v>
      </c>
      <c r="E313" s="36" t="n">
        <v>0.209836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33</v>
      </c>
      <c r="E323" s="36" t="n">
        <v>55.342787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33</v>
      </c>
      <c r="E324" s="39" t="n">
        <v>0.209836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13</v>
      </c>
      <c r="E407" s="36" t="n">
        <v>0.209836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7</v>
      </c>
      <c r="E498" s="39" t="n">
        <v>0.980392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3</v>
      </c>
      <c r="E530" s="39" t="n">
        <v>0.980392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11</v>
      </c>
      <c r="E531" s="36" t="n">
        <v>0.980392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5</v>
      </c>
      <c r="E532" s="39" t="n">
        <v>0.980392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7</v>
      </c>
      <c r="E533" s="36" t="n">
        <v>0.980392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3</v>
      </c>
      <c r="E534" s="39" t="n">
        <v>0.980392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2</v>
      </c>
      <c r="E535" s="36" t="n">
        <v>0.980392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6</v>
      </c>
      <c r="E536" s="39" t="n">
        <v>0.980392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11</v>
      </c>
      <c r="E605" s="36" t="n">
        <v>55.342787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11</v>
      </c>
      <c r="E606" s="39" t="n">
        <v>0.209836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44</v>
      </c>
      <c r="E782" s="39" t="n">
        <v>55.342787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44</v>
      </c>
      <c r="E783" s="36" t="n">
        <v>0.209836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4</v>
      </c>
      <c r="E821" s="36" t="n">
        <v>1.136364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14</v>
      </c>
      <c r="E834" s="39" t="n">
        <v>55.342787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14</v>
      </c>
      <c r="E835" s="36" t="n">
        <v>0.209836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8</v>
      </c>
      <c r="E861" s="36" t="n">
        <v>55.342787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8</v>
      </c>
      <c r="E862" s="39" t="n">
        <v>0.209836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32</v>
      </c>
      <c r="E872" s="39" t="n">
        <v>55.342787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32</v>
      </c>
      <c r="E873" s="36" t="n">
        <v>0.209836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13</v>
      </c>
      <c r="E973" s="36" t="n">
        <v>0.209836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2</v>
      </c>
      <c r="E998" s="39" t="n">
        <v>1.136364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5</v>
      </c>
      <c r="E999" s="36" t="n">
        <v>1.136364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10</v>
      </c>
      <c r="E1000" s="39" t="n">
        <v>1.136364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4</v>
      </c>
      <c r="E1001" s="36" t="n">
        <v>1.136364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8</v>
      </c>
      <c r="E1002" s="39" t="n">
        <v>1.136364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3</v>
      </c>
      <c r="E1003" s="36" t="n">
        <v>1.136364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2</v>
      </c>
      <c r="E1004" s="39" t="n">
        <v>1.136364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5</v>
      </c>
      <c r="E1005" s="36" t="n">
        <v>1.136364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12</v>
      </c>
      <c r="E1081" s="36" t="n">
        <v>45.841293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12</v>
      </c>
      <c r="E1083" s="36" t="n">
        <v>21.551724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12</v>
      </c>
      <c r="E1084" s="39" t="n">
        <v>2.873534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12</v>
      </c>
      <c r="E1085" s="36" t="n">
        <v>7.964052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41</v>
      </c>
      <c r="E1291" s="36" t="n">
        <v>45.841293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41</v>
      </c>
      <c r="E1293" s="36" t="n">
        <v>21.551724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41</v>
      </c>
      <c r="E1294" s="39" t="n">
        <v>2.873534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41</v>
      </c>
      <c r="E1295" s="36" t="n">
        <v>7.964052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10</v>
      </c>
      <c r="E1365" s="36" t="n">
        <v>45.841293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10</v>
      </c>
      <c r="E1367" s="36" t="n">
        <v>21.551724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10</v>
      </c>
      <c r="E1368" s="39" t="n">
        <v>2.873534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10</v>
      </c>
      <c r="E1369" s="36" t="n">
        <v>7.964052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9</v>
      </c>
      <c r="E1406" s="39" t="n">
        <v>45.841293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9</v>
      </c>
      <c r="E1408" s="39" t="n">
        <v>21.551724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9</v>
      </c>
      <c r="E1409" s="36" t="n">
        <v>2.873534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9</v>
      </c>
      <c r="E1410" s="39" t="n">
        <v>7.964052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31</v>
      </c>
      <c r="E1426" s="39" t="n">
        <v>45.841293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31</v>
      </c>
      <c r="E1428" s="39" t="n">
        <v>21.551724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31</v>
      </c>
      <c r="E1429" s="36" t="n">
        <v>2.873534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31</v>
      </c>
      <c r="E1430" s="39" t="n">
        <v>7.964052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13</v>
      </c>
      <c r="E1447" s="36" t="n">
        <v>45.841293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13</v>
      </c>
      <c r="E1449" s="36" t="n">
        <v>21.551724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13</v>
      </c>
      <c r="E1450" s="39" t="n">
        <v>2.873534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13</v>
      </c>
      <c r="E1451" s="36" t="n">
        <v>7.964052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2</v>
      </c>
      <c r="E1561" s="36" t="n">
        <v>1.111111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6</v>
      </c>
      <c r="E1562" s="39" t="n">
        <v>1.111111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10</v>
      </c>
      <c r="E1563" s="36" t="n">
        <v>1.111111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5</v>
      </c>
      <c r="E1564" s="39" t="n">
        <v>1.111111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7</v>
      </c>
      <c r="E1565" s="36" t="n">
        <v>1.111111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4</v>
      </c>
      <c r="E1566" s="39" t="n">
        <v>1.111111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3</v>
      </c>
      <c r="E1567" s="36" t="n">
        <v>1.111111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2</v>
      </c>
      <c r="E1568" s="39" t="n">
        <v>1.111111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5</v>
      </c>
      <c r="E1569" s="36" t="n">
        <v>1.111111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false" outlineLevel="0" collapsed="false">
      <c r="A1710" s="1" t="s">
        <v>51</v>
      </c>
      <c r="B1710" s="1" t="s">
        <v>145</v>
      </c>
      <c r="C1710" s="1" t="s">
        <v>174</v>
      </c>
      <c r="D1710" s="42" t="n">
        <v>13</v>
      </c>
      <c r="E1710" s="43" t="n">
        <v>55.342787</v>
      </c>
      <c r="F1710" s="43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false" outlineLevel="0" collapsed="false">
      <c r="A1711" s="1" t="s">
        <v>51</v>
      </c>
      <c r="B1711" s="1" t="s">
        <v>145</v>
      </c>
      <c r="C1711" s="1" t="s">
        <v>174</v>
      </c>
      <c r="D1711" s="42" t="n">
        <v>13</v>
      </c>
      <c r="E1711" s="43" t="n">
        <v>55.342787</v>
      </c>
      <c r="F1711" s="43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false" outlineLevel="0" collapsed="false">
      <c r="A1712" s="1" t="s">
        <v>38</v>
      </c>
      <c r="B1712" s="1" t="s">
        <v>145</v>
      </c>
      <c r="C1712" s="1" t="s">
        <v>226</v>
      </c>
      <c r="D1712" s="42" t="n">
        <v>11</v>
      </c>
      <c r="E1712" s="43" t="n">
        <v>114.754098</v>
      </c>
      <c r="F1712" s="43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false" outlineLevel="0" collapsed="false">
      <c r="A1713" s="1" t="s">
        <v>37</v>
      </c>
      <c r="B1713" s="1" t="s">
        <v>145</v>
      </c>
      <c r="C1713" s="1" t="s">
        <v>226</v>
      </c>
      <c r="D1713" s="42" t="n">
        <v>44</v>
      </c>
      <c r="E1713" s="43" t="n">
        <v>114.754098</v>
      </c>
      <c r="F1713" s="43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false" outlineLevel="0" collapsed="false">
      <c r="A1714" s="1" t="s">
        <v>39</v>
      </c>
      <c r="B1714" s="1" t="s">
        <v>145</v>
      </c>
      <c r="C1714" s="1" t="s">
        <v>226</v>
      </c>
      <c r="D1714" s="42" t="n">
        <v>14</v>
      </c>
      <c r="E1714" s="43" t="n">
        <v>114.754098</v>
      </c>
      <c r="F1714" s="43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false" outlineLevel="0" collapsed="false">
      <c r="A1715" s="1" t="s">
        <v>52</v>
      </c>
      <c r="B1715" s="1" t="s">
        <v>145</v>
      </c>
      <c r="C1715" s="1" t="s">
        <v>226</v>
      </c>
      <c r="D1715" s="42" t="n">
        <v>8</v>
      </c>
      <c r="E1715" s="43" t="n">
        <v>114.754098</v>
      </c>
      <c r="F1715" s="43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false" outlineLevel="0" collapsed="false">
      <c r="A1716" s="1" t="s">
        <v>53</v>
      </c>
      <c r="B1716" s="1" t="s">
        <v>145</v>
      </c>
      <c r="C1716" s="1" t="s">
        <v>226</v>
      </c>
      <c r="D1716" s="42" t="n">
        <v>32</v>
      </c>
      <c r="E1716" s="43" t="n">
        <v>114.754098</v>
      </c>
      <c r="F1716" s="43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false" outlineLevel="0" collapsed="false">
      <c r="A1717" s="1" t="s">
        <v>51</v>
      </c>
      <c r="B1717" s="1" t="s">
        <v>145</v>
      </c>
      <c r="C1717" s="1" t="s">
        <v>226</v>
      </c>
      <c r="D1717" s="42" t="n">
        <v>13</v>
      </c>
      <c r="E1717" s="43" t="n">
        <v>114.754098</v>
      </c>
      <c r="F1717" s="43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false" outlineLevel="0" collapsed="false">
      <c r="A1718" s="1" t="s">
        <v>38</v>
      </c>
      <c r="B1718" s="1" t="s">
        <v>145</v>
      </c>
      <c r="C1718" s="1" t="s">
        <v>228</v>
      </c>
      <c r="D1718" s="42" t="n">
        <v>11</v>
      </c>
      <c r="E1718" s="43" t="n">
        <v>45.434426</v>
      </c>
      <c r="F1718" s="43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false" outlineLevel="0" collapsed="false">
      <c r="A1719" s="1" t="s">
        <v>37</v>
      </c>
      <c r="B1719" s="1" t="s">
        <v>145</v>
      </c>
      <c r="C1719" s="1" t="s">
        <v>228</v>
      </c>
      <c r="D1719" s="42" t="n">
        <v>44</v>
      </c>
      <c r="E1719" s="43" t="n">
        <v>45.434426</v>
      </c>
      <c r="F1719" s="43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false" outlineLevel="0" collapsed="false">
      <c r="A1720" s="1" t="s">
        <v>39</v>
      </c>
      <c r="B1720" s="1" t="s">
        <v>145</v>
      </c>
      <c r="C1720" s="1" t="s">
        <v>228</v>
      </c>
      <c r="D1720" s="42" t="n">
        <v>14</v>
      </c>
      <c r="E1720" s="43" t="n">
        <v>45.434426</v>
      </c>
      <c r="F1720" s="43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false" outlineLevel="0" collapsed="false">
      <c r="A1721" s="1" t="s">
        <v>52</v>
      </c>
      <c r="B1721" s="1" t="s">
        <v>145</v>
      </c>
      <c r="C1721" s="1" t="s">
        <v>228</v>
      </c>
      <c r="D1721" s="42" t="n">
        <v>8</v>
      </c>
      <c r="E1721" s="43" t="n">
        <v>45.434426</v>
      </c>
      <c r="F1721" s="43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false" outlineLevel="0" collapsed="false">
      <c r="A1722" s="1" t="s">
        <v>53</v>
      </c>
      <c r="B1722" s="1" t="s">
        <v>145</v>
      </c>
      <c r="C1722" s="1" t="s">
        <v>228</v>
      </c>
      <c r="D1722" s="42" t="n">
        <v>32</v>
      </c>
      <c r="E1722" s="43" t="n">
        <v>45.434426</v>
      </c>
      <c r="F1722" s="43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false" outlineLevel="0" collapsed="false">
      <c r="A1723" s="1" t="s">
        <v>51</v>
      </c>
      <c r="B1723" s="1" t="s">
        <v>145</v>
      </c>
      <c r="C1723" s="1" t="s">
        <v>228</v>
      </c>
      <c r="D1723" s="42" t="n">
        <v>13</v>
      </c>
      <c r="E1723" s="43" t="n">
        <v>45.434426</v>
      </c>
      <c r="F1723" s="43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76406.3460589192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76406.3460589192</v>
      </c>
      <c r="F4" s="11" t="n">
        <f aca="false">IFERROR(B4/B$12,0)</f>
        <v>0.0318477581653864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151434.539583466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151434.539583466</v>
      </c>
      <c r="F5" s="16" t="n">
        <f aca="false">IFERROR(B5/B$12,0)</f>
        <v>0.0631210736189611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172610.477919964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172610.477919964</v>
      </c>
      <c r="F6" s="11" t="n">
        <f aca="false">IFERROR(B6/B$12,0)</f>
        <v>0.0719476462513688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44317.9629182705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44317.9629182705</v>
      </c>
      <c r="F7" s="16" t="n">
        <f aca="false">IFERROR(B7/B$12,0)</f>
        <v>0.0184726510061775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81490.1444402198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81490.1444402198</v>
      </c>
      <c r="F8" s="11" t="n">
        <f aca="false">IFERROR(B8/B$12,0)</f>
        <v>0.0339667913316157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54911.1706869513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54911.1706869513</v>
      </c>
      <c r="F9" s="16" t="n">
        <f aca="false">IFERROR(B9/B$12,0)</f>
        <v>0.02288812088027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57915.1607961822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57915.1607961822</v>
      </c>
      <c r="F10" s="11" t="n">
        <f aca="false">IFERROR(B10/B$12,0)</f>
        <v>0.0241402465931816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1760026.42590857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1760026.42590857</v>
      </c>
      <c r="F11" s="16" t="n">
        <f aca="false">IFERROR(B11/B$12,0)</f>
        <v>0.733615712153039</v>
      </c>
      <c r="G11" s="45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2399112.22831254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2399112.22831254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65141.7361851841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65141.7361851841</v>
      </c>
      <c r="F14" s="11" t="n">
        <f aca="false">IFERROR(B14/B$22,0)</f>
        <v>0.0316610025799921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131947.851506058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131947.851506058</v>
      </c>
      <c r="F15" s="16" t="n">
        <f aca="false">IFERROR(B15/B$22,0)</f>
        <v>0.064130947555369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149451.540149171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149451.540149171</v>
      </c>
      <c r="F16" s="11" t="n">
        <f aca="false">IFERROR(B16/B$22,0)</f>
        <v>0.0726383095592546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38118.1557318585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38118.1557318585</v>
      </c>
      <c r="F17" s="16" t="n">
        <f aca="false">IFERROR(B17/B$22,0)</f>
        <v>0.0185266635132363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70842.9407525781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70842.9407525781</v>
      </c>
      <c r="F18" s="11" t="n">
        <f aca="false">IFERROR(B18/B$22,0)</f>
        <v>0.0344319734365898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47574.5140911259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47574.5140911259</v>
      </c>
      <c r="F19" s="16" t="n">
        <f aca="false">IFERROR(B19/B$22,0)</f>
        <v>0.023122761252464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50935.3622865709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50935.3622865709</v>
      </c>
      <c r="F20" s="11" t="n">
        <f aca="false">IFERROR(B20/B$22,0)</f>
        <v>0.024756242790083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1503463.36996843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1503463.36996843</v>
      </c>
      <c r="F21" s="16" t="n">
        <f aca="false">IFERROR(B21/B$22,0)</f>
        <v>0.730732099313011</v>
      </c>
      <c r="G21" s="45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2057475.47067097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2057475.47067097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96106.9831253092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96106.9831253092</v>
      </c>
      <c r="F24" s="11" t="n">
        <f aca="false">IFERROR(B24/B$32,0)</f>
        <v>0.0318332255186098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180103.945605557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180103.945605557</v>
      </c>
      <c r="F25" s="16" t="n">
        <f aca="false">IFERROR(B25/B$32,0)</f>
        <v>0.0596552855038408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213475.348900252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213475.348900252</v>
      </c>
      <c r="F26" s="11" t="n">
        <f aca="false">IFERROR(B26/B$32,0)</f>
        <v>0.0707087945456073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54457.8171043947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54457.8171043947</v>
      </c>
      <c r="F27" s="16" t="n">
        <f aca="false">IFERROR(B27/B$32,0)</f>
        <v>0.0180378981501801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99798.9363568309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99798.9363568309</v>
      </c>
      <c r="F28" s="11" t="n">
        <f aca="false">IFERROR(B28/B$32,0)</f>
        <v>0.0330561000278424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68414.4819317166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68414.4819317166</v>
      </c>
      <c r="F29" s="16" t="n">
        <f aca="false">IFERROR(B29/B$32,0)</f>
        <v>0.022660722054209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71978.6917355659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71978.6917355659</v>
      </c>
      <c r="F30" s="11" t="n">
        <f aca="false">IFERROR(B30/B$32,0)</f>
        <v>0.023841284494023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2234741.55313597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2234741.55313597</v>
      </c>
      <c r="F31" s="16" t="n">
        <f aca="false">IFERROR(B31/B$32,0)</f>
        <v>0.740206689705688</v>
      </c>
      <c r="G31" s="45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3019077.75789559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3019077.75789559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248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249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250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251</v>
      </c>
      <c r="B5" s="50" t="s">
        <v>3</v>
      </c>
      <c r="C5" s="50" t="s">
        <v>252</v>
      </c>
      <c r="D5" s="50" t="s">
        <v>253</v>
      </c>
      <c r="E5" s="50" t="s">
        <v>254</v>
      </c>
      <c r="F5" s="50" t="s">
        <v>255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256</v>
      </c>
      <c r="B6" s="51" t="s">
        <v>257</v>
      </c>
      <c r="C6" s="51" t="n">
        <v>39</v>
      </c>
      <c r="D6" s="51" t="n">
        <v>33</v>
      </c>
      <c r="E6" s="51" t="n">
        <v>2</v>
      </c>
      <c r="F6" s="51" t="s">
        <v>258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259</v>
      </c>
      <c r="B7" s="51" t="s">
        <v>257</v>
      </c>
      <c r="C7" s="51" t="n">
        <v>9</v>
      </c>
      <c r="D7" s="51" t="n">
        <v>9</v>
      </c>
      <c r="E7" s="51" t="n">
        <v>0</v>
      </c>
      <c r="F7" s="51" t="s">
        <v>260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261</v>
      </c>
      <c r="B8" s="51" t="s">
        <v>257</v>
      </c>
      <c r="C8" s="51" t="n">
        <v>7</v>
      </c>
      <c r="D8" s="51" t="n">
        <v>6</v>
      </c>
      <c r="E8" s="51" t="n">
        <v>1</v>
      </c>
      <c r="F8" s="51" t="s">
        <v>260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262</v>
      </c>
      <c r="B9" s="51" t="s">
        <v>257</v>
      </c>
      <c r="C9" s="51" t="n">
        <v>11</v>
      </c>
      <c r="D9" s="51" t="n">
        <v>8</v>
      </c>
      <c r="E9" s="51" t="n">
        <v>1</v>
      </c>
      <c r="F9" s="51" t="s">
        <v>263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262</v>
      </c>
      <c r="B10" s="51" t="s">
        <v>264</v>
      </c>
      <c r="C10" s="51" t="n">
        <v>2</v>
      </c>
      <c r="D10" s="51" t="n">
        <v>1</v>
      </c>
      <c r="E10" s="51" t="n">
        <v>1</v>
      </c>
      <c r="F10" s="51" t="s">
        <v>260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265</v>
      </c>
      <c r="B11" s="51" t="s">
        <v>257</v>
      </c>
      <c r="C11" s="51" t="n">
        <v>18</v>
      </c>
      <c r="D11" s="51" t="n">
        <v>14</v>
      </c>
      <c r="E11" s="51" t="n">
        <v>2</v>
      </c>
      <c r="F11" s="51" t="s">
        <v>263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265</v>
      </c>
      <c r="B12" s="51" t="s">
        <v>266</v>
      </c>
      <c r="C12" s="51" t="n">
        <v>2</v>
      </c>
      <c r="D12" s="51" t="n">
        <v>1</v>
      </c>
      <c r="E12" s="51" t="n">
        <v>1</v>
      </c>
      <c r="F12" s="51" t="s">
        <v>260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265</v>
      </c>
      <c r="B13" s="51" t="s">
        <v>267</v>
      </c>
      <c r="C13" s="51" t="n">
        <v>5</v>
      </c>
      <c r="D13" s="51" t="n">
        <v>5</v>
      </c>
      <c r="E13" s="51" t="n">
        <v>0</v>
      </c>
      <c r="F13" s="51" t="s">
        <v>260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268</v>
      </c>
      <c r="B14" s="51" t="s">
        <v>269</v>
      </c>
      <c r="C14" s="51" t="n">
        <v>8</v>
      </c>
      <c r="D14" s="51" t="n">
        <v>7</v>
      </c>
      <c r="E14" s="51" t="n">
        <v>0</v>
      </c>
      <c r="F14" s="51" t="s">
        <v>270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268</v>
      </c>
      <c r="B15" s="51" t="s">
        <v>271</v>
      </c>
      <c r="C15" s="51" t="n">
        <v>2</v>
      </c>
      <c r="D15" s="51" t="n">
        <v>1</v>
      </c>
      <c r="E15" s="51" t="n">
        <v>0</v>
      </c>
      <c r="F15" s="51" t="s">
        <v>270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268</v>
      </c>
      <c r="B16" s="51" t="s">
        <v>272</v>
      </c>
      <c r="C16" s="51" t="n">
        <v>11</v>
      </c>
      <c r="D16" s="51" t="n">
        <v>9</v>
      </c>
      <c r="E16" s="51" t="n">
        <v>1</v>
      </c>
      <c r="F16" s="51" t="s">
        <v>273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274</v>
      </c>
      <c r="B17" s="51" t="s">
        <v>275</v>
      </c>
      <c r="C17" s="51" t="n">
        <v>1</v>
      </c>
      <c r="D17" s="51" t="n">
        <v>0</v>
      </c>
      <c r="E17" s="51" t="n">
        <v>0</v>
      </c>
      <c r="F17" s="51" t="s">
        <v>270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276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140</v>
      </c>
      <c r="D20" s="50" t="s">
        <v>277</v>
      </c>
      <c r="E20" s="50" t="s">
        <v>251</v>
      </c>
      <c r="F20" s="50" t="s">
        <v>142</v>
      </c>
      <c r="G20" s="50" t="s">
        <v>278</v>
      </c>
      <c r="H20" s="50" t="s">
        <v>279</v>
      </c>
      <c r="I20" s="50" t="s">
        <v>280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257</v>
      </c>
      <c r="C21" s="51" t="s">
        <v>281</v>
      </c>
      <c r="D21" s="51" t="s">
        <v>220</v>
      </c>
      <c r="E21" s="51" t="s">
        <v>256</v>
      </c>
      <c r="F21" s="51" t="n">
        <v>1</v>
      </c>
      <c r="G21" s="52" t="n">
        <v>59982.0585470518</v>
      </c>
      <c r="H21" s="52" t="n">
        <v>59982.0585470518</v>
      </c>
      <c r="I21" s="51" t="s">
        <v>282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257</v>
      </c>
      <c r="C22" s="51" t="s">
        <v>281</v>
      </c>
      <c r="D22" s="51" t="s">
        <v>283</v>
      </c>
      <c r="E22" s="51" t="s">
        <v>256</v>
      </c>
      <c r="F22" s="51" t="n">
        <v>1</v>
      </c>
      <c r="G22" s="52" t="n">
        <v>1236.86</v>
      </c>
      <c r="H22" s="52" t="n">
        <v>1236.86</v>
      </c>
      <c r="I22" s="51" t="s">
        <v>284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257</v>
      </c>
      <c r="C23" s="51" t="s">
        <v>281</v>
      </c>
      <c r="D23" s="51" t="s">
        <v>180</v>
      </c>
      <c r="E23" s="51" t="s">
        <v>256</v>
      </c>
      <c r="F23" s="51" t="n">
        <v>39</v>
      </c>
      <c r="G23" s="52" t="n">
        <v>28.31</v>
      </c>
      <c r="H23" s="52" t="n">
        <v>1104.09</v>
      </c>
      <c r="I23" s="51" t="s">
        <v>285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257</v>
      </c>
      <c r="C24" s="51" t="s">
        <v>281</v>
      </c>
      <c r="D24" s="51" t="s">
        <v>181</v>
      </c>
      <c r="E24" s="51" t="s">
        <v>256</v>
      </c>
      <c r="F24" s="51" t="n">
        <v>39</v>
      </c>
      <c r="G24" s="52" t="n">
        <v>47.79</v>
      </c>
      <c r="H24" s="52" t="n">
        <v>1863.81</v>
      </c>
      <c r="I24" s="51" t="s">
        <v>285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257</v>
      </c>
      <c r="C25" s="51" t="s">
        <v>44</v>
      </c>
      <c r="D25" s="51" t="s">
        <v>182</v>
      </c>
      <c r="E25" s="51" t="s">
        <v>256</v>
      </c>
      <c r="F25" s="51" t="n">
        <v>39</v>
      </c>
      <c r="G25" s="52" t="n">
        <v>64.54</v>
      </c>
      <c r="H25" s="52" t="n">
        <v>2517.06</v>
      </c>
      <c r="I25" s="51" t="s">
        <v>285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257</v>
      </c>
      <c r="C26" s="51" t="s">
        <v>44</v>
      </c>
      <c r="D26" s="51" t="s">
        <v>221</v>
      </c>
      <c r="E26" s="51" t="s">
        <v>256</v>
      </c>
      <c r="F26" s="51" t="n">
        <v>1</v>
      </c>
      <c r="G26" s="52" t="n">
        <v>142.07</v>
      </c>
      <c r="H26" s="52" t="n">
        <v>142.07</v>
      </c>
      <c r="I26" s="51" t="s">
        <v>284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257</v>
      </c>
      <c r="C27" s="51" t="s">
        <v>286</v>
      </c>
      <c r="D27" s="51" t="s">
        <v>157</v>
      </c>
      <c r="E27" s="51" t="s">
        <v>256</v>
      </c>
      <c r="F27" s="51" t="n">
        <v>39</v>
      </c>
      <c r="G27" s="52" t="n">
        <v>10.05</v>
      </c>
      <c r="H27" s="52" t="n">
        <v>391.95</v>
      </c>
      <c r="I27" s="51" t="s">
        <v>285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257</v>
      </c>
      <c r="C28" s="51" t="s">
        <v>286</v>
      </c>
      <c r="D28" s="51" t="s">
        <v>158</v>
      </c>
      <c r="E28" s="51" t="s">
        <v>256</v>
      </c>
      <c r="F28" s="51" t="n">
        <v>39</v>
      </c>
      <c r="G28" s="52" t="n">
        <v>2.07</v>
      </c>
      <c r="H28" s="52" t="n">
        <v>80.73</v>
      </c>
      <c r="I28" s="51" t="s">
        <v>285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257</v>
      </c>
      <c r="C29" s="51" t="s">
        <v>287</v>
      </c>
      <c r="D29" s="51" t="s">
        <v>183</v>
      </c>
      <c r="E29" s="51" t="s">
        <v>256</v>
      </c>
      <c r="F29" s="51" t="n">
        <v>1</v>
      </c>
      <c r="G29" s="52" t="n">
        <v>764.48</v>
      </c>
      <c r="H29" s="52" t="n">
        <v>764.48</v>
      </c>
      <c r="I29" s="51" t="s">
        <v>284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257</v>
      </c>
      <c r="C30" s="51" t="s">
        <v>287</v>
      </c>
      <c r="D30" s="51" t="s">
        <v>185</v>
      </c>
      <c r="E30" s="51" t="s">
        <v>256</v>
      </c>
      <c r="F30" s="51" t="n">
        <v>1</v>
      </c>
      <c r="G30" s="52" t="n">
        <v>1150.7</v>
      </c>
      <c r="H30" s="52" t="n">
        <v>1150.7</v>
      </c>
      <c r="I30" s="51" t="s">
        <v>284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257</v>
      </c>
      <c r="C31" s="51" t="s">
        <v>288</v>
      </c>
      <c r="D31" s="51" t="s">
        <v>179</v>
      </c>
      <c r="E31" s="51" t="s">
        <v>256</v>
      </c>
      <c r="F31" s="51" t="n">
        <v>42</v>
      </c>
      <c r="G31" s="52" t="n">
        <v>30</v>
      </c>
      <c r="H31" s="52" t="n">
        <f aca="false">F31*G31</f>
        <v>1260</v>
      </c>
      <c r="I31" s="51" t="s">
        <v>285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257</v>
      </c>
      <c r="C32" s="51" t="s">
        <v>289</v>
      </c>
      <c r="D32" s="51" t="s">
        <v>186</v>
      </c>
      <c r="E32" s="51" t="s">
        <v>256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290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257</v>
      </c>
      <c r="C33" s="51" t="s">
        <v>281</v>
      </c>
      <c r="D33" s="51" t="s">
        <v>220</v>
      </c>
      <c r="E33" s="51" t="s">
        <v>259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291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257</v>
      </c>
      <c r="C34" s="51" t="s">
        <v>281</v>
      </c>
      <c r="D34" s="51" t="s">
        <v>283</v>
      </c>
      <c r="E34" s="51" t="s">
        <v>259</v>
      </c>
      <c r="F34" s="51" t="n">
        <v>1</v>
      </c>
      <c r="G34" s="52" t="n">
        <v>285.43</v>
      </c>
      <c r="H34" s="52" t="n">
        <v>285.43</v>
      </c>
      <c r="I34" s="51" t="s">
        <v>292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257</v>
      </c>
      <c r="C35" s="51" t="s">
        <v>281</v>
      </c>
      <c r="D35" s="51" t="s">
        <v>180</v>
      </c>
      <c r="E35" s="51" t="s">
        <v>259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285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257</v>
      </c>
      <c r="C36" s="51" t="s">
        <v>281</v>
      </c>
      <c r="D36" s="51" t="s">
        <v>181</v>
      </c>
      <c r="E36" s="51" t="s">
        <v>259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285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257</v>
      </c>
      <c r="C37" s="51" t="s">
        <v>44</v>
      </c>
      <c r="D37" s="51" t="s">
        <v>182</v>
      </c>
      <c r="E37" s="51" t="s">
        <v>259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285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257</v>
      </c>
      <c r="C38" s="51" t="s">
        <v>44</v>
      </c>
      <c r="D38" s="51" t="s">
        <v>221</v>
      </c>
      <c r="E38" s="51" t="s">
        <v>259</v>
      </c>
      <c r="F38" s="51" t="n">
        <v>1</v>
      </c>
      <c r="G38" s="52" t="n">
        <v>32.79</v>
      </c>
      <c r="H38" s="52" t="n">
        <v>32.79</v>
      </c>
      <c r="I38" s="51" t="s">
        <v>292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257</v>
      </c>
      <c r="C39" s="51" t="s">
        <v>286</v>
      </c>
      <c r="D39" s="51" t="s">
        <v>157</v>
      </c>
      <c r="E39" s="51" t="s">
        <v>259</v>
      </c>
      <c r="F39" s="51" t="n">
        <v>9</v>
      </c>
      <c r="G39" s="52" t="n">
        <v>10.05</v>
      </c>
      <c r="H39" s="52" t="n">
        <f aca="false">F39*G39</f>
        <v>90.45</v>
      </c>
      <c r="I39" s="51" t="s">
        <v>285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257</v>
      </c>
      <c r="C40" s="51" t="s">
        <v>286</v>
      </c>
      <c r="D40" s="51" t="s">
        <v>158</v>
      </c>
      <c r="E40" s="51" t="s">
        <v>259</v>
      </c>
      <c r="F40" s="51" t="n">
        <v>9</v>
      </c>
      <c r="G40" s="52" t="n">
        <v>2.07</v>
      </c>
      <c r="H40" s="52" t="n">
        <f aca="false">F40*G40</f>
        <v>18.63</v>
      </c>
      <c r="I40" s="51" t="s">
        <v>285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257</v>
      </c>
      <c r="C41" s="51" t="s">
        <v>287</v>
      </c>
      <c r="D41" s="51" t="s">
        <v>183</v>
      </c>
      <c r="E41" s="51" t="s">
        <v>259</v>
      </c>
      <c r="F41" s="51" t="n">
        <v>1</v>
      </c>
      <c r="G41" s="52" t="n">
        <v>176.42</v>
      </c>
      <c r="H41" s="52" t="n">
        <v>176.42</v>
      </c>
      <c r="I41" s="51" t="s">
        <v>292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257</v>
      </c>
      <c r="C42" s="51" t="s">
        <v>287</v>
      </c>
      <c r="D42" s="51" t="s">
        <v>185</v>
      </c>
      <c r="E42" s="51" t="s">
        <v>259</v>
      </c>
      <c r="F42" s="51" t="n">
        <v>1</v>
      </c>
      <c r="G42" s="52" t="n">
        <v>265.55</v>
      </c>
      <c r="H42" s="52" t="n">
        <v>265.55</v>
      </c>
      <c r="I42" s="51" t="s">
        <v>292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257</v>
      </c>
      <c r="C43" s="51" t="s">
        <v>288</v>
      </c>
      <c r="D43" s="51" t="s">
        <v>179</v>
      </c>
      <c r="E43" s="51" t="s">
        <v>259</v>
      </c>
      <c r="F43" s="51" t="n">
        <v>9</v>
      </c>
      <c r="G43" s="52" t="n">
        <v>30</v>
      </c>
      <c r="H43" s="52" t="n">
        <f aca="false">F43*G43</f>
        <v>270</v>
      </c>
      <c r="I43" s="51" t="s">
        <v>285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257</v>
      </c>
      <c r="C44" s="51" t="s">
        <v>281</v>
      </c>
      <c r="D44" s="51" t="s">
        <v>220</v>
      </c>
      <c r="E44" s="51" t="s">
        <v>261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293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257</v>
      </c>
      <c r="C45" s="51" t="s">
        <v>281</v>
      </c>
      <c r="D45" s="51" t="s">
        <v>283</v>
      </c>
      <c r="E45" s="51" t="s">
        <v>261</v>
      </c>
      <c r="F45" s="51" t="n">
        <v>1</v>
      </c>
      <c r="G45" s="52" t="n">
        <v>222</v>
      </c>
      <c r="H45" s="52" t="n">
        <v>222</v>
      </c>
      <c r="I45" s="51" t="s">
        <v>294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257</v>
      </c>
      <c r="C46" s="51" t="s">
        <v>281</v>
      </c>
      <c r="D46" s="51" t="s">
        <v>180</v>
      </c>
      <c r="E46" s="51" t="s">
        <v>261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285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257</v>
      </c>
      <c r="C47" s="51" t="s">
        <v>281</v>
      </c>
      <c r="D47" s="51" t="s">
        <v>181</v>
      </c>
      <c r="E47" s="51" t="s">
        <v>261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285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257</v>
      </c>
      <c r="C48" s="51" t="s">
        <v>44</v>
      </c>
      <c r="D48" s="51" t="s">
        <v>182</v>
      </c>
      <c r="E48" s="51" t="s">
        <v>261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285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257</v>
      </c>
      <c r="C49" s="51" t="s">
        <v>44</v>
      </c>
      <c r="D49" s="51" t="s">
        <v>221</v>
      </c>
      <c r="E49" s="51" t="s">
        <v>261</v>
      </c>
      <c r="F49" s="51" t="n">
        <v>1</v>
      </c>
      <c r="G49" s="52" t="n">
        <v>25.5</v>
      </c>
      <c r="H49" s="52" t="n">
        <v>25.5</v>
      </c>
      <c r="I49" s="51" t="s">
        <v>294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257</v>
      </c>
      <c r="C50" s="51" t="s">
        <v>286</v>
      </c>
      <c r="D50" s="51" t="s">
        <v>157</v>
      </c>
      <c r="E50" s="51" t="s">
        <v>261</v>
      </c>
      <c r="F50" s="51" t="n">
        <v>7</v>
      </c>
      <c r="G50" s="52" t="n">
        <v>10.05</v>
      </c>
      <c r="H50" s="52" t="n">
        <f aca="false">F50*G50</f>
        <v>70.35</v>
      </c>
      <c r="I50" s="51" t="s">
        <v>285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257</v>
      </c>
      <c r="C51" s="51" t="s">
        <v>286</v>
      </c>
      <c r="D51" s="51" t="s">
        <v>158</v>
      </c>
      <c r="E51" s="51" t="s">
        <v>261</v>
      </c>
      <c r="F51" s="51" t="n">
        <v>7</v>
      </c>
      <c r="G51" s="52" t="n">
        <v>2.07</v>
      </c>
      <c r="H51" s="52" t="n">
        <f aca="false">F51*G51</f>
        <v>14.49</v>
      </c>
      <c r="I51" s="51" t="s">
        <v>285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257</v>
      </c>
      <c r="C52" s="51" t="s">
        <v>287</v>
      </c>
      <c r="D52" s="51" t="s">
        <v>183</v>
      </c>
      <c r="E52" s="51" t="s">
        <v>261</v>
      </c>
      <c r="F52" s="51" t="n">
        <v>1</v>
      </c>
      <c r="G52" s="52" t="n">
        <v>137.22</v>
      </c>
      <c r="H52" s="52" t="n">
        <v>137.22</v>
      </c>
      <c r="I52" s="51" t="s">
        <v>294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257</v>
      </c>
      <c r="C53" s="51" t="s">
        <v>287</v>
      </c>
      <c r="D53" s="51" t="s">
        <v>185</v>
      </c>
      <c r="E53" s="51" t="s">
        <v>261</v>
      </c>
      <c r="F53" s="51" t="n">
        <v>1</v>
      </c>
      <c r="G53" s="52" t="n">
        <v>206.54</v>
      </c>
      <c r="H53" s="52" t="n">
        <v>206.54</v>
      </c>
      <c r="I53" s="51" t="s">
        <v>294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257</v>
      </c>
      <c r="C54" s="51" t="s">
        <v>288</v>
      </c>
      <c r="D54" s="51" t="s">
        <v>179</v>
      </c>
      <c r="E54" s="51" t="s">
        <v>261</v>
      </c>
      <c r="F54" s="51" t="n">
        <v>7</v>
      </c>
      <c r="G54" s="52" t="n">
        <v>30</v>
      </c>
      <c r="H54" s="52" t="n">
        <f aca="false">F54*G54</f>
        <v>210</v>
      </c>
      <c r="I54" s="51" t="s">
        <v>285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257</v>
      </c>
      <c r="C55" s="51" t="s">
        <v>289</v>
      </c>
      <c r="D55" s="51" t="s">
        <v>186</v>
      </c>
      <c r="E55" s="51" t="s">
        <v>261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295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257</v>
      </c>
      <c r="C56" s="51" t="s">
        <v>281</v>
      </c>
      <c r="D56" s="51" t="s">
        <v>220</v>
      </c>
      <c r="E56" s="51" t="s">
        <v>262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296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257</v>
      </c>
      <c r="C57" s="51" t="s">
        <v>281</v>
      </c>
      <c r="D57" s="51" t="s">
        <v>283</v>
      </c>
      <c r="E57" s="51" t="s">
        <v>262</v>
      </c>
      <c r="F57" s="51" t="n">
        <v>1</v>
      </c>
      <c r="G57" s="52" t="n">
        <v>348.86</v>
      </c>
      <c r="H57" s="52" t="n">
        <v>348.86</v>
      </c>
      <c r="I57" s="51" t="s">
        <v>297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257</v>
      </c>
      <c r="C58" s="51" t="s">
        <v>281</v>
      </c>
      <c r="D58" s="51" t="s">
        <v>180</v>
      </c>
      <c r="E58" s="51" t="s">
        <v>262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285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257</v>
      </c>
      <c r="C59" s="51" t="s">
        <v>281</v>
      </c>
      <c r="D59" s="51" t="s">
        <v>181</v>
      </c>
      <c r="E59" s="51" t="s">
        <v>262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285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257</v>
      </c>
      <c r="C60" s="51" t="s">
        <v>44</v>
      </c>
      <c r="D60" s="51" t="s">
        <v>182</v>
      </c>
      <c r="E60" s="51" t="s">
        <v>262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285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257</v>
      </c>
      <c r="C61" s="51" t="s">
        <v>44</v>
      </c>
      <c r="D61" s="51" t="s">
        <v>221</v>
      </c>
      <c r="E61" s="51" t="s">
        <v>262</v>
      </c>
      <c r="F61" s="51" t="n">
        <v>1</v>
      </c>
      <c r="G61" s="52" t="n">
        <v>40.07</v>
      </c>
      <c r="H61" s="52" t="n">
        <v>40.07</v>
      </c>
      <c r="I61" s="51" t="s">
        <v>297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257</v>
      </c>
      <c r="C62" s="51" t="s">
        <v>286</v>
      </c>
      <c r="D62" s="51" t="s">
        <v>157</v>
      </c>
      <c r="E62" s="51" t="s">
        <v>262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285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257</v>
      </c>
      <c r="C63" s="51" t="s">
        <v>286</v>
      </c>
      <c r="D63" s="51" t="s">
        <v>158</v>
      </c>
      <c r="E63" s="51" t="s">
        <v>262</v>
      </c>
      <c r="F63" s="51" t="n">
        <v>11</v>
      </c>
      <c r="G63" s="52" t="n">
        <v>2.07</v>
      </c>
      <c r="H63" s="52" t="n">
        <f aca="false">F63*G63</f>
        <v>22.77</v>
      </c>
      <c r="I63" s="51" t="s">
        <v>285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257</v>
      </c>
      <c r="C64" s="51" t="s">
        <v>287</v>
      </c>
      <c r="D64" s="51" t="s">
        <v>183</v>
      </c>
      <c r="E64" s="51" t="s">
        <v>262</v>
      </c>
      <c r="F64" s="51" t="n">
        <v>1</v>
      </c>
      <c r="G64" s="52" t="n">
        <v>215.62</v>
      </c>
      <c r="H64" s="52" t="n">
        <v>215.62</v>
      </c>
      <c r="I64" s="51" t="s">
        <v>297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257</v>
      </c>
      <c r="C65" s="51" t="s">
        <v>287</v>
      </c>
      <c r="D65" s="51" t="s">
        <v>185</v>
      </c>
      <c r="E65" s="51" t="s">
        <v>262</v>
      </c>
      <c r="F65" s="51" t="n">
        <v>1</v>
      </c>
      <c r="G65" s="52" t="n">
        <v>324.56</v>
      </c>
      <c r="H65" s="52" t="n">
        <v>324.56</v>
      </c>
      <c r="I65" s="51" t="s">
        <v>297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257</v>
      </c>
      <c r="C66" s="51" t="s">
        <v>288</v>
      </c>
      <c r="D66" s="51" t="s">
        <v>179</v>
      </c>
      <c r="E66" s="51" t="s">
        <v>262</v>
      </c>
      <c r="F66" s="51" t="n">
        <v>11</v>
      </c>
      <c r="G66" s="52" t="n">
        <v>30</v>
      </c>
      <c r="H66" s="52" t="n">
        <f aca="false">F66*G66</f>
        <v>330</v>
      </c>
      <c r="I66" s="51" t="s">
        <v>285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257</v>
      </c>
      <c r="C67" s="51" t="s">
        <v>289</v>
      </c>
      <c r="D67" s="51" t="s">
        <v>186</v>
      </c>
      <c r="E67" s="51" t="s">
        <v>262</v>
      </c>
      <c r="F67" s="51" t="n">
        <v>1</v>
      </c>
      <c r="G67" s="52" t="n">
        <v>0</v>
      </c>
      <c r="H67" s="52" t="n">
        <f aca="false">F67*G67</f>
        <v>0</v>
      </c>
      <c r="I67" s="51" t="s">
        <v>298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264</v>
      </c>
      <c r="C68" s="51" t="s">
        <v>281</v>
      </c>
      <c r="D68" s="51" t="s">
        <v>220</v>
      </c>
      <c r="E68" s="51" t="s">
        <v>262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299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264</v>
      </c>
      <c r="C69" s="51" t="s">
        <v>281</v>
      </c>
      <c r="D69" s="51" t="s">
        <v>180</v>
      </c>
      <c r="E69" s="51" t="s">
        <v>262</v>
      </c>
      <c r="F69" s="51" t="n">
        <v>2</v>
      </c>
      <c r="G69" s="52" t="n">
        <v>28.31</v>
      </c>
      <c r="H69" s="52" t="n">
        <f aca="false">F69*G69</f>
        <v>56.62</v>
      </c>
      <c r="I69" s="51" t="s">
        <v>285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264</v>
      </c>
      <c r="C70" s="51" t="s">
        <v>281</v>
      </c>
      <c r="D70" s="51" t="s">
        <v>181</v>
      </c>
      <c r="E70" s="51" t="s">
        <v>262</v>
      </c>
      <c r="F70" s="51" t="n">
        <v>2</v>
      </c>
      <c r="G70" s="52" t="n">
        <v>47.79</v>
      </c>
      <c r="H70" s="52" t="n">
        <f aca="false">F70*G70</f>
        <v>95.58</v>
      </c>
      <c r="I70" s="51" t="s">
        <v>285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264</v>
      </c>
      <c r="C71" s="51" t="s">
        <v>44</v>
      </c>
      <c r="D71" s="51" t="s">
        <v>182</v>
      </c>
      <c r="E71" s="51" t="s">
        <v>262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285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264</v>
      </c>
      <c r="C72" s="51" t="s">
        <v>286</v>
      </c>
      <c r="D72" s="51" t="s">
        <v>157</v>
      </c>
      <c r="E72" s="51" t="s">
        <v>262</v>
      </c>
      <c r="F72" s="51" t="n">
        <v>2</v>
      </c>
      <c r="G72" s="52" t="n">
        <v>10.05</v>
      </c>
      <c r="H72" s="52" t="n">
        <f aca="false">F72*G72</f>
        <v>20.1</v>
      </c>
      <c r="I72" s="51" t="s">
        <v>285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264</v>
      </c>
      <c r="C73" s="51" t="s">
        <v>286</v>
      </c>
      <c r="D73" s="51" t="s">
        <v>158</v>
      </c>
      <c r="E73" s="51" t="s">
        <v>262</v>
      </c>
      <c r="F73" s="51" t="n">
        <v>2</v>
      </c>
      <c r="G73" s="52" t="n">
        <v>2.07</v>
      </c>
      <c r="H73" s="52" t="n">
        <f aca="false">F73*G73</f>
        <v>4.14</v>
      </c>
      <c r="I73" s="51" t="s">
        <v>285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264</v>
      </c>
      <c r="C74" s="51" t="s">
        <v>288</v>
      </c>
      <c r="D74" s="51" t="s">
        <v>179</v>
      </c>
      <c r="E74" s="51" t="s">
        <v>262</v>
      </c>
      <c r="F74" s="51" t="n">
        <v>2</v>
      </c>
      <c r="G74" s="52" t="n">
        <v>30</v>
      </c>
      <c r="H74" s="52" t="n">
        <f aca="false">F74*G74</f>
        <v>60</v>
      </c>
      <c r="I74" s="51" t="s">
        <v>285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264</v>
      </c>
      <c r="C75" s="51" t="s">
        <v>289</v>
      </c>
      <c r="D75" s="51" t="s">
        <v>186</v>
      </c>
      <c r="E75" s="51" t="s">
        <v>262</v>
      </c>
      <c r="F75" s="51" t="n">
        <v>1</v>
      </c>
      <c r="G75" s="52" t="n">
        <v>696.8</v>
      </c>
      <c r="H75" s="52" t="n">
        <f aca="false">F75*G75</f>
        <v>696.8</v>
      </c>
      <c r="I75" s="51" t="s">
        <v>295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257</v>
      </c>
      <c r="C76" s="51" t="s">
        <v>281</v>
      </c>
      <c r="D76" s="51" t="s">
        <v>220</v>
      </c>
      <c r="E76" s="51" t="s">
        <v>265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300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257</v>
      </c>
      <c r="C77" s="51" t="s">
        <v>281</v>
      </c>
      <c r="D77" s="51" t="s">
        <v>283</v>
      </c>
      <c r="E77" s="51" t="s">
        <v>265</v>
      </c>
      <c r="F77" s="51" t="n">
        <v>1</v>
      </c>
      <c r="G77" s="52" t="n">
        <v>570.86</v>
      </c>
      <c r="H77" s="52" t="n">
        <v>570.86</v>
      </c>
      <c r="I77" s="51" t="s">
        <v>301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257</v>
      </c>
      <c r="C78" s="51" t="s">
        <v>281</v>
      </c>
      <c r="D78" s="51" t="s">
        <v>180</v>
      </c>
      <c r="E78" s="51" t="s">
        <v>265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285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257</v>
      </c>
      <c r="C79" s="51" t="s">
        <v>281</v>
      </c>
      <c r="D79" s="51" t="s">
        <v>181</v>
      </c>
      <c r="E79" s="51" t="s">
        <v>265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285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257</v>
      </c>
      <c r="C80" s="51" t="s">
        <v>44</v>
      </c>
      <c r="D80" s="51" t="s">
        <v>182</v>
      </c>
      <c r="E80" s="51" t="s">
        <v>265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285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257</v>
      </c>
      <c r="C81" s="51" t="s">
        <v>44</v>
      </c>
      <c r="D81" s="51" t="s">
        <v>221</v>
      </c>
      <c r="E81" s="51" t="s">
        <v>265</v>
      </c>
      <c r="F81" s="51" t="n">
        <v>1</v>
      </c>
      <c r="G81" s="52" t="n">
        <v>65.57</v>
      </c>
      <c r="H81" s="52" t="n">
        <v>65.57</v>
      </c>
      <c r="I81" s="51" t="s">
        <v>301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257</v>
      </c>
      <c r="C82" s="51" t="s">
        <v>286</v>
      </c>
      <c r="D82" s="51" t="s">
        <v>157</v>
      </c>
      <c r="E82" s="51" t="s">
        <v>265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285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257</v>
      </c>
      <c r="C83" s="51" t="s">
        <v>286</v>
      </c>
      <c r="D83" s="51" t="s">
        <v>158</v>
      </c>
      <c r="E83" s="51" t="s">
        <v>265</v>
      </c>
      <c r="F83" s="51" t="n">
        <v>18</v>
      </c>
      <c r="G83" s="52" t="n">
        <v>2.07</v>
      </c>
      <c r="H83" s="52" t="n">
        <f aca="false">F83*G83</f>
        <v>37.26</v>
      </c>
      <c r="I83" s="51" t="s">
        <v>285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257</v>
      </c>
      <c r="C84" s="51" t="s">
        <v>287</v>
      </c>
      <c r="D84" s="51" t="s">
        <v>183</v>
      </c>
      <c r="E84" s="51" t="s">
        <v>265</v>
      </c>
      <c r="F84" s="51" t="n">
        <v>1</v>
      </c>
      <c r="G84" s="52" t="n">
        <v>352.84</v>
      </c>
      <c r="H84" s="52" t="n">
        <v>352.84</v>
      </c>
      <c r="I84" s="51" t="s">
        <v>301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257</v>
      </c>
      <c r="C85" s="51" t="s">
        <v>287</v>
      </c>
      <c r="D85" s="51" t="s">
        <v>185</v>
      </c>
      <c r="E85" s="51" t="s">
        <v>265</v>
      </c>
      <c r="F85" s="51" t="n">
        <v>1</v>
      </c>
      <c r="G85" s="52" t="n">
        <v>531.09</v>
      </c>
      <c r="H85" s="52" t="n">
        <v>531.09</v>
      </c>
      <c r="I85" s="51" t="s">
        <v>301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257</v>
      </c>
      <c r="C86" s="51" t="s">
        <v>288</v>
      </c>
      <c r="D86" s="51" t="s">
        <v>179</v>
      </c>
      <c r="E86" s="51" t="s">
        <v>265</v>
      </c>
      <c r="F86" s="51" t="n">
        <v>18</v>
      </c>
      <c r="G86" s="52" t="n">
        <v>30</v>
      </c>
      <c r="H86" s="52" t="n">
        <f aca="false">F86*G86</f>
        <v>540</v>
      </c>
      <c r="I86" s="51" t="s">
        <v>285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257</v>
      </c>
      <c r="C87" s="51" t="s">
        <v>289</v>
      </c>
      <c r="D87" s="51" t="s">
        <v>186</v>
      </c>
      <c r="E87" s="51" t="s">
        <v>265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302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266</v>
      </c>
      <c r="C88" s="51" t="s">
        <v>281</v>
      </c>
      <c r="D88" s="51" t="s">
        <v>220</v>
      </c>
      <c r="E88" s="51" t="s">
        <v>265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299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266</v>
      </c>
      <c r="C89" s="51" t="s">
        <v>281</v>
      </c>
      <c r="D89" s="51" t="s">
        <v>180</v>
      </c>
      <c r="E89" s="51" t="s">
        <v>265</v>
      </c>
      <c r="F89" s="51" t="n">
        <v>2</v>
      </c>
      <c r="G89" s="52" t="n">
        <v>28.31</v>
      </c>
      <c r="H89" s="52" t="n">
        <f aca="false">F89*G89</f>
        <v>56.62</v>
      </c>
      <c r="I89" s="51" t="s">
        <v>285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266</v>
      </c>
      <c r="C90" s="51" t="s">
        <v>281</v>
      </c>
      <c r="D90" s="51" t="s">
        <v>181</v>
      </c>
      <c r="E90" s="51" t="s">
        <v>265</v>
      </c>
      <c r="F90" s="51" t="n">
        <v>2</v>
      </c>
      <c r="G90" s="52" t="n">
        <v>47.79</v>
      </c>
      <c r="H90" s="52" t="n">
        <f aca="false">F90*G90</f>
        <v>95.58</v>
      </c>
      <c r="I90" s="51" t="s">
        <v>285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266</v>
      </c>
      <c r="C91" s="51" t="s">
        <v>44</v>
      </c>
      <c r="D91" s="51" t="s">
        <v>182</v>
      </c>
      <c r="E91" s="51" t="s">
        <v>265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285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266</v>
      </c>
      <c r="C92" s="51" t="s">
        <v>286</v>
      </c>
      <c r="D92" s="51" t="s">
        <v>157</v>
      </c>
      <c r="E92" s="51" t="s">
        <v>265</v>
      </c>
      <c r="F92" s="51" t="n">
        <v>2</v>
      </c>
      <c r="G92" s="52" t="n">
        <v>10.05</v>
      </c>
      <c r="H92" s="52" t="n">
        <f aca="false">F92*G92</f>
        <v>20.1</v>
      </c>
      <c r="I92" s="51" t="s">
        <v>285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266</v>
      </c>
      <c r="C93" s="51" t="s">
        <v>286</v>
      </c>
      <c r="D93" s="51" t="s">
        <v>158</v>
      </c>
      <c r="E93" s="51" t="s">
        <v>265</v>
      </c>
      <c r="F93" s="51" t="n">
        <v>2</v>
      </c>
      <c r="G93" s="52" t="n">
        <v>2.07</v>
      </c>
      <c r="H93" s="52" t="n">
        <f aca="false">F93*G93</f>
        <v>4.14</v>
      </c>
      <c r="I93" s="51" t="s">
        <v>285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266</v>
      </c>
      <c r="C94" s="51" t="s">
        <v>288</v>
      </c>
      <c r="D94" s="51" t="s">
        <v>179</v>
      </c>
      <c r="E94" s="51" t="s">
        <v>265</v>
      </c>
      <c r="F94" s="51" t="n">
        <v>2</v>
      </c>
      <c r="G94" s="52" t="n">
        <v>30</v>
      </c>
      <c r="H94" s="52" t="n">
        <f aca="false">F94*G94</f>
        <v>60</v>
      </c>
      <c r="I94" s="51" t="s">
        <v>285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266</v>
      </c>
      <c r="C95" s="51" t="s">
        <v>289</v>
      </c>
      <c r="D95" s="51" t="s">
        <v>186</v>
      </c>
      <c r="E95" s="51" t="s">
        <v>265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295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267</v>
      </c>
      <c r="C96" s="51" t="s">
        <v>281</v>
      </c>
      <c r="D96" s="51" t="s">
        <v>220</v>
      </c>
      <c r="E96" s="51" t="s">
        <v>265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303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267</v>
      </c>
      <c r="C97" s="51" t="s">
        <v>281</v>
      </c>
      <c r="D97" s="51" t="s">
        <v>180</v>
      </c>
      <c r="E97" s="51" t="s">
        <v>265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285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267</v>
      </c>
      <c r="C98" s="51" t="s">
        <v>281</v>
      </c>
      <c r="D98" s="51" t="s">
        <v>181</v>
      </c>
      <c r="E98" s="51" t="s">
        <v>265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285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267</v>
      </c>
      <c r="C99" s="51" t="s">
        <v>44</v>
      </c>
      <c r="D99" s="51" t="s">
        <v>182</v>
      </c>
      <c r="E99" s="51" t="s">
        <v>265</v>
      </c>
      <c r="F99" s="51" t="n">
        <v>5</v>
      </c>
      <c r="G99" s="52" t="n">
        <v>64.54</v>
      </c>
      <c r="H99" s="52" t="n">
        <f aca="false">F99*G99</f>
        <v>322.7</v>
      </c>
      <c r="I99" s="51" t="s">
        <v>285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267</v>
      </c>
      <c r="C100" s="51" t="s">
        <v>286</v>
      </c>
      <c r="D100" s="51" t="s">
        <v>157</v>
      </c>
      <c r="E100" s="51" t="s">
        <v>265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285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267</v>
      </c>
      <c r="C101" s="51" t="s">
        <v>286</v>
      </c>
      <c r="D101" s="51" t="s">
        <v>158</v>
      </c>
      <c r="E101" s="51" t="s">
        <v>265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285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267</v>
      </c>
      <c r="C102" s="51" t="s">
        <v>287</v>
      </c>
      <c r="D102" s="51" t="s">
        <v>185</v>
      </c>
      <c r="E102" s="51" t="s">
        <v>265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304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267</v>
      </c>
      <c r="C103" s="51" t="s">
        <v>288</v>
      </c>
      <c r="D103" s="51" t="s">
        <v>179</v>
      </c>
      <c r="E103" s="51" t="s">
        <v>265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285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267</v>
      </c>
      <c r="C104" s="51" t="s">
        <v>289</v>
      </c>
      <c r="D104" s="51" t="s">
        <v>186</v>
      </c>
      <c r="E104" s="51" t="s">
        <v>265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295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269</v>
      </c>
      <c r="C105" s="51" t="s">
        <v>281</v>
      </c>
      <c r="D105" s="51" t="s">
        <v>220</v>
      </c>
      <c r="E105" s="51" t="s">
        <v>268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305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269</v>
      </c>
      <c r="C106" s="51" t="s">
        <v>281</v>
      </c>
      <c r="D106" s="51" t="s">
        <v>180</v>
      </c>
      <c r="E106" s="51" t="s">
        <v>268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285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269</v>
      </c>
      <c r="C107" s="51" t="s">
        <v>281</v>
      </c>
      <c r="D107" s="51" t="s">
        <v>181</v>
      </c>
      <c r="E107" s="51" t="s">
        <v>268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285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269</v>
      </c>
      <c r="C108" s="51" t="s">
        <v>44</v>
      </c>
      <c r="D108" s="51" t="s">
        <v>182</v>
      </c>
      <c r="E108" s="51" t="s">
        <v>268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285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269</v>
      </c>
      <c r="C109" s="51" t="s">
        <v>44</v>
      </c>
      <c r="D109" s="51" t="s">
        <v>221</v>
      </c>
      <c r="E109" s="51" t="s">
        <v>268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306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269</v>
      </c>
      <c r="C110" s="51" t="s">
        <v>286</v>
      </c>
      <c r="D110" s="51" t="s">
        <v>157</v>
      </c>
      <c r="E110" s="51" t="s">
        <v>268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285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269</v>
      </c>
      <c r="C111" s="51" t="s">
        <v>286</v>
      </c>
      <c r="D111" s="51" t="s">
        <v>158</v>
      </c>
      <c r="E111" s="51" t="s">
        <v>268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285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269</v>
      </c>
      <c r="C112" s="51" t="s">
        <v>287</v>
      </c>
      <c r="D112" s="51" t="s">
        <v>183</v>
      </c>
      <c r="E112" s="51" t="s">
        <v>268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306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269</v>
      </c>
      <c r="C113" s="51" t="s">
        <v>287</v>
      </c>
      <c r="D113" s="51" t="s">
        <v>185</v>
      </c>
      <c r="E113" s="51" t="s">
        <v>268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306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269</v>
      </c>
      <c r="C114" s="51" t="s">
        <v>288</v>
      </c>
      <c r="D114" s="51" t="s">
        <v>179</v>
      </c>
      <c r="E114" s="51" t="s">
        <v>268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285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272</v>
      </c>
      <c r="C115" s="51" t="s">
        <v>281</v>
      </c>
      <c r="D115" s="51" t="s">
        <v>220</v>
      </c>
      <c r="E115" s="51" t="s">
        <v>268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307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272</v>
      </c>
      <c r="C116" s="51" t="s">
        <v>281</v>
      </c>
      <c r="D116" s="51" t="s">
        <v>283</v>
      </c>
      <c r="E116" s="51" t="s">
        <v>268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297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272</v>
      </c>
      <c r="C117" s="51" t="s">
        <v>281</v>
      </c>
      <c r="D117" s="51" t="s">
        <v>180</v>
      </c>
      <c r="E117" s="51" t="s">
        <v>268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285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272</v>
      </c>
      <c r="C118" s="51" t="s">
        <v>281</v>
      </c>
      <c r="D118" s="51" t="s">
        <v>181</v>
      </c>
      <c r="E118" s="51" t="s">
        <v>268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285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272</v>
      </c>
      <c r="C119" s="51" t="s">
        <v>44</v>
      </c>
      <c r="D119" s="51" t="s">
        <v>182</v>
      </c>
      <c r="E119" s="51" t="s">
        <v>268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285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272</v>
      </c>
      <c r="C120" s="51" t="s">
        <v>44</v>
      </c>
      <c r="D120" s="51" t="s">
        <v>221</v>
      </c>
      <c r="E120" s="51" t="s">
        <v>268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297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272</v>
      </c>
      <c r="C121" s="51" t="s">
        <v>286</v>
      </c>
      <c r="D121" s="51" t="s">
        <v>157</v>
      </c>
      <c r="E121" s="51" t="s">
        <v>268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285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272</v>
      </c>
      <c r="C122" s="51" t="s">
        <v>286</v>
      </c>
      <c r="D122" s="51" t="s">
        <v>158</v>
      </c>
      <c r="E122" s="51" t="s">
        <v>268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285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272</v>
      </c>
      <c r="C123" s="51" t="s">
        <v>288</v>
      </c>
      <c r="D123" s="51" t="s">
        <v>179</v>
      </c>
      <c r="E123" s="51" t="s">
        <v>268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285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272</v>
      </c>
      <c r="C124" s="51" t="s">
        <v>289</v>
      </c>
      <c r="D124" s="51" t="s">
        <v>186</v>
      </c>
      <c r="E124" s="51" t="s">
        <v>268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295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275</v>
      </c>
      <c r="C125" s="51" t="s">
        <v>281</v>
      </c>
      <c r="D125" s="51" t="s">
        <v>220</v>
      </c>
      <c r="E125" s="51" t="s">
        <v>274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308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275</v>
      </c>
      <c r="C126" s="51" t="s">
        <v>281</v>
      </c>
      <c r="D126" s="51" t="s">
        <v>180</v>
      </c>
      <c r="E126" s="51" t="s">
        <v>274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285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275</v>
      </c>
      <c r="C127" s="51" t="s">
        <v>281</v>
      </c>
      <c r="D127" s="51" t="s">
        <v>181</v>
      </c>
      <c r="E127" s="51" t="s">
        <v>274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285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275</v>
      </c>
      <c r="C128" s="51" t="s">
        <v>44</v>
      </c>
      <c r="D128" s="51" t="s">
        <v>182</v>
      </c>
      <c r="E128" s="51" t="s">
        <v>274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285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275</v>
      </c>
      <c r="C129" s="51" t="s">
        <v>286</v>
      </c>
      <c r="D129" s="51" t="s">
        <v>157</v>
      </c>
      <c r="E129" s="51" t="s">
        <v>274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285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275</v>
      </c>
      <c r="C130" s="51" t="s">
        <v>286</v>
      </c>
      <c r="D130" s="51" t="s">
        <v>158</v>
      </c>
      <c r="E130" s="51" t="s">
        <v>274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285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275</v>
      </c>
      <c r="C131" s="51" t="s">
        <v>288</v>
      </c>
      <c r="D131" s="51" t="s">
        <v>179</v>
      </c>
      <c r="E131" s="51" t="s">
        <v>274</v>
      </c>
      <c r="F131" s="51" t="n">
        <v>1</v>
      </c>
      <c r="G131" s="52" t="n">
        <v>30</v>
      </c>
      <c r="H131" s="52" t="n">
        <f aca="false">F131*G131</f>
        <v>30</v>
      </c>
      <c r="I131" s="51" t="s">
        <v>285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257</v>
      </c>
      <c r="C132" s="51" t="s">
        <v>281</v>
      </c>
      <c r="D132" s="51" t="s">
        <v>220</v>
      </c>
      <c r="E132" s="51" t="s">
        <v>256</v>
      </c>
      <c r="F132" s="51" t="n">
        <v>1</v>
      </c>
      <c r="G132" s="52" t="n">
        <v>70601.0801777777</v>
      </c>
      <c r="H132" s="52" t="n">
        <v>70601.0801777777</v>
      </c>
      <c r="I132" s="51" t="s">
        <v>309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257</v>
      </c>
      <c r="C133" s="51" t="s">
        <v>281</v>
      </c>
      <c r="D133" s="51" t="s">
        <v>283</v>
      </c>
      <c r="E133" s="51" t="s">
        <v>256</v>
      </c>
      <c r="F133" s="51" t="n">
        <v>1</v>
      </c>
      <c r="G133" s="52" t="n">
        <v>2724.43</v>
      </c>
      <c r="H133" s="52" t="n">
        <v>2724.43</v>
      </c>
      <c r="I133" s="51" t="s">
        <v>284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257</v>
      </c>
      <c r="C134" s="51" t="s">
        <v>281</v>
      </c>
      <c r="D134" s="51" t="s">
        <v>180</v>
      </c>
      <c r="E134" s="51" t="s">
        <v>256</v>
      </c>
      <c r="F134" s="51" t="n">
        <v>39</v>
      </c>
      <c r="G134" s="52" t="n">
        <v>28.31</v>
      </c>
      <c r="H134" s="52" t="n">
        <v>1104.09</v>
      </c>
      <c r="I134" s="51" t="s">
        <v>285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257</v>
      </c>
      <c r="C135" s="51" t="s">
        <v>281</v>
      </c>
      <c r="D135" s="51" t="s">
        <v>181</v>
      </c>
      <c r="E135" s="51" t="s">
        <v>256</v>
      </c>
      <c r="F135" s="51" t="n">
        <v>39</v>
      </c>
      <c r="G135" s="52" t="n">
        <v>47.79</v>
      </c>
      <c r="H135" s="52" t="n">
        <v>1863.81</v>
      </c>
      <c r="I135" s="51" t="s">
        <v>285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257</v>
      </c>
      <c r="C136" s="51" t="s">
        <v>44</v>
      </c>
      <c r="D136" s="51" t="s">
        <v>221</v>
      </c>
      <c r="E136" s="51" t="s">
        <v>256</v>
      </c>
      <c r="F136" s="51" t="n">
        <v>1</v>
      </c>
      <c r="G136" s="52" t="n">
        <v>373.29</v>
      </c>
      <c r="H136" s="52" t="n">
        <v>373.29</v>
      </c>
      <c r="I136" s="51" t="s">
        <v>284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257</v>
      </c>
      <c r="C137" s="51" t="s">
        <v>44</v>
      </c>
      <c r="D137" s="51" t="s">
        <v>182</v>
      </c>
      <c r="E137" s="51" t="s">
        <v>256</v>
      </c>
      <c r="F137" s="51" t="n">
        <v>39</v>
      </c>
      <c r="G137" s="52" t="n">
        <v>64.57</v>
      </c>
      <c r="H137" s="52" t="n">
        <v>2518.23</v>
      </c>
      <c r="I137" s="51" t="s">
        <v>285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257</v>
      </c>
      <c r="C138" s="51" t="s">
        <v>286</v>
      </c>
      <c r="D138" s="51" t="s">
        <v>157</v>
      </c>
      <c r="E138" s="51" t="s">
        <v>256</v>
      </c>
      <c r="F138" s="51" t="n">
        <v>39</v>
      </c>
      <c r="G138" s="52" t="n">
        <v>10.05</v>
      </c>
      <c r="H138" s="52" t="n">
        <v>391.95</v>
      </c>
      <c r="I138" s="51" t="s">
        <v>285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257</v>
      </c>
      <c r="C139" s="51" t="s">
        <v>286</v>
      </c>
      <c r="D139" s="51" t="s">
        <v>158</v>
      </c>
      <c r="E139" s="51" t="s">
        <v>256</v>
      </c>
      <c r="F139" s="51" t="n">
        <v>39</v>
      </c>
      <c r="G139" s="52" t="n">
        <v>2.07</v>
      </c>
      <c r="H139" s="52" t="n">
        <v>80.73</v>
      </c>
      <c r="I139" s="51" t="s">
        <v>285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257</v>
      </c>
      <c r="C140" s="51" t="s">
        <v>287</v>
      </c>
      <c r="D140" s="51" t="s">
        <v>183</v>
      </c>
      <c r="E140" s="51" t="s">
        <v>256</v>
      </c>
      <c r="F140" s="51" t="n">
        <v>1</v>
      </c>
      <c r="G140" s="52" t="n">
        <v>71.78</v>
      </c>
      <c r="H140" s="52" t="n">
        <v>71.78</v>
      </c>
      <c r="I140" s="51" t="s">
        <v>284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257</v>
      </c>
      <c r="C141" s="51" t="s">
        <v>287</v>
      </c>
      <c r="D141" s="51" t="s">
        <v>184</v>
      </c>
      <c r="E141" s="51" t="s">
        <v>256</v>
      </c>
      <c r="F141" s="51" t="n">
        <v>1</v>
      </c>
      <c r="G141" s="52" t="n">
        <v>-105.55</v>
      </c>
      <c r="H141" s="52" t="n">
        <v>-105.55</v>
      </c>
      <c r="I141" s="51" t="s">
        <v>284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257</v>
      </c>
      <c r="C142" s="51" t="s">
        <v>287</v>
      </c>
      <c r="D142" s="51" t="s">
        <v>185</v>
      </c>
      <c r="E142" s="51" t="s">
        <v>256</v>
      </c>
      <c r="F142" s="51" t="n">
        <v>1</v>
      </c>
      <c r="G142" s="52" t="n">
        <v>111.85</v>
      </c>
      <c r="H142" s="52" t="n">
        <v>111.85</v>
      </c>
      <c r="I142" s="51" t="s">
        <v>284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257</v>
      </c>
      <c r="C143" s="51" t="s">
        <v>288</v>
      </c>
      <c r="D143" s="51" t="s">
        <v>179</v>
      </c>
      <c r="E143" s="51" t="s">
        <v>256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285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257</v>
      </c>
      <c r="C144" s="51" t="s">
        <v>310</v>
      </c>
      <c r="D144" s="51" t="s">
        <v>311</v>
      </c>
      <c r="E144" s="51" t="s">
        <v>256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312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257</v>
      </c>
      <c r="C145" s="51" t="s">
        <v>289</v>
      </c>
      <c r="D145" s="51" t="s">
        <v>186</v>
      </c>
      <c r="E145" s="51" t="s">
        <v>256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313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257</v>
      </c>
      <c r="C146" s="51" t="s">
        <v>281</v>
      </c>
      <c r="D146" s="51" t="s">
        <v>220</v>
      </c>
      <c r="E146" s="51" t="s">
        <v>259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291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257</v>
      </c>
      <c r="C147" s="51" t="s">
        <v>281</v>
      </c>
      <c r="D147" s="51" t="s">
        <v>283</v>
      </c>
      <c r="E147" s="51" t="s">
        <v>259</v>
      </c>
      <c r="F147" s="51" t="n">
        <v>1</v>
      </c>
      <c r="G147" s="52" t="n">
        <v>628.71</v>
      </c>
      <c r="H147" s="52" t="n">
        <v>628.71</v>
      </c>
      <c r="I147" s="51" t="s">
        <v>292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257</v>
      </c>
      <c r="C148" s="51" t="s">
        <v>281</v>
      </c>
      <c r="D148" s="51" t="s">
        <v>180</v>
      </c>
      <c r="E148" s="51" t="s">
        <v>259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285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257</v>
      </c>
      <c r="C149" s="51" t="s">
        <v>281</v>
      </c>
      <c r="D149" s="51" t="s">
        <v>181</v>
      </c>
      <c r="E149" s="51" t="s">
        <v>259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285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257</v>
      </c>
      <c r="C150" s="51" t="s">
        <v>44</v>
      </c>
      <c r="D150" s="51" t="s">
        <v>221</v>
      </c>
      <c r="E150" s="51" t="s">
        <v>259</v>
      </c>
      <c r="F150" s="51" t="n">
        <v>1</v>
      </c>
      <c r="G150" s="52" t="n">
        <v>86.14</v>
      </c>
      <c r="H150" s="52" t="n">
        <v>86.14</v>
      </c>
      <c r="I150" s="51" t="s">
        <v>292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257</v>
      </c>
      <c r="C151" s="51" t="s">
        <v>44</v>
      </c>
      <c r="D151" s="51" t="s">
        <v>182</v>
      </c>
      <c r="E151" s="51" t="s">
        <v>259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285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257</v>
      </c>
      <c r="C152" s="51" t="s">
        <v>286</v>
      </c>
      <c r="D152" s="51" t="s">
        <v>157</v>
      </c>
      <c r="E152" s="51" t="s">
        <v>259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285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257</v>
      </c>
      <c r="C153" s="51" t="s">
        <v>286</v>
      </c>
      <c r="D153" s="51" t="s">
        <v>158</v>
      </c>
      <c r="E153" s="51" t="s">
        <v>259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285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257</v>
      </c>
      <c r="C154" s="51" t="s">
        <v>287</v>
      </c>
      <c r="D154" s="51" t="s">
        <v>183</v>
      </c>
      <c r="E154" s="51" t="s">
        <v>259</v>
      </c>
      <c r="F154" s="51" t="n">
        <v>1</v>
      </c>
      <c r="G154" s="52" t="n">
        <v>16.56</v>
      </c>
      <c r="H154" s="52" t="n">
        <v>16.56</v>
      </c>
      <c r="I154" s="51" t="s">
        <v>292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257</v>
      </c>
      <c r="C155" s="51" t="s">
        <v>287</v>
      </c>
      <c r="D155" s="51" t="s">
        <v>184</v>
      </c>
      <c r="E155" s="51" t="s">
        <v>259</v>
      </c>
      <c r="F155" s="51" t="n">
        <v>1</v>
      </c>
      <c r="G155" s="52" t="n">
        <v>-24.36</v>
      </c>
      <c r="H155" s="52" t="n">
        <v>-24.36</v>
      </c>
      <c r="I155" s="51" t="s">
        <v>292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257</v>
      </c>
      <c r="C156" s="51" t="s">
        <v>287</v>
      </c>
      <c r="D156" s="51" t="s">
        <v>185</v>
      </c>
      <c r="E156" s="51" t="s">
        <v>259</v>
      </c>
      <c r="F156" s="51" t="n">
        <v>1</v>
      </c>
      <c r="G156" s="52" t="n">
        <v>25.81</v>
      </c>
      <c r="H156" s="52" t="n">
        <v>25.81</v>
      </c>
      <c r="I156" s="51" t="s">
        <v>292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257</v>
      </c>
      <c r="C157" s="51" t="s">
        <v>288</v>
      </c>
      <c r="D157" s="51" t="s">
        <v>179</v>
      </c>
      <c r="E157" s="51" t="s">
        <v>259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285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257</v>
      </c>
      <c r="C158" s="51" t="s">
        <v>281</v>
      </c>
      <c r="D158" s="51" t="s">
        <v>220</v>
      </c>
      <c r="E158" s="51" t="s">
        <v>261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293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257</v>
      </c>
      <c r="C159" s="51" t="s">
        <v>281</v>
      </c>
      <c r="D159" s="51" t="s">
        <v>314</v>
      </c>
      <c r="E159" s="51" t="s">
        <v>261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315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257</v>
      </c>
      <c r="C160" s="51" t="s">
        <v>281</v>
      </c>
      <c r="D160" s="51" t="s">
        <v>283</v>
      </c>
      <c r="E160" s="51" t="s">
        <v>261</v>
      </c>
      <c r="F160" s="51" t="n">
        <v>1</v>
      </c>
      <c r="G160" s="52" t="n">
        <v>489</v>
      </c>
      <c r="H160" s="52" t="n">
        <v>489</v>
      </c>
      <c r="I160" s="51" t="s">
        <v>294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257</v>
      </c>
      <c r="C161" s="51" t="s">
        <v>281</v>
      </c>
      <c r="D161" s="51" t="s">
        <v>180</v>
      </c>
      <c r="E161" s="51" t="s">
        <v>261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285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257</v>
      </c>
      <c r="C162" s="51" t="s">
        <v>281</v>
      </c>
      <c r="D162" s="51" t="s">
        <v>181</v>
      </c>
      <c r="E162" s="51" t="s">
        <v>261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285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257</v>
      </c>
      <c r="C163" s="51" t="s">
        <v>44</v>
      </c>
      <c r="D163" s="51" t="s">
        <v>221</v>
      </c>
      <c r="E163" s="51" t="s">
        <v>261</v>
      </c>
      <c r="F163" s="51" t="n">
        <v>1</v>
      </c>
      <c r="G163" s="52" t="n">
        <v>67</v>
      </c>
      <c r="H163" s="52" t="n">
        <v>67</v>
      </c>
      <c r="I163" s="51" t="s">
        <v>294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257</v>
      </c>
      <c r="C164" s="51" t="s">
        <v>44</v>
      </c>
      <c r="D164" s="51" t="s">
        <v>182</v>
      </c>
      <c r="E164" s="51" t="s">
        <v>261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285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257</v>
      </c>
      <c r="C165" s="51" t="s">
        <v>286</v>
      </c>
      <c r="D165" s="51" t="s">
        <v>157</v>
      </c>
      <c r="E165" s="51" t="s">
        <v>261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285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257</v>
      </c>
      <c r="C166" s="51" t="s">
        <v>286</v>
      </c>
      <c r="D166" s="51" t="s">
        <v>158</v>
      </c>
      <c r="E166" s="51" t="s">
        <v>261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285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257</v>
      </c>
      <c r="C167" s="51" t="s">
        <v>287</v>
      </c>
      <c r="D167" s="51" t="s">
        <v>183</v>
      </c>
      <c r="E167" s="51" t="s">
        <v>261</v>
      </c>
      <c r="F167" s="51" t="n">
        <v>1</v>
      </c>
      <c r="G167" s="52" t="n">
        <v>12.88</v>
      </c>
      <c r="H167" s="52" t="n">
        <v>12.88</v>
      </c>
      <c r="I167" s="51" t="s">
        <v>294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257</v>
      </c>
      <c r="C168" s="51" t="s">
        <v>287</v>
      </c>
      <c r="D168" s="51" t="s">
        <v>184</v>
      </c>
      <c r="E168" s="51" t="s">
        <v>261</v>
      </c>
      <c r="F168" s="51" t="n">
        <v>1</v>
      </c>
      <c r="G168" s="52" t="n">
        <v>-18.95</v>
      </c>
      <c r="H168" s="52" t="n">
        <v>-18.95</v>
      </c>
      <c r="I168" s="51" t="s">
        <v>294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257</v>
      </c>
      <c r="C169" s="51" t="s">
        <v>287</v>
      </c>
      <c r="D169" s="51" t="s">
        <v>185</v>
      </c>
      <c r="E169" s="51" t="s">
        <v>261</v>
      </c>
      <c r="F169" s="51" t="n">
        <v>1</v>
      </c>
      <c r="G169" s="52" t="n">
        <v>20.07</v>
      </c>
      <c r="H169" s="52" t="n">
        <v>20.07</v>
      </c>
      <c r="I169" s="51" t="s">
        <v>294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257</v>
      </c>
      <c r="C170" s="51" t="s">
        <v>288</v>
      </c>
      <c r="D170" s="51" t="s">
        <v>179</v>
      </c>
      <c r="E170" s="51" t="s">
        <v>261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285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257</v>
      </c>
      <c r="C171" s="51" t="s">
        <v>310</v>
      </c>
      <c r="D171" s="51" t="s">
        <v>311</v>
      </c>
      <c r="E171" s="51" t="s">
        <v>261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312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257</v>
      </c>
      <c r="C172" s="51" t="s">
        <v>289</v>
      </c>
      <c r="D172" s="51" t="s">
        <v>186</v>
      </c>
      <c r="E172" s="51" t="s">
        <v>261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295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257</v>
      </c>
      <c r="C173" s="51" t="s">
        <v>281</v>
      </c>
      <c r="D173" s="51" t="s">
        <v>220</v>
      </c>
      <c r="E173" s="51" t="s">
        <v>262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316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257</v>
      </c>
      <c r="C174" s="51" t="s">
        <v>281</v>
      </c>
      <c r="D174" s="51" t="s">
        <v>283</v>
      </c>
      <c r="E174" s="51" t="s">
        <v>262</v>
      </c>
      <c r="F174" s="51" t="n">
        <v>1</v>
      </c>
      <c r="G174" s="52" t="n">
        <v>768.43</v>
      </c>
      <c r="H174" s="52" t="n">
        <v>768.43</v>
      </c>
      <c r="I174" s="51" t="s">
        <v>297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257</v>
      </c>
      <c r="C175" s="51" t="s">
        <v>281</v>
      </c>
      <c r="D175" s="51" t="s">
        <v>180</v>
      </c>
      <c r="E175" s="51" t="s">
        <v>262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285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257</v>
      </c>
      <c r="C176" s="51" t="s">
        <v>281</v>
      </c>
      <c r="D176" s="51" t="s">
        <v>181</v>
      </c>
      <c r="E176" s="51" t="s">
        <v>262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285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257</v>
      </c>
      <c r="C177" s="51" t="s">
        <v>44</v>
      </c>
      <c r="D177" s="51" t="s">
        <v>221</v>
      </c>
      <c r="E177" s="51" t="s">
        <v>262</v>
      </c>
      <c r="F177" s="51" t="n">
        <v>1</v>
      </c>
      <c r="G177" s="52" t="n">
        <v>105.29</v>
      </c>
      <c r="H177" s="52" t="n">
        <v>105.29</v>
      </c>
      <c r="I177" s="51" t="s">
        <v>297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257</v>
      </c>
      <c r="C178" s="51" t="s">
        <v>44</v>
      </c>
      <c r="D178" s="51" t="s">
        <v>182</v>
      </c>
      <c r="E178" s="51" t="s">
        <v>262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285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257</v>
      </c>
      <c r="C179" s="51" t="s">
        <v>286</v>
      </c>
      <c r="D179" s="51" t="s">
        <v>157</v>
      </c>
      <c r="E179" s="51" t="s">
        <v>262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285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257</v>
      </c>
      <c r="C180" s="51" t="s">
        <v>286</v>
      </c>
      <c r="D180" s="51" t="s">
        <v>158</v>
      </c>
      <c r="E180" s="51" t="s">
        <v>262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285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257</v>
      </c>
      <c r="C181" s="51" t="s">
        <v>287</v>
      </c>
      <c r="D181" s="51" t="s">
        <v>183</v>
      </c>
      <c r="E181" s="51" t="s">
        <v>262</v>
      </c>
      <c r="F181" s="51" t="n">
        <v>1</v>
      </c>
      <c r="G181" s="52" t="n">
        <v>20.25</v>
      </c>
      <c r="H181" s="52" t="n">
        <v>20.25</v>
      </c>
      <c r="I181" s="51" t="s">
        <v>297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257</v>
      </c>
      <c r="C182" s="51" t="s">
        <v>287</v>
      </c>
      <c r="D182" s="51" t="s">
        <v>184</v>
      </c>
      <c r="E182" s="51" t="s">
        <v>262</v>
      </c>
      <c r="F182" s="51" t="n">
        <v>1</v>
      </c>
      <c r="G182" s="52" t="n">
        <v>-29.77</v>
      </c>
      <c r="H182" s="52" t="n">
        <v>-29.77</v>
      </c>
      <c r="I182" s="51" t="s">
        <v>297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257</v>
      </c>
      <c r="C183" s="51" t="s">
        <v>287</v>
      </c>
      <c r="D183" s="51" t="s">
        <v>185</v>
      </c>
      <c r="E183" s="51" t="s">
        <v>262</v>
      </c>
      <c r="F183" s="51" t="n">
        <v>1</v>
      </c>
      <c r="G183" s="52" t="n">
        <v>31.55</v>
      </c>
      <c r="H183" s="52" t="n">
        <v>31.55</v>
      </c>
      <c r="I183" s="51" t="s">
        <v>297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257</v>
      </c>
      <c r="C184" s="51" t="s">
        <v>288</v>
      </c>
      <c r="D184" s="51" t="s">
        <v>179</v>
      </c>
      <c r="E184" s="51" t="s">
        <v>262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285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257</v>
      </c>
      <c r="C185" s="51" t="s">
        <v>310</v>
      </c>
      <c r="D185" s="51" t="s">
        <v>311</v>
      </c>
      <c r="E185" s="51" t="s">
        <v>262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312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257</v>
      </c>
      <c r="C186" s="51" t="s">
        <v>289</v>
      </c>
      <c r="D186" s="51" t="s">
        <v>186</v>
      </c>
      <c r="E186" s="51" t="s">
        <v>262</v>
      </c>
      <c r="F186" s="51" t="n">
        <v>1</v>
      </c>
      <c r="G186" s="52" t="n">
        <v>0</v>
      </c>
      <c r="H186" s="52" t="n">
        <f aca="false">F186*G186</f>
        <v>0</v>
      </c>
      <c r="I186" s="51" t="s">
        <v>317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264</v>
      </c>
      <c r="C187" s="51" t="s">
        <v>281</v>
      </c>
      <c r="D187" s="51" t="s">
        <v>220</v>
      </c>
      <c r="E187" s="51" t="s">
        <v>262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299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264</v>
      </c>
      <c r="C188" s="51" t="s">
        <v>281</v>
      </c>
      <c r="D188" s="51" t="s">
        <v>314</v>
      </c>
      <c r="E188" s="51" t="s">
        <v>262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315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264</v>
      </c>
      <c r="C189" s="51" t="s">
        <v>281</v>
      </c>
      <c r="D189" s="51" t="s">
        <v>180</v>
      </c>
      <c r="E189" s="51" t="s">
        <v>262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285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264</v>
      </c>
      <c r="C190" s="51" t="s">
        <v>281</v>
      </c>
      <c r="D190" s="51" t="s">
        <v>181</v>
      </c>
      <c r="E190" s="51" t="s">
        <v>262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285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264</v>
      </c>
      <c r="C191" s="51" t="s">
        <v>44</v>
      </c>
      <c r="D191" s="51" t="s">
        <v>182</v>
      </c>
      <c r="E191" s="51" t="s">
        <v>262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285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264</v>
      </c>
      <c r="C192" s="51" t="s">
        <v>286</v>
      </c>
      <c r="D192" s="51" t="s">
        <v>157</v>
      </c>
      <c r="E192" s="51" t="s">
        <v>262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285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264</v>
      </c>
      <c r="C193" s="51" t="s">
        <v>286</v>
      </c>
      <c r="D193" s="51" t="s">
        <v>158</v>
      </c>
      <c r="E193" s="51" t="s">
        <v>262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285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264</v>
      </c>
      <c r="C194" s="51" t="s">
        <v>287</v>
      </c>
      <c r="D194" s="51" t="s">
        <v>318</v>
      </c>
      <c r="E194" s="51" t="s">
        <v>262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319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264</v>
      </c>
      <c r="C195" s="51" t="s">
        <v>288</v>
      </c>
      <c r="D195" s="51" t="s">
        <v>179</v>
      </c>
      <c r="E195" s="51" t="s">
        <v>262</v>
      </c>
      <c r="F195" s="51" t="n">
        <v>2</v>
      </c>
      <c r="G195" s="52" t="n">
        <v>30</v>
      </c>
      <c r="H195" s="52" t="n">
        <f aca="false">F195*G195</f>
        <v>60</v>
      </c>
      <c r="I195" s="51" t="s">
        <v>285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264</v>
      </c>
      <c r="C196" s="51" t="s">
        <v>310</v>
      </c>
      <c r="D196" s="51" t="s">
        <v>320</v>
      </c>
      <c r="E196" s="51" t="s">
        <v>262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312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264</v>
      </c>
      <c r="C197" s="51" t="s">
        <v>289</v>
      </c>
      <c r="D197" s="51" t="s">
        <v>186</v>
      </c>
      <c r="E197" s="51" t="s">
        <v>262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295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257</v>
      </c>
      <c r="C198" s="51" t="s">
        <v>281</v>
      </c>
      <c r="D198" s="51" t="s">
        <v>220</v>
      </c>
      <c r="E198" s="51" t="s">
        <v>265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321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257</v>
      </c>
      <c r="C199" s="51" t="s">
        <v>281</v>
      </c>
      <c r="D199" s="51" t="s">
        <v>314</v>
      </c>
      <c r="E199" s="51" t="s">
        <v>265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315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257</v>
      </c>
      <c r="C200" s="51" t="s">
        <v>281</v>
      </c>
      <c r="D200" s="51" t="s">
        <v>283</v>
      </c>
      <c r="E200" s="51" t="s">
        <v>265</v>
      </c>
      <c r="F200" s="51" t="n">
        <v>1</v>
      </c>
      <c r="G200" s="52" t="n">
        <v>1257.43</v>
      </c>
      <c r="H200" s="52" t="n">
        <v>1257.43</v>
      </c>
      <c r="I200" s="51" t="s">
        <v>301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257</v>
      </c>
      <c r="C201" s="51" t="s">
        <v>281</v>
      </c>
      <c r="D201" s="51" t="s">
        <v>180</v>
      </c>
      <c r="E201" s="51" t="s">
        <v>265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285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257</v>
      </c>
      <c r="C202" s="51" t="s">
        <v>281</v>
      </c>
      <c r="D202" s="51" t="s">
        <v>181</v>
      </c>
      <c r="E202" s="51" t="s">
        <v>265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285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257</v>
      </c>
      <c r="C203" s="51" t="s">
        <v>44</v>
      </c>
      <c r="D203" s="51" t="s">
        <v>221</v>
      </c>
      <c r="E203" s="51" t="s">
        <v>265</v>
      </c>
      <c r="F203" s="51" t="n">
        <v>1</v>
      </c>
      <c r="G203" s="52" t="n">
        <v>172.29</v>
      </c>
      <c r="H203" s="52" t="n">
        <v>172.29</v>
      </c>
      <c r="I203" s="51" t="s">
        <v>301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257</v>
      </c>
      <c r="C204" s="51" t="s">
        <v>44</v>
      </c>
      <c r="D204" s="51" t="s">
        <v>182</v>
      </c>
      <c r="E204" s="51" t="s">
        <v>265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285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257</v>
      </c>
      <c r="C205" s="51" t="s">
        <v>286</v>
      </c>
      <c r="D205" s="51" t="s">
        <v>157</v>
      </c>
      <c r="E205" s="51" t="s">
        <v>265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285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257</v>
      </c>
      <c r="C206" s="51" t="s">
        <v>286</v>
      </c>
      <c r="D206" s="51" t="s">
        <v>158</v>
      </c>
      <c r="E206" s="51" t="s">
        <v>265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285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257</v>
      </c>
      <c r="C207" s="51" t="s">
        <v>287</v>
      </c>
      <c r="D207" s="51" t="s">
        <v>183</v>
      </c>
      <c r="E207" s="51" t="s">
        <v>265</v>
      </c>
      <c r="F207" s="51" t="n">
        <v>1</v>
      </c>
      <c r="G207" s="52" t="n">
        <v>33.13</v>
      </c>
      <c r="H207" s="52" t="n">
        <v>33.13</v>
      </c>
      <c r="I207" s="51" t="s">
        <v>301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257</v>
      </c>
      <c r="C208" s="51" t="s">
        <v>287</v>
      </c>
      <c r="D208" s="51" t="s">
        <v>184</v>
      </c>
      <c r="E208" s="51" t="s">
        <v>265</v>
      </c>
      <c r="F208" s="51" t="n">
        <v>1</v>
      </c>
      <c r="G208" s="52" t="n">
        <v>-48.72</v>
      </c>
      <c r="H208" s="52" t="n">
        <v>-48.72</v>
      </c>
      <c r="I208" s="51" t="s">
        <v>301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257</v>
      </c>
      <c r="C209" s="51" t="s">
        <v>287</v>
      </c>
      <c r="D209" s="51" t="s">
        <v>185</v>
      </c>
      <c r="E209" s="51" t="s">
        <v>265</v>
      </c>
      <c r="F209" s="51" t="n">
        <v>1</v>
      </c>
      <c r="G209" s="52" t="n">
        <v>51.62</v>
      </c>
      <c r="H209" s="52" t="n">
        <v>51.62</v>
      </c>
      <c r="I209" s="51" t="s">
        <v>301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257</v>
      </c>
      <c r="C210" s="51" t="s">
        <v>288</v>
      </c>
      <c r="D210" s="51" t="s">
        <v>179</v>
      </c>
      <c r="E210" s="51" t="s">
        <v>265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285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257</v>
      </c>
      <c r="C211" s="51" t="s">
        <v>310</v>
      </c>
      <c r="D211" s="51" t="s">
        <v>311</v>
      </c>
      <c r="E211" s="51" t="s">
        <v>265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312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257</v>
      </c>
      <c r="C212" s="51" t="s">
        <v>289</v>
      </c>
      <c r="D212" s="51" t="s">
        <v>186</v>
      </c>
      <c r="E212" s="51" t="s">
        <v>265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322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266</v>
      </c>
      <c r="C213" s="51" t="s">
        <v>281</v>
      </c>
      <c r="D213" s="51" t="s">
        <v>220</v>
      </c>
      <c r="E213" s="51" t="s">
        <v>265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299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266</v>
      </c>
      <c r="C214" s="51" t="s">
        <v>281</v>
      </c>
      <c r="D214" s="51" t="s">
        <v>314</v>
      </c>
      <c r="E214" s="51" t="s">
        <v>265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315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266</v>
      </c>
      <c r="C215" s="51" t="s">
        <v>281</v>
      </c>
      <c r="D215" s="51" t="s">
        <v>180</v>
      </c>
      <c r="E215" s="51" t="s">
        <v>265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285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266</v>
      </c>
      <c r="C216" s="51" t="s">
        <v>281</v>
      </c>
      <c r="D216" s="51" t="s">
        <v>181</v>
      </c>
      <c r="E216" s="51" t="s">
        <v>265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285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266</v>
      </c>
      <c r="C217" s="51" t="s">
        <v>44</v>
      </c>
      <c r="D217" s="51" t="s">
        <v>182</v>
      </c>
      <c r="E217" s="51" t="s">
        <v>265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285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266</v>
      </c>
      <c r="C218" s="51" t="s">
        <v>286</v>
      </c>
      <c r="D218" s="51" t="s">
        <v>157</v>
      </c>
      <c r="E218" s="51" t="s">
        <v>265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285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266</v>
      </c>
      <c r="C219" s="51" t="s">
        <v>286</v>
      </c>
      <c r="D219" s="51" t="s">
        <v>158</v>
      </c>
      <c r="E219" s="51" t="s">
        <v>265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285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266</v>
      </c>
      <c r="C220" s="51" t="s">
        <v>288</v>
      </c>
      <c r="D220" s="51" t="s">
        <v>179</v>
      </c>
      <c r="E220" s="51" t="s">
        <v>265</v>
      </c>
      <c r="F220" s="51" t="n">
        <v>2</v>
      </c>
      <c r="G220" s="52" t="n">
        <v>30</v>
      </c>
      <c r="H220" s="52" t="n">
        <f aca="false">F220*G220</f>
        <v>60</v>
      </c>
      <c r="I220" s="51" t="s">
        <v>285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266</v>
      </c>
      <c r="C221" s="51" t="s">
        <v>289</v>
      </c>
      <c r="D221" s="51" t="s">
        <v>186</v>
      </c>
      <c r="E221" s="51" t="s">
        <v>265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295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267</v>
      </c>
      <c r="C222" s="51" t="s">
        <v>281</v>
      </c>
      <c r="D222" s="51" t="s">
        <v>220</v>
      </c>
      <c r="E222" s="51" t="s">
        <v>265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303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267</v>
      </c>
      <c r="C223" s="51" t="s">
        <v>281</v>
      </c>
      <c r="D223" s="51" t="s">
        <v>180</v>
      </c>
      <c r="E223" s="51" t="s">
        <v>265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285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267</v>
      </c>
      <c r="C224" s="51" t="s">
        <v>281</v>
      </c>
      <c r="D224" s="51" t="s">
        <v>181</v>
      </c>
      <c r="E224" s="51" t="s">
        <v>265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285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267</v>
      </c>
      <c r="C225" s="51" t="s">
        <v>44</v>
      </c>
      <c r="D225" s="51" t="s">
        <v>182</v>
      </c>
      <c r="E225" s="51" t="s">
        <v>265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285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267</v>
      </c>
      <c r="C226" s="51" t="s">
        <v>286</v>
      </c>
      <c r="D226" s="51" t="s">
        <v>157</v>
      </c>
      <c r="E226" s="51" t="s">
        <v>265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285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267</v>
      </c>
      <c r="C227" s="51" t="s">
        <v>286</v>
      </c>
      <c r="D227" s="51" t="s">
        <v>158</v>
      </c>
      <c r="E227" s="51" t="s">
        <v>265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285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267</v>
      </c>
      <c r="C228" s="51" t="s">
        <v>288</v>
      </c>
      <c r="D228" s="51" t="s">
        <v>179</v>
      </c>
      <c r="E228" s="51" t="s">
        <v>265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285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267</v>
      </c>
      <c r="C229" s="51" t="s">
        <v>289</v>
      </c>
      <c r="D229" s="51" t="s">
        <v>186</v>
      </c>
      <c r="E229" s="51" t="s">
        <v>265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295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269</v>
      </c>
      <c r="C230" s="51" t="s">
        <v>281</v>
      </c>
      <c r="D230" s="51" t="s">
        <v>220</v>
      </c>
      <c r="E230" s="51" t="s">
        <v>268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305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269</v>
      </c>
      <c r="C231" s="51" t="s">
        <v>281</v>
      </c>
      <c r="D231" s="51" t="s">
        <v>180</v>
      </c>
      <c r="E231" s="51" t="s">
        <v>268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285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269</v>
      </c>
      <c r="C232" s="51" t="s">
        <v>281</v>
      </c>
      <c r="D232" s="51" t="s">
        <v>181</v>
      </c>
      <c r="E232" s="51" t="s">
        <v>268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285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269</v>
      </c>
      <c r="C233" s="51" t="s">
        <v>44</v>
      </c>
      <c r="D233" s="51" t="s">
        <v>182</v>
      </c>
      <c r="E233" s="51" t="s">
        <v>268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285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269</v>
      </c>
      <c r="C234" s="51" t="s">
        <v>286</v>
      </c>
      <c r="D234" s="51" t="s">
        <v>157</v>
      </c>
      <c r="E234" s="51" t="s">
        <v>268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285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269</v>
      </c>
      <c r="C235" s="51" t="s">
        <v>286</v>
      </c>
      <c r="D235" s="51" t="s">
        <v>158</v>
      </c>
      <c r="E235" s="51" t="s">
        <v>268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285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269</v>
      </c>
      <c r="C236" s="51" t="s">
        <v>287</v>
      </c>
      <c r="D236" s="51" t="s">
        <v>183</v>
      </c>
      <c r="E236" s="51" t="s">
        <v>268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306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269</v>
      </c>
      <c r="C237" s="51" t="s">
        <v>287</v>
      </c>
      <c r="D237" s="51" t="s">
        <v>185</v>
      </c>
      <c r="E237" s="51" t="s">
        <v>268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306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269</v>
      </c>
      <c r="C238" s="51" t="s">
        <v>288</v>
      </c>
      <c r="D238" s="51" t="s">
        <v>179</v>
      </c>
      <c r="E238" s="51" t="s">
        <v>268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285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272</v>
      </c>
      <c r="C239" s="51" t="s">
        <v>281</v>
      </c>
      <c r="D239" s="51" t="s">
        <v>220</v>
      </c>
      <c r="E239" s="51" t="s">
        <v>268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307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272</v>
      </c>
      <c r="C240" s="51" t="s">
        <v>281</v>
      </c>
      <c r="D240" s="51" t="s">
        <v>314</v>
      </c>
      <c r="E240" s="51" t="s">
        <v>268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315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272</v>
      </c>
      <c r="C241" s="51" t="s">
        <v>281</v>
      </c>
      <c r="D241" s="51" t="s">
        <v>283</v>
      </c>
      <c r="E241" s="51" t="s">
        <v>268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297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272</v>
      </c>
      <c r="C242" s="51" t="s">
        <v>281</v>
      </c>
      <c r="D242" s="51" t="s">
        <v>180</v>
      </c>
      <c r="E242" s="51" t="s">
        <v>268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285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272</v>
      </c>
      <c r="C243" s="51" t="s">
        <v>281</v>
      </c>
      <c r="D243" s="51" t="s">
        <v>181</v>
      </c>
      <c r="E243" s="51" t="s">
        <v>268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285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272</v>
      </c>
      <c r="C244" s="51" t="s">
        <v>44</v>
      </c>
      <c r="D244" s="51" t="s">
        <v>182</v>
      </c>
      <c r="E244" s="51" t="s">
        <v>268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285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272</v>
      </c>
      <c r="C245" s="51" t="s">
        <v>286</v>
      </c>
      <c r="D245" s="51" t="s">
        <v>157</v>
      </c>
      <c r="E245" s="51" t="s">
        <v>268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285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272</v>
      </c>
      <c r="C246" s="51" t="s">
        <v>286</v>
      </c>
      <c r="D246" s="51" t="s">
        <v>158</v>
      </c>
      <c r="E246" s="51" t="s">
        <v>268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285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272</v>
      </c>
      <c r="C247" s="51" t="s">
        <v>287</v>
      </c>
      <c r="D247" s="51" t="s">
        <v>318</v>
      </c>
      <c r="E247" s="51" t="s">
        <v>268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297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272</v>
      </c>
      <c r="C248" s="51" t="s">
        <v>288</v>
      </c>
      <c r="D248" s="51" t="s">
        <v>179</v>
      </c>
      <c r="E248" s="51" t="s">
        <v>268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285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272</v>
      </c>
      <c r="C249" s="51" t="s">
        <v>310</v>
      </c>
      <c r="D249" s="51" t="s">
        <v>323</v>
      </c>
      <c r="E249" s="51" t="s">
        <v>268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312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272</v>
      </c>
      <c r="C250" s="51" t="s">
        <v>289</v>
      </c>
      <c r="D250" s="51" t="s">
        <v>186</v>
      </c>
      <c r="E250" s="51" t="s">
        <v>268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295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275</v>
      </c>
      <c r="C251" s="51" t="s">
        <v>281</v>
      </c>
      <c r="D251" s="51" t="s">
        <v>220</v>
      </c>
      <c r="E251" s="51" t="s">
        <v>274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308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275</v>
      </c>
      <c r="C252" s="51" t="s">
        <v>281</v>
      </c>
      <c r="D252" s="51" t="s">
        <v>180</v>
      </c>
      <c r="E252" s="51" t="s">
        <v>274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285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275</v>
      </c>
      <c r="C253" s="51" t="s">
        <v>281</v>
      </c>
      <c r="D253" s="51" t="s">
        <v>181</v>
      </c>
      <c r="E253" s="51" t="s">
        <v>274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285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275</v>
      </c>
      <c r="C254" s="51" t="s">
        <v>44</v>
      </c>
      <c r="D254" s="51" t="s">
        <v>182</v>
      </c>
      <c r="E254" s="51" t="s">
        <v>274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285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275</v>
      </c>
      <c r="C255" s="51" t="s">
        <v>286</v>
      </c>
      <c r="D255" s="51" t="s">
        <v>157</v>
      </c>
      <c r="E255" s="51" t="s">
        <v>274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285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275</v>
      </c>
      <c r="C256" s="51" t="s">
        <v>286</v>
      </c>
      <c r="D256" s="51" t="s">
        <v>158</v>
      </c>
      <c r="E256" s="51" t="s">
        <v>274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285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275</v>
      </c>
      <c r="C257" s="51" t="s">
        <v>288</v>
      </c>
      <c r="D257" s="51" t="s">
        <v>179</v>
      </c>
      <c r="E257" s="51" t="s">
        <v>274</v>
      </c>
      <c r="F257" s="51" t="n">
        <v>1</v>
      </c>
      <c r="G257" s="52" t="n">
        <v>30</v>
      </c>
      <c r="H257" s="52" t="n">
        <f aca="false">F257*G257</f>
        <v>30</v>
      </c>
      <c r="I257" s="51" t="s">
        <v>285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257</v>
      </c>
      <c r="C258" s="51" t="s">
        <v>281</v>
      </c>
      <c r="D258" s="51" t="s">
        <v>220</v>
      </c>
      <c r="E258" s="51" t="s">
        <v>256</v>
      </c>
      <c r="F258" s="51" t="n">
        <v>1</v>
      </c>
      <c r="G258" s="52" t="n">
        <v>81072.3365155553</v>
      </c>
      <c r="H258" s="52" t="n">
        <v>81072.3365155553</v>
      </c>
      <c r="I258" s="51" t="s">
        <v>324</v>
      </c>
    </row>
    <row r="259" customFormat="false" ht="14.25" hidden="false" customHeight="true" outlineLevel="0" collapsed="false">
      <c r="A259" s="51" t="s">
        <v>21</v>
      </c>
      <c r="B259" s="51" t="s">
        <v>257</v>
      </c>
      <c r="C259" s="51" t="s">
        <v>281</v>
      </c>
      <c r="D259" s="51" t="s">
        <v>283</v>
      </c>
      <c r="E259" s="51" t="s">
        <v>256</v>
      </c>
      <c r="F259" s="51" t="n">
        <v>1</v>
      </c>
      <c r="G259" s="52" t="n">
        <v>3360.29</v>
      </c>
      <c r="H259" s="52" t="n">
        <v>3360.29</v>
      </c>
      <c r="I259" s="51" t="s">
        <v>325</v>
      </c>
    </row>
    <row r="260" customFormat="false" ht="14.25" hidden="false" customHeight="true" outlineLevel="0" collapsed="false">
      <c r="A260" s="51" t="s">
        <v>21</v>
      </c>
      <c r="B260" s="51" t="s">
        <v>257</v>
      </c>
      <c r="C260" s="51" t="s">
        <v>281</v>
      </c>
      <c r="D260" s="51" t="s">
        <v>180</v>
      </c>
      <c r="E260" s="51" t="s">
        <v>256</v>
      </c>
      <c r="F260" s="51" t="n">
        <v>47</v>
      </c>
      <c r="G260" s="52" t="n">
        <v>26</v>
      </c>
      <c r="H260" s="52" t="n">
        <v>1222</v>
      </c>
      <c r="I260" s="51" t="s">
        <v>326</v>
      </c>
    </row>
    <row r="261" customFormat="false" ht="14.25" hidden="false" customHeight="true" outlineLevel="0" collapsed="false">
      <c r="A261" s="51" t="s">
        <v>21</v>
      </c>
      <c r="B261" s="51" t="s">
        <v>257</v>
      </c>
      <c r="C261" s="51" t="s">
        <v>281</v>
      </c>
      <c r="D261" s="51" t="s">
        <v>181</v>
      </c>
      <c r="E261" s="51" t="s">
        <v>256</v>
      </c>
      <c r="F261" s="51" t="n">
        <v>47</v>
      </c>
      <c r="G261" s="52" t="n">
        <v>42.77</v>
      </c>
      <c r="H261" s="52" t="n">
        <v>2010.19</v>
      </c>
      <c r="I261" s="51" t="s">
        <v>326</v>
      </c>
    </row>
    <row r="262" customFormat="false" ht="14.25" hidden="false" customHeight="true" outlineLevel="0" collapsed="false">
      <c r="A262" s="51" t="s">
        <v>21</v>
      </c>
      <c r="B262" s="51" t="s">
        <v>257</v>
      </c>
      <c r="C262" s="51" t="s">
        <v>44</v>
      </c>
      <c r="D262" s="51" t="s">
        <v>182</v>
      </c>
      <c r="E262" s="51" t="s">
        <v>256</v>
      </c>
      <c r="F262" s="51" t="n">
        <v>47</v>
      </c>
      <c r="G262" s="52" t="n">
        <v>63.75</v>
      </c>
      <c r="H262" s="52" t="n">
        <v>2996.25</v>
      </c>
      <c r="I262" s="51" t="s">
        <v>326</v>
      </c>
    </row>
    <row r="263" customFormat="false" ht="14.25" hidden="false" customHeight="true" outlineLevel="0" collapsed="false">
      <c r="A263" s="51" t="s">
        <v>21</v>
      </c>
      <c r="B263" s="51" t="s">
        <v>257</v>
      </c>
      <c r="C263" s="51" t="s">
        <v>44</v>
      </c>
      <c r="D263" s="51" t="s">
        <v>221</v>
      </c>
      <c r="E263" s="51" t="s">
        <v>256</v>
      </c>
      <c r="F263" s="51" t="n">
        <v>1</v>
      </c>
      <c r="G263" s="52" t="n">
        <v>451.39</v>
      </c>
      <c r="H263" s="52" t="n">
        <v>451.39</v>
      </c>
      <c r="I263" s="51" t="s">
        <v>325</v>
      </c>
    </row>
    <row r="264" customFormat="false" ht="14.25" hidden="false" customHeight="true" outlineLevel="0" collapsed="false">
      <c r="A264" s="51" t="s">
        <v>21</v>
      </c>
      <c r="B264" s="51" t="s">
        <v>257</v>
      </c>
      <c r="C264" s="51" t="s">
        <v>287</v>
      </c>
      <c r="D264" s="51" t="s">
        <v>183</v>
      </c>
      <c r="E264" s="51" t="s">
        <v>256</v>
      </c>
      <c r="F264" s="51" t="n">
        <v>1</v>
      </c>
      <c r="G264" s="52" t="n">
        <v>865.91</v>
      </c>
      <c r="H264" s="52" t="n">
        <v>865.91</v>
      </c>
      <c r="I264" s="51" t="s">
        <v>325</v>
      </c>
    </row>
    <row r="265" customFormat="false" ht="14.25" hidden="false" customHeight="true" outlineLevel="0" collapsed="false">
      <c r="A265" s="51" t="s">
        <v>21</v>
      </c>
      <c r="B265" s="51" t="s">
        <v>257</v>
      </c>
      <c r="C265" s="51" t="s">
        <v>287</v>
      </c>
      <c r="D265" s="51" t="s">
        <v>185</v>
      </c>
      <c r="E265" s="51" t="s">
        <v>256</v>
      </c>
      <c r="F265" s="51" t="n">
        <v>1</v>
      </c>
      <c r="G265" s="52" t="n">
        <v>251.02</v>
      </c>
      <c r="H265" s="52" t="n">
        <v>251.02</v>
      </c>
      <c r="I265" s="51" t="s">
        <v>325</v>
      </c>
    </row>
    <row r="266" customFormat="false" ht="14.25" hidden="false" customHeight="true" outlineLevel="0" collapsed="false">
      <c r="A266" s="51" t="s">
        <v>21</v>
      </c>
      <c r="B266" s="51" t="s">
        <v>257</v>
      </c>
      <c r="C266" s="51" t="s">
        <v>288</v>
      </c>
      <c r="D266" s="51" t="s">
        <v>179</v>
      </c>
      <c r="E266" s="51" t="s">
        <v>256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326</v>
      </c>
    </row>
    <row r="267" customFormat="false" ht="15" hidden="false" customHeight="true" outlineLevel="0" collapsed="false">
      <c r="A267" s="51" t="s">
        <v>21</v>
      </c>
      <c r="B267" s="51" t="s">
        <v>257</v>
      </c>
      <c r="C267" s="51" t="s">
        <v>286</v>
      </c>
      <c r="D267" s="51" t="s">
        <v>157</v>
      </c>
      <c r="E267" s="51" t="s">
        <v>256</v>
      </c>
      <c r="F267" s="51" t="n">
        <v>47</v>
      </c>
      <c r="G267" s="52" t="n">
        <v>9.85</v>
      </c>
      <c r="H267" s="52" t="n">
        <v>462.95</v>
      </c>
      <c r="I267" s="51" t="s">
        <v>326</v>
      </c>
    </row>
    <row r="268" customFormat="false" ht="14.25" hidden="false" customHeight="true" outlineLevel="0" collapsed="false">
      <c r="A268" s="51" t="s">
        <v>21</v>
      </c>
      <c r="B268" s="51" t="s">
        <v>257</v>
      </c>
      <c r="C268" s="51" t="s">
        <v>286</v>
      </c>
      <c r="D268" s="51" t="s">
        <v>158</v>
      </c>
      <c r="E268" s="51" t="s">
        <v>256</v>
      </c>
      <c r="F268" s="51" t="n">
        <v>47</v>
      </c>
      <c r="G268" s="52" t="n">
        <v>2.04</v>
      </c>
      <c r="H268" s="52" t="n">
        <v>95.88</v>
      </c>
      <c r="I268" s="51" t="s">
        <v>326</v>
      </c>
    </row>
    <row r="269" customFormat="false" ht="14.25" hidden="false" customHeight="true" outlineLevel="0" collapsed="false">
      <c r="A269" s="51" t="s">
        <v>21</v>
      </c>
      <c r="B269" s="51" t="s">
        <v>257</v>
      </c>
      <c r="C269" s="51" t="s">
        <v>289</v>
      </c>
      <c r="D269" s="51" t="s">
        <v>186</v>
      </c>
      <c r="E269" s="51" t="s">
        <v>256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327</v>
      </c>
    </row>
    <row r="270" customFormat="false" ht="14.25" hidden="false" customHeight="true" outlineLevel="0" collapsed="false">
      <c r="A270" s="51" t="s">
        <v>21</v>
      </c>
      <c r="B270" s="51" t="s">
        <v>257</v>
      </c>
      <c r="C270" s="51" t="s">
        <v>281</v>
      </c>
      <c r="D270" s="51" t="s">
        <v>314</v>
      </c>
      <c r="E270" s="51" t="s">
        <v>256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328</v>
      </c>
    </row>
    <row r="271" customFormat="false" ht="14.25" hidden="false" customHeight="true" outlineLevel="0" collapsed="false">
      <c r="A271" s="51" t="s">
        <v>21</v>
      </c>
      <c r="B271" s="51" t="s">
        <v>257</v>
      </c>
      <c r="C271" s="51" t="s">
        <v>281</v>
      </c>
      <c r="D271" s="51" t="s">
        <v>220</v>
      </c>
      <c r="E271" s="51" t="s">
        <v>259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329</v>
      </c>
    </row>
    <row r="272" customFormat="false" ht="14.25" hidden="false" customHeight="true" outlineLevel="0" collapsed="false">
      <c r="A272" s="51" t="s">
        <v>21</v>
      </c>
      <c r="B272" s="51" t="s">
        <v>257</v>
      </c>
      <c r="C272" s="51" t="s">
        <v>281</v>
      </c>
      <c r="D272" s="51" t="s">
        <v>283</v>
      </c>
      <c r="E272" s="51" t="s">
        <v>259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330</v>
      </c>
    </row>
    <row r="273" customFormat="false" ht="14.25" hidden="false" customHeight="true" outlineLevel="0" collapsed="false">
      <c r="A273" s="51" t="s">
        <v>21</v>
      </c>
      <c r="B273" s="51" t="s">
        <v>257</v>
      </c>
      <c r="C273" s="51" t="s">
        <v>281</v>
      </c>
      <c r="D273" s="51" t="s">
        <v>180</v>
      </c>
      <c r="E273" s="51" t="s">
        <v>259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326</v>
      </c>
    </row>
    <row r="274" customFormat="false" ht="14.25" hidden="false" customHeight="true" outlineLevel="0" collapsed="false">
      <c r="A274" s="51" t="s">
        <v>21</v>
      </c>
      <c r="B274" s="51" t="s">
        <v>257</v>
      </c>
      <c r="C274" s="51" t="s">
        <v>281</v>
      </c>
      <c r="D274" s="51" t="s">
        <v>181</v>
      </c>
      <c r="E274" s="51" t="s">
        <v>259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326</v>
      </c>
    </row>
    <row r="275" customFormat="false" ht="14.25" hidden="false" customHeight="true" outlineLevel="0" collapsed="false">
      <c r="A275" s="51" t="s">
        <v>21</v>
      </c>
      <c r="B275" s="51" t="s">
        <v>257</v>
      </c>
      <c r="C275" s="51" t="s">
        <v>44</v>
      </c>
      <c r="D275" s="51" t="s">
        <v>182</v>
      </c>
      <c r="E275" s="51" t="s">
        <v>259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326</v>
      </c>
    </row>
    <row r="276" customFormat="false" ht="14.25" hidden="false" customHeight="true" outlineLevel="0" collapsed="false">
      <c r="A276" s="51" t="s">
        <v>21</v>
      </c>
      <c r="B276" s="51" t="s">
        <v>257</v>
      </c>
      <c r="C276" s="51" t="s">
        <v>44</v>
      </c>
      <c r="D276" s="51" t="s">
        <v>221</v>
      </c>
      <c r="E276" s="51" t="s">
        <v>259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330</v>
      </c>
    </row>
    <row r="277" customFormat="false" ht="14.25" hidden="false" customHeight="true" outlineLevel="0" collapsed="false">
      <c r="A277" s="51" t="s">
        <v>21</v>
      </c>
      <c r="B277" s="51" t="s">
        <v>257</v>
      </c>
      <c r="C277" s="51" t="s">
        <v>287</v>
      </c>
      <c r="D277" s="51" t="s">
        <v>183</v>
      </c>
      <c r="E277" s="51" t="s">
        <v>259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330</v>
      </c>
    </row>
    <row r="278" customFormat="false" ht="15" hidden="false" customHeight="true" outlineLevel="0" collapsed="false">
      <c r="A278" s="51" t="s">
        <v>21</v>
      </c>
      <c r="B278" s="51" t="s">
        <v>257</v>
      </c>
      <c r="C278" s="51" t="s">
        <v>287</v>
      </c>
      <c r="D278" s="51" t="s">
        <v>185</v>
      </c>
      <c r="E278" s="51" t="s">
        <v>259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330</v>
      </c>
    </row>
    <row r="279" customFormat="false" ht="14.25" hidden="false" customHeight="true" outlineLevel="0" collapsed="false">
      <c r="A279" s="51" t="s">
        <v>21</v>
      </c>
      <c r="B279" s="51" t="s">
        <v>257</v>
      </c>
      <c r="C279" s="51" t="s">
        <v>288</v>
      </c>
      <c r="D279" s="51" t="s">
        <v>179</v>
      </c>
      <c r="E279" s="51" t="s">
        <v>259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326</v>
      </c>
    </row>
    <row r="280" customFormat="false" ht="14.25" hidden="false" customHeight="true" outlineLevel="0" collapsed="false">
      <c r="A280" s="51" t="s">
        <v>21</v>
      </c>
      <c r="B280" s="51" t="s">
        <v>257</v>
      </c>
      <c r="C280" s="51" t="s">
        <v>286</v>
      </c>
      <c r="D280" s="51" t="s">
        <v>157</v>
      </c>
      <c r="E280" s="51" t="s">
        <v>259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326</v>
      </c>
    </row>
    <row r="281" customFormat="false" ht="14.25" hidden="false" customHeight="true" outlineLevel="0" collapsed="false">
      <c r="A281" s="51" t="s">
        <v>21</v>
      </c>
      <c r="B281" s="51" t="s">
        <v>257</v>
      </c>
      <c r="C281" s="51" t="s">
        <v>286</v>
      </c>
      <c r="D281" s="51" t="s">
        <v>158</v>
      </c>
      <c r="E281" s="51" t="s">
        <v>259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326</v>
      </c>
    </row>
    <row r="282" customFormat="false" ht="14.25" hidden="false" customHeight="true" outlineLevel="0" collapsed="false">
      <c r="A282" s="51" t="s">
        <v>21</v>
      </c>
      <c r="B282" s="51" t="s">
        <v>257</v>
      </c>
      <c r="C282" s="51" t="s">
        <v>281</v>
      </c>
      <c r="D282" s="51" t="s">
        <v>220</v>
      </c>
      <c r="E282" s="51" t="s">
        <v>261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331</v>
      </c>
    </row>
    <row r="283" customFormat="false" ht="14.25" hidden="false" customHeight="true" outlineLevel="0" collapsed="false">
      <c r="A283" s="51" t="s">
        <v>21</v>
      </c>
      <c r="B283" s="51" t="s">
        <v>257</v>
      </c>
      <c r="C283" s="51" t="s">
        <v>281</v>
      </c>
      <c r="D283" s="51" t="s">
        <v>283</v>
      </c>
      <c r="E283" s="51" t="s">
        <v>261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332</v>
      </c>
    </row>
    <row r="284" customFormat="false" ht="14.25" hidden="false" customHeight="true" outlineLevel="0" collapsed="false">
      <c r="A284" s="51" t="s">
        <v>21</v>
      </c>
      <c r="B284" s="51" t="s">
        <v>257</v>
      </c>
      <c r="C284" s="51" t="s">
        <v>281</v>
      </c>
      <c r="D284" s="51" t="s">
        <v>180</v>
      </c>
      <c r="E284" s="51" t="s">
        <v>261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326</v>
      </c>
    </row>
    <row r="285" customFormat="false" ht="14.25" hidden="false" customHeight="true" outlineLevel="0" collapsed="false">
      <c r="A285" s="51" t="s">
        <v>21</v>
      </c>
      <c r="B285" s="51" t="s">
        <v>257</v>
      </c>
      <c r="C285" s="51" t="s">
        <v>281</v>
      </c>
      <c r="D285" s="51" t="s">
        <v>181</v>
      </c>
      <c r="E285" s="51" t="s">
        <v>261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326</v>
      </c>
    </row>
    <row r="286" customFormat="false" ht="14.25" hidden="false" customHeight="true" outlineLevel="0" collapsed="false">
      <c r="A286" s="51" t="s">
        <v>21</v>
      </c>
      <c r="B286" s="51" t="s">
        <v>257</v>
      </c>
      <c r="C286" s="51" t="s">
        <v>44</v>
      </c>
      <c r="D286" s="51" t="s">
        <v>182</v>
      </c>
      <c r="E286" s="51" t="s">
        <v>261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326</v>
      </c>
    </row>
    <row r="287" customFormat="false" ht="14.25" hidden="false" customHeight="true" outlineLevel="0" collapsed="false">
      <c r="A287" s="51" t="s">
        <v>21</v>
      </c>
      <c r="B287" s="51" t="s">
        <v>257</v>
      </c>
      <c r="C287" s="51" t="s">
        <v>44</v>
      </c>
      <c r="D287" s="51" t="s">
        <v>221</v>
      </c>
      <c r="E287" s="51" t="s">
        <v>261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332</v>
      </c>
    </row>
    <row r="288" customFormat="false" ht="14.25" hidden="false" customHeight="true" outlineLevel="0" collapsed="false">
      <c r="A288" s="51" t="s">
        <v>21</v>
      </c>
      <c r="B288" s="51" t="s">
        <v>257</v>
      </c>
      <c r="C288" s="51" t="s">
        <v>287</v>
      </c>
      <c r="D288" s="51" t="s">
        <v>183</v>
      </c>
      <c r="E288" s="51" t="s">
        <v>261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332</v>
      </c>
    </row>
    <row r="289" customFormat="false" ht="14.25" hidden="false" customHeight="true" outlineLevel="0" collapsed="false">
      <c r="A289" s="51" t="s">
        <v>21</v>
      </c>
      <c r="B289" s="51" t="s">
        <v>257</v>
      </c>
      <c r="C289" s="51" t="s">
        <v>287</v>
      </c>
      <c r="D289" s="51" t="s">
        <v>185</v>
      </c>
      <c r="E289" s="51" t="s">
        <v>261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332</v>
      </c>
    </row>
    <row r="290" customFormat="false" ht="14.25" hidden="false" customHeight="true" outlineLevel="0" collapsed="false">
      <c r="A290" s="51" t="s">
        <v>21</v>
      </c>
      <c r="B290" s="51" t="s">
        <v>257</v>
      </c>
      <c r="C290" s="51" t="s">
        <v>288</v>
      </c>
      <c r="D290" s="51" t="s">
        <v>179</v>
      </c>
      <c r="E290" s="51" t="s">
        <v>261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326</v>
      </c>
    </row>
    <row r="291" customFormat="false" ht="14.25" hidden="false" customHeight="true" outlineLevel="0" collapsed="false">
      <c r="A291" s="51" t="s">
        <v>21</v>
      </c>
      <c r="B291" s="51" t="s">
        <v>257</v>
      </c>
      <c r="C291" s="51" t="s">
        <v>286</v>
      </c>
      <c r="D291" s="51" t="s">
        <v>157</v>
      </c>
      <c r="E291" s="51" t="s">
        <v>261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326</v>
      </c>
    </row>
    <row r="292" customFormat="false" ht="14.25" hidden="false" customHeight="true" outlineLevel="0" collapsed="false">
      <c r="A292" s="51" t="s">
        <v>21</v>
      </c>
      <c r="B292" s="51" t="s">
        <v>257</v>
      </c>
      <c r="C292" s="51" t="s">
        <v>286</v>
      </c>
      <c r="D292" s="51" t="s">
        <v>158</v>
      </c>
      <c r="E292" s="51" t="s">
        <v>261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326</v>
      </c>
    </row>
    <row r="293" customFormat="false" ht="14.25" hidden="false" customHeight="true" outlineLevel="0" collapsed="false">
      <c r="A293" s="51" t="s">
        <v>21</v>
      </c>
      <c r="B293" s="51" t="s">
        <v>257</v>
      </c>
      <c r="C293" s="51" t="s">
        <v>289</v>
      </c>
      <c r="D293" s="51" t="s">
        <v>186</v>
      </c>
      <c r="E293" s="51" t="s">
        <v>261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295</v>
      </c>
    </row>
    <row r="294" customFormat="false" ht="14.25" hidden="false" customHeight="true" outlineLevel="0" collapsed="false">
      <c r="A294" s="51" t="s">
        <v>21</v>
      </c>
      <c r="B294" s="51" t="s">
        <v>257</v>
      </c>
      <c r="C294" s="51" t="s">
        <v>281</v>
      </c>
      <c r="D294" s="51" t="s">
        <v>220</v>
      </c>
      <c r="E294" s="51" t="s">
        <v>262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333</v>
      </c>
    </row>
    <row r="295" customFormat="false" ht="15" hidden="false" customHeight="true" outlineLevel="0" collapsed="false">
      <c r="A295" s="51" t="s">
        <v>21</v>
      </c>
      <c r="B295" s="51" t="s">
        <v>257</v>
      </c>
      <c r="C295" s="51" t="s">
        <v>281</v>
      </c>
      <c r="D295" s="51" t="s">
        <v>283</v>
      </c>
      <c r="E295" s="51" t="s">
        <v>262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334</v>
      </c>
    </row>
    <row r="296" customFormat="false" ht="14.25" hidden="false" customHeight="true" outlineLevel="0" collapsed="false">
      <c r="A296" s="51" t="s">
        <v>21</v>
      </c>
      <c r="B296" s="51" t="s">
        <v>257</v>
      </c>
      <c r="C296" s="51" t="s">
        <v>281</v>
      </c>
      <c r="D296" s="51" t="s">
        <v>180</v>
      </c>
      <c r="E296" s="51" t="s">
        <v>262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326</v>
      </c>
    </row>
    <row r="297" customFormat="false" ht="14.25" hidden="false" customHeight="true" outlineLevel="0" collapsed="false">
      <c r="A297" s="51" t="s">
        <v>21</v>
      </c>
      <c r="B297" s="51" t="s">
        <v>257</v>
      </c>
      <c r="C297" s="51" t="s">
        <v>281</v>
      </c>
      <c r="D297" s="51" t="s">
        <v>181</v>
      </c>
      <c r="E297" s="51" t="s">
        <v>262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326</v>
      </c>
    </row>
    <row r="298" customFormat="false" ht="14.25" hidden="false" customHeight="true" outlineLevel="0" collapsed="false">
      <c r="A298" s="51" t="s">
        <v>21</v>
      </c>
      <c r="B298" s="51" t="s">
        <v>257</v>
      </c>
      <c r="C298" s="51" t="s">
        <v>44</v>
      </c>
      <c r="D298" s="51" t="s">
        <v>182</v>
      </c>
      <c r="E298" s="51" t="s">
        <v>262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326</v>
      </c>
    </row>
    <row r="299" customFormat="false" ht="14.25" hidden="false" customHeight="true" outlineLevel="0" collapsed="false">
      <c r="A299" s="51" t="s">
        <v>21</v>
      </c>
      <c r="B299" s="51" t="s">
        <v>257</v>
      </c>
      <c r="C299" s="51" t="s">
        <v>44</v>
      </c>
      <c r="D299" s="51" t="s">
        <v>221</v>
      </c>
      <c r="E299" s="51" t="s">
        <v>262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334</v>
      </c>
    </row>
    <row r="300" customFormat="false" ht="14.25" hidden="false" customHeight="true" outlineLevel="0" collapsed="false">
      <c r="A300" s="51" t="s">
        <v>21</v>
      </c>
      <c r="B300" s="51" t="s">
        <v>257</v>
      </c>
      <c r="C300" s="51" t="s">
        <v>287</v>
      </c>
      <c r="D300" s="51" t="s">
        <v>183</v>
      </c>
      <c r="E300" s="51" t="s">
        <v>262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334</v>
      </c>
    </row>
    <row r="301" customFormat="false" ht="14.25" hidden="false" customHeight="true" outlineLevel="0" collapsed="false">
      <c r="A301" s="51" t="s">
        <v>21</v>
      </c>
      <c r="B301" s="51" t="s">
        <v>257</v>
      </c>
      <c r="C301" s="51" t="s">
        <v>287</v>
      </c>
      <c r="D301" s="51" t="s">
        <v>185</v>
      </c>
      <c r="E301" s="51" t="s">
        <v>262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334</v>
      </c>
    </row>
    <row r="302" customFormat="false" ht="14.25" hidden="false" customHeight="true" outlineLevel="0" collapsed="false">
      <c r="A302" s="51" t="s">
        <v>21</v>
      </c>
      <c r="B302" s="51" t="s">
        <v>257</v>
      </c>
      <c r="C302" s="51" t="s">
        <v>288</v>
      </c>
      <c r="D302" s="51" t="s">
        <v>179</v>
      </c>
      <c r="E302" s="51" t="s">
        <v>262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326</v>
      </c>
    </row>
    <row r="303" customFormat="false" ht="14.25" hidden="false" customHeight="true" outlineLevel="0" collapsed="false">
      <c r="A303" s="51" t="s">
        <v>21</v>
      </c>
      <c r="B303" s="51" t="s">
        <v>257</v>
      </c>
      <c r="C303" s="51" t="s">
        <v>286</v>
      </c>
      <c r="D303" s="51" t="s">
        <v>157</v>
      </c>
      <c r="E303" s="51" t="s">
        <v>262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326</v>
      </c>
    </row>
    <row r="304" customFormat="false" ht="14.25" hidden="false" customHeight="true" outlineLevel="0" collapsed="false">
      <c r="A304" s="51" t="s">
        <v>21</v>
      </c>
      <c r="B304" s="51" t="s">
        <v>257</v>
      </c>
      <c r="C304" s="51" t="s">
        <v>286</v>
      </c>
      <c r="D304" s="51" t="s">
        <v>158</v>
      </c>
      <c r="E304" s="51" t="s">
        <v>262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326</v>
      </c>
    </row>
    <row r="305" customFormat="false" ht="14.25" hidden="false" customHeight="true" outlineLevel="0" collapsed="false">
      <c r="A305" s="51" t="s">
        <v>21</v>
      </c>
      <c r="B305" s="51" t="s">
        <v>257</v>
      </c>
      <c r="C305" s="51" t="s">
        <v>281</v>
      </c>
      <c r="D305" s="51" t="s">
        <v>314</v>
      </c>
      <c r="E305" s="51" t="s">
        <v>262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328</v>
      </c>
    </row>
    <row r="306" customFormat="false" ht="14.25" hidden="false" customHeight="true" outlineLevel="0" collapsed="false">
      <c r="A306" s="51" t="s">
        <v>21</v>
      </c>
      <c r="B306" s="51" t="s">
        <v>257</v>
      </c>
      <c r="C306" s="51" t="s">
        <v>281</v>
      </c>
      <c r="D306" s="51" t="s">
        <v>220</v>
      </c>
      <c r="E306" s="51" t="s">
        <v>265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335</v>
      </c>
    </row>
    <row r="307" customFormat="false" ht="14.25" hidden="false" customHeight="true" outlineLevel="0" collapsed="false">
      <c r="A307" s="51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336</v>
      </c>
    </row>
    <row r="308" customFormat="false" ht="14.25" hidden="false" customHeight="true" outlineLevel="0" collapsed="false">
      <c r="A308" s="51" t="s">
        <v>21</v>
      </c>
      <c r="B308" s="51" t="s">
        <v>257</v>
      </c>
      <c r="C308" s="51" t="s">
        <v>281</v>
      </c>
      <c r="D308" s="51" t="s">
        <v>180</v>
      </c>
      <c r="E308" s="51" t="s">
        <v>265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326</v>
      </c>
    </row>
    <row r="309" customFormat="false" ht="14.25" hidden="false" customHeight="true" outlineLevel="0" collapsed="false">
      <c r="A309" s="51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51" t="s">
        <v>21</v>
      </c>
      <c r="B310" s="51" t="s">
        <v>257</v>
      </c>
      <c r="C310" s="51" t="s">
        <v>44</v>
      </c>
      <c r="D310" s="51" t="s">
        <v>182</v>
      </c>
      <c r="E310" s="51" t="s">
        <v>265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326</v>
      </c>
    </row>
    <row r="311" customFormat="false" ht="14.25" hidden="false" customHeight="true" outlineLevel="0" collapsed="false">
      <c r="A311" s="51" t="s">
        <v>21</v>
      </c>
      <c r="B311" s="51" t="s">
        <v>257</v>
      </c>
      <c r="C311" s="51" t="s">
        <v>44</v>
      </c>
      <c r="D311" s="51" t="s">
        <v>221</v>
      </c>
      <c r="E311" s="51" t="s">
        <v>265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336</v>
      </c>
    </row>
    <row r="312" customFormat="false" ht="14.25" hidden="false" customHeight="true" outlineLevel="0" collapsed="false">
      <c r="A312" s="51" t="s">
        <v>21</v>
      </c>
      <c r="B312" s="51" t="s">
        <v>257</v>
      </c>
      <c r="C312" s="51" t="s">
        <v>287</v>
      </c>
      <c r="D312" s="51" t="s">
        <v>183</v>
      </c>
      <c r="E312" s="51" t="s">
        <v>265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336</v>
      </c>
    </row>
    <row r="313" customFormat="false" ht="14.25" hidden="false" customHeight="true" outlineLevel="0" collapsed="false">
      <c r="A313" s="51" t="s">
        <v>21</v>
      </c>
      <c r="B313" s="51" t="s">
        <v>257</v>
      </c>
      <c r="C313" s="51" t="s">
        <v>287</v>
      </c>
      <c r="D313" s="51" t="s">
        <v>185</v>
      </c>
      <c r="E313" s="51" t="s">
        <v>265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336</v>
      </c>
    </row>
    <row r="314" customFormat="false" ht="14.25" hidden="false" customHeight="true" outlineLevel="0" collapsed="false">
      <c r="A314" s="51" t="s">
        <v>21</v>
      </c>
      <c r="B314" s="51" t="s">
        <v>257</v>
      </c>
      <c r="C314" s="51" t="s">
        <v>288</v>
      </c>
      <c r="D314" s="51" t="s">
        <v>179</v>
      </c>
      <c r="E314" s="51" t="s">
        <v>265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326</v>
      </c>
    </row>
    <row r="315" customFormat="false" ht="14.25" hidden="false" customHeight="true" outlineLevel="0" collapsed="false">
      <c r="A315" s="51" t="s">
        <v>21</v>
      </c>
      <c r="B315" s="51" t="s">
        <v>257</v>
      </c>
      <c r="C315" s="51" t="s">
        <v>286</v>
      </c>
      <c r="D315" s="51" t="s">
        <v>157</v>
      </c>
      <c r="E315" s="51" t="s">
        <v>265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326</v>
      </c>
    </row>
    <row r="316" customFormat="false" ht="14.25" hidden="false" customHeight="true" outlineLevel="0" collapsed="false">
      <c r="A316" s="51" t="s">
        <v>21</v>
      </c>
      <c r="B316" s="51" t="s">
        <v>257</v>
      </c>
      <c r="C316" s="51" t="s">
        <v>286</v>
      </c>
      <c r="D316" s="51" t="s">
        <v>158</v>
      </c>
      <c r="E316" s="51" t="s">
        <v>265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326</v>
      </c>
    </row>
    <row r="317" customFormat="false" ht="14.25" hidden="false" customHeight="true" outlineLevel="0" collapsed="false">
      <c r="A317" s="51" t="s">
        <v>21</v>
      </c>
      <c r="B317" s="51" t="s">
        <v>257</v>
      </c>
      <c r="C317" s="51" t="s">
        <v>289</v>
      </c>
      <c r="D317" s="51" t="s">
        <v>186</v>
      </c>
      <c r="E317" s="51" t="s">
        <v>265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337</v>
      </c>
    </row>
    <row r="318" customFormat="false" ht="14.25" hidden="false" customHeight="true" outlineLevel="0" collapsed="false">
      <c r="A318" s="51" t="s">
        <v>21</v>
      </c>
      <c r="B318" s="51" t="s">
        <v>269</v>
      </c>
      <c r="C318" s="51" t="s">
        <v>281</v>
      </c>
      <c r="D318" s="51" t="s">
        <v>220</v>
      </c>
      <c r="E318" s="51" t="s">
        <v>268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338</v>
      </c>
    </row>
    <row r="319" customFormat="false" ht="14.25" hidden="false" customHeight="true" outlineLevel="0" collapsed="false">
      <c r="A319" s="51" t="s">
        <v>21</v>
      </c>
      <c r="B319" s="51" t="s">
        <v>269</v>
      </c>
      <c r="C319" s="51" t="s">
        <v>281</v>
      </c>
      <c r="D319" s="51" t="s">
        <v>180</v>
      </c>
      <c r="E319" s="51" t="s">
        <v>268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326</v>
      </c>
    </row>
    <row r="320" customFormat="false" ht="14.25" hidden="false" customHeight="true" outlineLevel="0" collapsed="false">
      <c r="A320" s="51" t="s">
        <v>21</v>
      </c>
      <c r="B320" s="51" t="s">
        <v>269</v>
      </c>
      <c r="C320" s="51" t="s">
        <v>281</v>
      </c>
      <c r="D320" s="51" t="s">
        <v>181</v>
      </c>
      <c r="E320" s="51" t="s">
        <v>268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326</v>
      </c>
    </row>
    <row r="321" customFormat="false" ht="14.25" hidden="false" customHeight="true" outlineLevel="0" collapsed="false">
      <c r="A321" s="51" t="s">
        <v>21</v>
      </c>
      <c r="B321" s="51" t="s">
        <v>269</v>
      </c>
      <c r="C321" s="51" t="s">
        <v>44</v>
      </c>
      <c r="D321" s="51" t="s">
        <v>182</v>
      </c>
      <c r="E321" s="51" t="s">
        <v>268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326</v>
      </c>
    </row>
    <row r="322" customFormat="false" ht="14.25" hidden="false" customHeight="true" outlineLevel="0" collapsed="false">
      <c r="A322" s="51" t="s">
        <v>21</v>
      </c>
      <c r="B322" s="51" t="s">
        <v>269</v>
      </c>
      <c r="C322" s="51" t="s">
        <v>44</v>
      </c>
      <c r="D322" s="51" t="s">
        <v>221</v>
      </c>
      <c r="E322" s="51" t="s">
        <v>268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339</v>
      </c>
    </row>
    <row r="323" customFormat="false" ht="14.25" hidden="false" customHeight="true" outlineLevel="0" collapsed="false">
      <c r="A323" s="51" t="s">
        <v>21</v>
      </c>
      <c r="B323" s="51" t="s">
        <v>269</v>
      </c>
      <c r="C323" s="51" t="s">
        <v>288</v>
      </c>
      <c r="D323" s="51" t="s">
        <v>179</v>
      </c>
      <c r="E323" s="51" t="s">
        <v>268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326</v>
      </c>
    </row>
    <row r="324" customFormat="false" ht="15" hidden="false" customHeight="true" outlineLevel="0" collapsed="false">
      <c r="A324" s="51" t="s">
        <v>21</v>
      </c>
      <c r="B324" s="51" t="s">
        <v>269</v>
      </c>
      <c r="C324" s="51" t="s">
        <v>286</v>
      </c>
      <c r="D324" s="51" t="s">
        <v>157</v>
      </c>
      <c r="E324" s="51" t="s">
        <v>268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326</v>
      </c>
    </row>
    <row r="325" customFormat="false" ht="14.25" hidden="false" customHeight="true" outlineLevel="0" collapsed="false">
      <c r="A325" s="51" t="s">
        <v>21</v>
      </c>
      <c r="B325" s="51" t="s">
        <v>269</v>
      </c>
      <c r="C325" s="51" t="s">
        <v>286</v>
      </c>
      <c r="D325" s="51" t="s">
        <v>158</v>
      </c>
      <c r="E325" s="51" t="s">
        <v>268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326</v>
      </c>
    </row>
    <row r="326" customFormat="false" ht="14.25" hidden="false" customHeight="true" outlineLevel="0" collapsed="false">
      <c r="A326" s="51" t="s">
        <v>21</v>
      </c>
      <c r="B326" s="51" t="s">
        <v>269</v>
      </c>
      <c r="C326" s="51" t="s">
        <v>289</v>
      </c>
      <c r="D326" s="51" t="s">
        <v>186</v>
      </c>
      <c r="E326" s="51" t="s">
        <v>268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295</v>
      </c>
    </row>
    <row r="327" customFormat="false" ht="14.25" hidden="false" customHeight="true" outlineLevel="0" collapsed="false">
      <c r="A327" s="51" t="s">
        <v>21</v>
      </c>
      <c r="B327" s="51" t="s">
        <v>269</v>
      </c>
      <c r="C327" s="51" t="s">
        <v>281</v>
      </c>
      <c r="D327" s="51" t="s">
        <v>314</v>
      </c>
      <c r="E327" s="51" t="s">
        <v>268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328</v>
      </c>
    </row>
    <row r="328" customFormat="false" ht="14.25" hidden="false" customHeight="true" outlineLevel="0" collapsed="false">
      <c r="A328" s="51" t="s">
        <v>21</v>
      </c>
      <c r="B328" s="51" t="s">
        <v>264</v>
      </c>
      <c r="C328" s="51" t="s">
        <v>281</v>
      </c>
      <c r="D328" s="51" t="s">
        <v>220</v>
      </c>
      <c r="E328" s="51" t="s">
        <v>262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340</v>
      </c>
    </row>
    <row r="329" customFormat="false" ht="14.25" hidden="false" customHeight="true" outlineLevel="0" collapsed="false">
      <c r="A329" s="51" t="s">
        <v>21</v>
      </c>
      <c r="B329" s="51" t="s">
        <v>264</v>
      </c>
      <c r="C329" s="51" t="s">
        <v>281</v>
      </c>
      <c r="D329" s="51" t="s">
        <v>180</v>
      </c>
      <c r="E329" s="51" t="s">
        <v>262</v>
      </c>
      <c r="F329" s="51" t="n">
        <v>2</v>
      </c>
      <c r="G329" s="52" t="n">
        <v>26</v>
      </c>
      <c r="H329" s="52" t="n">
        <f aca="false">G329*F329</f>
        <v>52</v>
      </c>
      <c r="I329" s="51" t="s">
        <v>326</v>
      </c>
    </row>
    <row r="330" customFormat="false" ht="14.25" hidden="false" customHeight="true" outlineLevel="0" collapsed="false">
      <c r="A330" s="51" t="s">
        <v>21</v>
      </c>
      <c r="B330" s="51" t="s">
        <v>264</v>
      </c>
      <c r="C330" s="51" t="s">
        <v>281</v>
      </c>
      <c r="D330" s="51" t="s">
        <v>181</v>
      </c>
      <c r="E330" s="51" t="s">
        <v>262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326</v>
      </c>
    </row>
    <row r="331" customFormat="false" ht="14.25" hidden="false" customHeight="true" outlineLevel="0" collapsed="false">
      <c r="A331" s="51" t="s">
        <v>21</v>
      </c>
      <c r="B331" s="51" t="s">
        <v>264</v>
      </c>
      <c r="C331" s="51" t="s">
        <v>44</v>
      </c>
      <c r="D331" s="51" t="s">
        <v>182</v>
      </c>
      <c r="E331" s="51" t="s">
        <v>262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326</v>
      </c>
    </row>
    <row r="332" customFormat="false" ht="14.25" hidden="false" customHeight="true" outlineLevel="0" collapsed="false">
      <c r="A332" s="51" t="s">
        <v>21</v>
      </c>
      <c r="B332" s="51" t="s">
        <v>264</v>
      </c>
      <c r="C332" s="51" t="s">
        <v>288</v>
      </c>
      <c r="D332" s="51" t="s">
        <v>179</v>
      </c>
      <c r="E332" s="51" t="s">
        <v>262</v>
      </c>
      <c r="F332" s="51" t="n">
        <v>2</v>
      </c>
      <c r="G332" s="52" t="n">
        <v>30</v>
      </c>
      <c r="H332" s="52" t="n">
        <f aca="false">G332*F332</f>
        <v>60</v>
      </c>
      <c r="I332" s="51" t="s">
        <v>326</v>
      </c>
    </row>
    <row r="333" customFormat="false" ht="14.25" hidden="false" customHeight="true" outlineLevel="0" collapsed="false">
      <c r="A333" s="51" t="s">
        <v>21</v>
      </c>
      <c r="B333" s="51" t="s">
        <v>264</v>
      </c>
      <c r="C333" s="51" t="s">
        <v>286</v>
      </c>
      <c r="D333" s="51" t="s">
        <v>157</v>
      </c>
      <c r="E333" s="51" t="s">
        <v>262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326</v>
      </c>
    </row>
    <row r="334" customFormat="false" ht="14.25" hidden="false" customHeight="true" outlineLevel="0" collapsed="false">
      <c r="A334" s="51" t="s">
        <v>21</v>
      </c>
      <c r="B334" s="51" t="s">
        <v>264</v>
      </c>
      <c r="C334" s="51" t="s">
        <v>286</v>
      </c>
      <c r="D334" s="51" t="s">
        <v>158</v>
      </c>
      <c r="E334" s="51" t="s">
        <v>262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326</v>
      </c>
    </row>
    <row r="335" customFormat="false" ht="14.25" hidden="false" customHeight="true" outlineLevel="0" collapsed="false">
      <c r="A335" s="51" t="s">
        <v>21</v>
      </c>
      <c r="B335" s="51" t="s">
        <v>264</v>
      </c>
      <c r="C335" s="51" t="s">
        <v>289</v>
      </c>
      <c r="D335" s="51" t="s">
        <v>186</v>
      </c>
      <c r="E335" s="51" t="s">
        <v>262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295</v>
      </c>
    </row>
    <row r="336" customFormat="false" ht="14.25" hidden="false" customHeight="true" outlineLevel="0" collapsed="false">
      <c r="A336" s="51" t="s">
        <v>21</v>
      </c>
      <c r="B336" s="51" t="s">
        <v>272</v>
      </c>
      <c r="C336" s="51" t="s">
        <v>281</v>
      </c>
      <c r="D336" s="51" t="s">
        <v>220</v>
      </c>
      <c r="E336" s="51" t="s">
        <v>268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341</v>
      </c>
    </row>
    <row r="337" customFormat="false" ht="14.25" hidden="false" customHeight="true" outlineLevel="0" collapsed="false">
      <c r="A337" s="51" t="s">
        <v>21</v>
      </c>
      <c r="B337" s="51" t="s">
        <v>272</v>
      </c>
      <c r="C337" s="51" t="s">
        <v>281</v>
      </c>
      <c r="D337" s="51" t="s">
        <v>283</v>
      </c>
      <c r="E337" s="51" t="s">
        <v>268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339</v>
      </c>
    </row>
    <row r="338" customFormat="false" ht="14.25" hidden="false" customHeight="true" outlineLevel="0" collapsed="false">
      <c r="A338" s="51" t="s">
        <v>21</v>
      </c>
      <c r="B338" s="51" t="s">
        <v>272</v>
      </c>
      <c r="C338" s="51" t="s">
        <v>281</v>
      </c>
      <c r="D338" s="51" t="s">
        <v>180</v>
      </c>
      <c r="E338" s="51" t="s">
        <v>268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326</v>
      </c>
    </row>
    <row r="339" customFormat="false" ht="14.25" hidden="false" customHeight="true" outlineLevel="0" collapsed="false">
      <c r="A339" s="51" t="s">
        <v>21</v>
      </c>
      <c r="B339" s="51" t="s">
        <v>272</v>
      </c>
      <c r="C339" s="51" t="s">
        <v>281</v>
      </c>
      <c r="D339" s="51" t="s">
        <v>181</v>
      </c>
      <c r="E339" s="51" t="s">
        <v>268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326</v>
      </c>
    </row>
    <row r="340" customFormat="false" ht="14.25" hidden="false" customHeight="true" outlineLevel="0" collapsed="false">
      <c r="A340" s="51" t="s">
        <v>21</v>
      </c>
      <c r="B340" s="51" t="s">
        <v>272</v>
      </c>
      <c r="C340" s="51" t="s">
        <v>44</v>
      </c>
      <c r="D340" s="51" t="s">
        <v>182</v>
      </c>
      <c r="E340" s="51" t="s">
        <v>268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326</v>
      </c>
    </row>
    <row r="341" customFormat="false" ht="14.25" hidden="false" customHeight="true" outlineLevel="0" collapsed="false">
      <c r="A341" s="51" t="s">
        <v>21</v>
      </c>
      <c r="B341" s="51" t="s">
        <v>272</v>
      </c>
      <c r="C341" s="51" t="s">
        <v>288</v>
      </c>
      <c r="D341" s="51" t="s">
        <v>179</v>
      </c>
      <c r="E341" s="51" t="s">
        <v>268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326</v>
      </c>
    </row>
    <row r="342" customFormat="false" ht="14.25" hidden="false" customHeight="true" outlineLevel="0" collapsed="false">
      <c r="A342" s="51" t="s">
        <v>21</v>
      </c>
      <c r="B342" s="51" t="s">
        <v>272</v>
      </c>
      <c r="C342" s="51" t="s">
        <v>286</v>
      </c>
      <c r="D342" s="51" t="s">
        <v>157</v>
      </c>
      <c r="E342" s="51" t="s">
        <v>268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326</v>
      </c>
    </row>
    <row r="343" customFormat="false" ht="14.25" hidden="false" customHeight="true" outlineLevel="0" collapsed="false">
      <c r="A343" s="51" t="s">
        <v>21</v>
      </c>
      <c r="B343" s="51" t="s">
        <v>272</v>
      </c>
      <c r="C343" s="51" t="s">
        <v>286</v>
      </c>
      <c r="D343" s="51" t="s">
        <v>158</v>
      </c>
      <c r="E343" s="51" t="s">
        <v>268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326</v>
      </c>
    </row>
    <row r="344" customFormat="false" ht="14.25" hidden="false" customHeight="true" outlineLevel="0" collapsed="false">
      <c r="A344" s="51" t="s">
        <v>21</v>
      </c>
      <c r="B344" s="51" t="s">
        <v>272</v>
      </c>
      <c r="C344" s="51" t="s">
        <v>289</v>
      </c>
      <c r="D344" s="51" t="s">
        <v>186</v>
      </c>
      <c r="E344" s="51" t="s">
        <v>268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295</v>
      </c>
    </row>
    <row r="345" customFormat="false" ht="14.25" hidden="false" customHeight="true" outlineLevel="0" collapsed="false">
      <c r="A345" s="51" t="s">
        <v>21</v>
      </c>
      <c r="B345" s="51" t="s">
        <v>272</v>
      </c>
      <c r="C345" s="51" t="s">
        <v>281</v>
      </c>
      <c r="D345" s="51" t="s">
        <v>314</v>
      </c>
      <c r="E345" s="51" t="s">
        <v>268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328</v>
      </c>
    </row>
    <row r="346" customFormat="false" ht="14.25" hidden="false" customHeight="true" outlineLevel="0" collapsed="false">
      <c r="A346" s="51" t="s">
        <v>21</v>
      </c>
      <c r="B346" s="51" t="s">
        <v>267</v>
      </c>
      <c r="C346" s="51" t="s">
        <v>281</v>
      </c>
      <c r="D346" s="51" t="s">
        <v>220</v>
      </c>
      <c r="E346" s="51" t="s">
        <v>265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342</v>
      </c>
    </row>
    <row r="347" customFormat="false" ht="14.25" hidden="false" customHeight="true" outlineLevel="0" collapsed="false">
      <c r="A347" s="51" t="s">
        <v>21</v>
      </c>
      <c r="B347" s="51" t="s">
        <v>267</v>
      </c>
      <c r="C347" s="51" t="s">
        <v>281</v>
      </c>
      <c r="D347" s="51" t="s">
        <v>180</v>
      </c>
      <c r="E347" s="51" t="s">
        <v>265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326</v>
      </c>
    </row>
    <row r="348" customFormat="false" ht="14.25" hidden="false" customHeight="true" outlineLevel="0" collapsed="false">
      <c r="A348" s="51" t="s">
        <v>21</v>
      </c>
      <c r="B348" s="51" t="s">
        <v>267</v>
      </c>
      <c r="C348" s="51" t="s">
        <v>281</v>
      </c>
      <c r="D348" s="51" t="s">
        <v>181</v>
      </c>
      <c r="E348" s="51" t="s">
        <v>265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326</v>
      </c>
    </row>
    <row r="349" customFormat="false" ht="15" hidden="false" customHeight="true" outlineLevel="0" collapsed="false">
      <c r="A349" s="51" t="s">
        <v>21</v>
      </c>
      <c r="B349" s="51" t="s">
        <v>267</v>
      </c>
      <c r="C349" s="51" t="s">
        <v>44</v>
      </c>
      <c r="D349" s="51" t="s">
        <v>182</v>
      </c>
      <c r="E349" s="51" t="s">
        <v>265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326</v>
      </c>
    </row>
    <row r="350" customFormat="false" ht="14.25" hidden="false" customHeight="true" outlineLevel="0" collapsed="false">
      <c r="A350" s="51" t="s">
        <v>21</v>
      </c>
      <c r="B350" s="51" t="s">
        <v>267</v>
      </c>
      <c r="C350" s="51" t="s">
        <v>288</v>
      </c>
      <c r="D350" s="51" t="s">
        <v>179</v>
      </c>
      <c r="E350" s="51" t="s">
        <v>265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326</v>
      </c>
    </row>
    <row r="351" customFormat="false" ht="14.25" hidden="false" customHeight="true" outlineLevel="0" collapsed="false">
      <c r="A351" s="51" t="s">
        <v>21</v>
      </c>
      <c r="B351" s="51" t="s">
        <v>267</v>
      </c>
      <c r="C351" s="51" t="s">
        <v>286</v>
      </c>
      <c r="D351" s="51" t="s">
        <v>157</v>
      </c>
      <c r="E351" s="51" t="s">
        <v>265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326</v>
      </c>
    </row>
    <row r="352" customFormat="false" ht="14.25" hidden="false" customHeight="true" outlineLevel="0" collapsed="false">
      <c r="A352" s="51" t="s">
        <v>21</v>
      </c>
      <c r="B352" s="51" t="s">
        <v>267</v>
      </c>
      <c r="C352" s="51" t="s">
        <v>286</v>
      </c>
      <c r="D352" s="51" t="s">
        <v>158</v>
      </c>
      <c r="E352" s="51" t="s">
        <v>265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326</v>
      </c>
    </row>
    <row r="353" customFormat="false" ht="14.25" hidden="false" customHeight="true" outlineLevel="0" collapsed="false">
      <c r="A353" s="51" t="s">
        <v>21</v>
      </c>
      <c r="B353" s="51" t="s">
        <v>267</v>
      </c>
      <c r="C353" s="51" t="s">
        <v>289</v>
      </c>
      <c r="D353" s="51" t="s">
        <v>186</v>
      </c>
      <c r="E353" s="51" t="s">
        <v>265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3" t="s">
        <v>359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360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251</v>
      </c>
      <c r="C393" s="50" t="s">
        <v>3</v>
      </c>
      <c r="D393" s="50" t="s">
        <v>361</v>
      </c>
      <c r="E393" s="50" t="s">
        <v>362</v>
      </c>
      <c r="F393" s="50" t="s">
        <v>363</v>
      </c>
      <c r="G393" s="50" t="s">
        <v>364</v>
      </c>
      <c r="H393" s="50" t="s">
        <v>365</v>
      </c>
      <c r="I393" s="50" t="s">
        <v>366</v>
      </c>
      <c r="J393" s="50" t="s">
        <v>367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256</v>
      </c>
      <c r="C394" s="51" t="s">
        <v>368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259</v>
      </c>
      <c r="C395" s="51" t="s">
        <v>368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261</v>
      </c>
      <c r="C396" s="51" t="s">
        <v>368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262</v>
      </c>
      <c r="C397" s="51" t="s">
        <v>368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265</v>
      </c>
      <c r="C398" s="51" t="s">
        <v>368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268</v>
      </c>
      <c r="C399" s="51" t="s">
        <v>368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274</v>
      </c>
      <c r="C400" s="51" t="s">
        <v>368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256</v>
      </c>
      <c r="C401" s="51" t="s">
        <v>368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259</v>
      </c>
      <c r="C402" s="51" t="s">
        <v>368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261</v>
      </c>
      <c r="C403" s="51" t="s">
        <v>368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262</v>
      </c>
      <c r="C404" s="51" t="s">
        <v>368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265</v>
      </c>
      <c r="C405" s="51" t="s">
        <v>368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268</v>
      </c>
      <c r="C406" s="51" t="s">
        <v>368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274</v>
      </c>
      <c r="C407" s="51" t="s">
        <v>368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256</v>
      </c>
      <c r="C408" s="51" t="s">
        <v>368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259</v>
      </c>
      <c r="C409" s="51" t="s">
        <v>368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261</v>
      </c>
      <c r="C410" s="51" t="s">
        <v>368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262</v>
      </c>
      <c r="C411" s="51" t="s">
        <v>368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265</v>
      </c>
      <c r="C412" s="51" t="s">
        <v>368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268</v>
      </c>
      <c r="C413" s="51" t="s">
        <v>368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274</v>
      </c>
      <c r="C414" s="51" t="s">
        <v>368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369</v>
      </c>
      <c r="B1" s="58"/>
      <c r="C1" s="58"/>
      <c r="D1" s="58"/>
    </row>
    <row r="2" customFormat="false" ht="15" hidden="false" customHeight="true" outlineLevel="0" collapsed="false">
      <c r="A2" s="59" t="s">
        <v>370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140</v>
      </c>
      <c r="C4" s="60" t="s">
        <v>277</v>
      </c>
      <c r="D4" s="60" t="s">
        <v>279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176</v>
      </c>
      <c r="D5" s="61" t="n">
        <f aca="false">'CUSTOS MENSAIS'!F271</f>
        <v>954.5436</v>
      </c>
    </row>
    <row r="6" customFormat="false" ht="15" hidden="false" customHeight="true" outlineLevel="0" collapsed="false">
      <c r="A6" s="45" t="s">
        <v>11</v>
      </c>
      <c r="B6" s="45" t="s">
        <v>310</v>
      </c>
      <c r="C6" s="45" t="s">
        <v>178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281</v>
      </c>
      <c r="C7" s="44" t="s">
        <v>220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288</v>
      </c>
      <c r="C8" s="45" t="s">
        <v>179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281</v>
      </c>
      <c r="C9" s="44" t="s">
        <v>180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281</v>
      </c>
      <c r="C10" s="45" t="s">
        <v>181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182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221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287</v>
      </c>
      <c r="C13" s="44" t="s">
        <v>183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287</v>
      </c>
      <c r="C14" s="45" t="s">
        <v>184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287</v>
      </c>
      <c r="C15" s="44" t="s">
        <v>185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289</v>
      </c>
      <c r="C16" s="45" t="s">
        <v>186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286</v>
      </c>
      <c r="C17" s="44" t="s">
        <v>157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286</v>
      </c>
      <c r="C18" s="45" t="s">
        <v>158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281</v>
      </c>
      <c r="C19" s="44" t="s">
        <v>187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310</v>
      </c>
      <c r="C20" s="45" t="s">
        <v>188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310</v>
      </c>
      <c r="C21" s="44" t="s">
        <v>189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310</v>
      </c>
      <c r="C22" s="45" t="s">
        <v>190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310</v>
      </c>
      <c r="C23" s="44" t="s">
        <v>191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371</v>
      </c>
      <c r="D24" s="64" t="n">
        <f aca="false">SUM(D5:D23)</f>
        <v>64489.8954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176</v>
      </c>
      <c r="D26" s="61" t="n">
        <f aca="false">'CUSTOS MENSAIS'!F306</f>
        <v>636.3624</v>
      </c>
    </row>
    <row r="27" customFormat="false" ht="15" hidden="false" customHeight="true" outlineLevel="0" collapsed="false">
      <c r="A27" s="45" t="s">
        <v>20</v>
      </c>
      <c r="B27" s="45" t="s">
        <v>310</v>
      </c>
      <c r="C27" s="45" t="s">
        <v>178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281</v>
      </c>
      <c r="C28" s="44" t="s">
        <v>220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288</v>
      </c>
      <c r="C29" s="45" t="s">
        <v>179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281</v>
      </c>
      <c r="C30" s="44" t="s">
        <v>180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281</v>
      </c>
      <c r="C31" s="45" t="s">
        <v>181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182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221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287</v>
      </c>
      <c r="C34" s="44" t="s">
        <v>183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287</v>
      </c>
      <c r="C35" s="45" t="s">
        <v>184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287</v>
      </c>
      <c r="C36" s="44" t="s">
        <v>185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289</v>
      </c>
      <c r="C37" s="45" t="s">
        <v>186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286</v>
      </c>
      <c r="C38" s="44" t="s">
        <v>157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286</v>
      </c>
      <c r="C39" s="45" t="s">
        <v>158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281</v>
      </c>
      <c r="C40" s="44" t="s">
        <v>187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310</v>
      </c>
      <c r="C41" s="45" t="s">
        <v>188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310</v>
      </c>
      <c r="C42" s="44" t="s">
        <v>189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310</v>
      </c>
      <c r="C43" s="45" t="s">
        <v>190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310</v>
      </c>
      <c r="C44" s="44" t="s">
        <v>191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372</v>
      </c>
      <c r="D45" s="64" t="n">
        <f aca="false">SUM(D26:D44)</f>
        <v>181423.500386667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373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374</v>
      </c>
      <c r="C49" s="66" t="s">
        <v>375</v>
      </c>
      <c r="D49" s="66" t="s">
        <v>376</v>
      </c>
      <c r="E49" s="66" t="s">
        <v>377</v>
      </c>
      <c r="F49" s="66" t="s">
        <v>378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143907.30844</v>
      </c>
      <c r="F50" s="61" t="n">
        <f aca="false">IFERROR(E50/C50,0)</f>
        <v>782.104937173913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379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380</v>
      </c>
      <c r="C54" s="66" t="s">
        <v>381</v>
      </c>
      <c r="D54" s="66" t="s">
        <v>382</v>
      </c>
      <c r="E54" s="66" t="s">
        <v>383</v>
      </c>
      <c r="F54" s="66" t="s">
        <v>384</v>
      </c>
      <c r="G54" s="67" t="s">
        <v>385</v>
      </c>
      <c r="H54" s="67" t="s">
        <v>386</v>
      </c>
      <c r="I54" s="66" t="s">
        <v>387</v>
      </c>
      <c r="J54" s="66" t="s">
        <v>388</v>
      </c>
      <c r="K54" s="66" t="s">
        <v>389</v>
      </c>
      <c r="L54" s="66" t="s">
        <v>390</v>
      </c>
      <c r="M54" s="66" t="s">
        <v>367</v>
      </c>
      <c r="O54" s="1" t="s">
        <v>391</v>
      </c>
    </row>
    <row r="55" customFormat="false" ht="14.25" hidden="false" customHeight="true" outlineLevel="0" collapsed="false">
      <c r="A55" s="44" t="s">
        <v>11</v>
      </c>
      <c r="B55" s="44" t="s">
        <v>392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393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394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392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393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394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395</v>
      </c>
    </row>
    <row r="2" customFormat="false" ht="15" hidden="false" customHeight="true" outlineLevel="0" collapsed="false">
      <c r="A2" s="71" t="s">
        <v>396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141</v>
      </c>
      <c r="D4" s="72" t="s">
        <v>3</v>
      </c>
      <c r="E4" s="72" t="s">
        <v>142</v>
      </c>
      <c r="F4" s="72" t="s">
        <v>143</v>
      </c>
      <c r="G4" s="72" t="s">
        <v>397</v>
      </c>
      <c r="H4" s="72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3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3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3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3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3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3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3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3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3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3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3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3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3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3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3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3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3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3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3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3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3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3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3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3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3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3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3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3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3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3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3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3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3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3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3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3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3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3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3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3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3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3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3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3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3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3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3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3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3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3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3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3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3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3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3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3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3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3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3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3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3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3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3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3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3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3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3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3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3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3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3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3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3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3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3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3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3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3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3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3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3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3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3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3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3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3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3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3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3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3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3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3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3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3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3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3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3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3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3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3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3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3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3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3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3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3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3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3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3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3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3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3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3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3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3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3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3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3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3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3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3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3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3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3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3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3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3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3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3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3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3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3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3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3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3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3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3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3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3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3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3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3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3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3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3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3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3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3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3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3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3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3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3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3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3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3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3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3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3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3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3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3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3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3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3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3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3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3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3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3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3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3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3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3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3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3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3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3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3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3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3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3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3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3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3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3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3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3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3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3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3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3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3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3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3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3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3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3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3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3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3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3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3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3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3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3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3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3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3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3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3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3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3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3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3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3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3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3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3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3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3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3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3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3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3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3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3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3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3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3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3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3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3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3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3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3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3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3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3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3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3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3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3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3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3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3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3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3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3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3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3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3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3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3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3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3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3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3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3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3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3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3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3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3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3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3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3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3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3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3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3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3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3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3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3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3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3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3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3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3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3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3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3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3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3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3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3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3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3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3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3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3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3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3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3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3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3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3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3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3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3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3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3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3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3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3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3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3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3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3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3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3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3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3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3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3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3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3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3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3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3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3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3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3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3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3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3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3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3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3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3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3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3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3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3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3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3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3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3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3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3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3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3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3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3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3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3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3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3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3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3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3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3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3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3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3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3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3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3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3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3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3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3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3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3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3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3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3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3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3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3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3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3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3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3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3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3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3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3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3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3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3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3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3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3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3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3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3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3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3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3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3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3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3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3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3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3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3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3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3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3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3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3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3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3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3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3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3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3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3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3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3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3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3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3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3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3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3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3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3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3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3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3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3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3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3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3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3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3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3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3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3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3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3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3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3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3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3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3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3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3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3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3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3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3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3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3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3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3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3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3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3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3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3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3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3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3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3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3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3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3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3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3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3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3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3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3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3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3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3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3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3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3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3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3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3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3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3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3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3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3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3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3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3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3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3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3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3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3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3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3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3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3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3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3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3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3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3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3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3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3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3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3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3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3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3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3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3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3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3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3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3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3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3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3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3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3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3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3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3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3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3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3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3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3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3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3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3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3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3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3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3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3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3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3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3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3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3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3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3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3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3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3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3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3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3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3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3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3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3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3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3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3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3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3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3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3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3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3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3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3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3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3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3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3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3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3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3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3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3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3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3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3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3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3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3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3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3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3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3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3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3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3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3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3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3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3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3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3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3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3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3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3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3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3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3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3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3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3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3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3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3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3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3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3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3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3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3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3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3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3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3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3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3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3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3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3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3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3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3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3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3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3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3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3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3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3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3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3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3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3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3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3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3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3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3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3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3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3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3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3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3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3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3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3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3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3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3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3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3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3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3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3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3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3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3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3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3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3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3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3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3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3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3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3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3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3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3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3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3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3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3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3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3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3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3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3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3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3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3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3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3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3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3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3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3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3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3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3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3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3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3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3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3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3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3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3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3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3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3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3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3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3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3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3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3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3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3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3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3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3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3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3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3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3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3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3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3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3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3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3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3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3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3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3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3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3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3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3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3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3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3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3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3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3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3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3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3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3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3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3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3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3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3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3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3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3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3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3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3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3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3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3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3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3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3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3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3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3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3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3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3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3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3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3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3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3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3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3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3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3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3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3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3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3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3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3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3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3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3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3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3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3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3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3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3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3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3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3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3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3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3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3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3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3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3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3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3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3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3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3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3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3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3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3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3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3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3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3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3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3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3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3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3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3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3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3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3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3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3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3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3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3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3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3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3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3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3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3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3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3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3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3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3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3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3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3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3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3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3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3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3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3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3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3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3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3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3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3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3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3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3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3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3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3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3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3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3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3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3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3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3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3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3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3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3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3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3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3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3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3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3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3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3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3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3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3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3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3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3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3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3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3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3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3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3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3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3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3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3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3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3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3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3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3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3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3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3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3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3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3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3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3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3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3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3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3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3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3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3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3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3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3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3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3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3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3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3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3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3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3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3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3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3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3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3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3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3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3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3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3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3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3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3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3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3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3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3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3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3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3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3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3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3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3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3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3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3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3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3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3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3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3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3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3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3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3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3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3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3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3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3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3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3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3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3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3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3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3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3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3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3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3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3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3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3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3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3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3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3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3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3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3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3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3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3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3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3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3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3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3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3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3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3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3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3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3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3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3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3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3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3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3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3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3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3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3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3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3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3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3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3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3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3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3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3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3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3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3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3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3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3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3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3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3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3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2026-08-28T17:36:12Z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